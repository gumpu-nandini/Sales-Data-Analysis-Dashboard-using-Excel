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66925"/>
  <mc:AlternateContent xmlns:mc="http://schemas.openxmlformats.org/markup-compatibility/2006">
    <mc:Choice Requires="x15">
      <x15ac:absPath xmlns:x15ac="http://schemas.microsoft.com/office/spreadsheetml/2010/11/ac" url="E:\Project Dashboard\"/>
    </mc:Choice>
  </mc:AlternateContent>
  <xr:revisionPtr revIDLastSave="0" documentId="8_{D4AB56E6-676E-4895-8490-BD5B62EDBC96}" xr6:coauthVersionLast="36" xr6:coauthVersionMax="36" xr10:uidLastSave="{00000000-0000-0000-0000-000000000000}"/>
  <bookViews>
    <workbookView xWindow="0" yWindow="0" windowWidth="23040" windowHeight="8940" activeTab="2" xr2:uid="{E99FD7BD-51D8-42C8-9879-86B74F93BF79}"/>
  </bookViews>
  <sheets>
    <sheet name="Excel_Sales_Data_Analysis" sheetId="1" r:id="rId1"/>
    <sheet name="Sales_Data_Analysis " sheetId="6" r:id="rId2"/>
    <sheet name="Pivot table analysis" sheetId="17" r:id="rId3"/>
    <sheet name="Total Sales by Month" sheetId="15" r:id="rId4"/>
    <sheet name="Sum of sales by Region" sheetId="16" r:id="rId5"/>
    <sheet name="Profit vs Sales Scatter Chart" sheetId="13" r:id="rId6"/>
    <sheet name="KPIs" sheetId="8" r:id="rId7"/>
    <sheet name="Identifying Top Products" sheetId="3" r:id="rId8"/>
  </sheets>
  <definedNames>
    <definedName name="_xlchart.v1.0" hidden="1">'Sales_Data_Analysis '!$B$2:$B$1051</definedName>
    <definedName name="_xlchart.v1.1" hidden="1">'Sales_Data_Analysis '!$F$1</definedName>
    <definedName name="_xlchart.v1.2" hidden="1">'Sales_Data_Analysis '!$F$2:$F$1051</definedName>
    <definedName name="ExternalData_1" localSheetId="1" hidden="1">'Sales_Data_Analysis '!$A$1:$N$1051</definedName>
    <definedName name="Slicer_Month">#N/A</definedName>
    <definedName name="Slicer_Region">#N/A</definedName>
  </definedNames>
  <calcPr calcId="179021"/>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8" i="17" l="1"/>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CF2C60-B537-440A-BACA-30E6758FC753}" keepAlive="1" name="Query - Sales_Data_Analysis" description="Connection to the 'Sales_Data_Analysis' query in the workbook." type="5" refreshedVersion="0" background="1">
    <dbPr connection="Provider=Microsoft.Mashup.OleDb.1;Data Source=$Workbook$;Location=Sales_Data_Analysis;Extended Properties=&quot;&quot;" command="SELECT * FROM [Sales_Data_Analysis]"/>
  </connection>
  <connection id="2" xr16:uid="{570E3AF7-9499-4B47-89A8-133A214856A0}" keepAlive="1" name="Query - Sales_Data_Analysis (2)" description="Connection to the 'Sales_Data_Analysis (2)' query in the workbook." type="5" refreshedVersion="0" background="1">
    <dbPr connection="Provider=Microsoft.Mashup.OleDb.1;Data Source=$Workbook$;Location=&quot;Sales_Data_Analysis (2)&quot;;Extended Properties=&quot;&quot;" command="SELECT * FROM [Sales_Data_Analysis (2)]"/>
  </connection>
  <connection id="3" xr16:uid="{D46DBB54-37B4-4264-ACCB-F53C51B5607B}" keepAlive="1" name="Query - Sales_Data_Analysis (3)" description="Connection to the 'Sales_Data_Analysis (3)' query in the workbook." type="5" refreshedVersion="8" background="1" saveData="1">
    <dbPr connection="Provider=Microsoft.Mashup.OleDb.1;Data Source=$Workbook$;Location=&quot;Sales_Data_Analysis (3)&quot;;Extended Properties=&quot;&quot;" command="SELECT * FROM [Sales_Data_Analysis (3)]"/>
  </connection>
</connections>
</file>

<file path=xl/sharedStrings.xml><?xml version="1.0" encoding="utf-8"?>
<sst xmlns="http://schemas.openxmlformats.org/spreadsheetml/2006/main" count="13777" uniqueCount="79">
  <si>
    <t>Date</t>
  </si>
  <si>
    <t>Region</t>
  </si>
  <si>
    <t>Product Category</t>
  </si>
  <si>
    <t>Product Name</t>
  </si>
  <si>
    <t>Units Sold</t>
  </si>
  <si>
    <t>Customer Gender</t>
  </si>
  <si>
    <t>Customer Satisfaction</t>
  </si>
  <si>
    <t>Product Cost</t>
  </si>
  <si>
    <t>Profit</t>
  </si>
  <si>
    <t>West</t>
  </si>
  <si>
    <t>Electronics</t>
  </si>
  <si>
    <t>Headphones</t>
  </si>
  <si>
    <t>Male</t>
  </si>
  <si>
    <t>Clothing</t>
  </si>
  <si>
    <t>Sweater</t>
  </si>
  <si>
    <t>East</t>
  </si>
  <si>
    <t>Books</t>
  </si>
  <si>
    <t>Sci-Fi</t>
  </si>
  <si>
    <t>Central</t>
  </si>
  <si>
    <t>Dress</t>
  </si>
  <si>
    <t>Female</t>
  </si>
  <si>
    <t>Home Goods</t>
  </si>
  <si>
    <t>Rug</t>
  </si>
  <si>
    <t>North</t>
  </si>
  <si>
    <t>Mystery</t>
  </si>
  <si>
    <t>Food</t>
  </si>
  <si>
    <t>Grains</t>
  </si>
  <si>
    <t>Non-Fiction</t>
  </si>
  <si>
    <t>Laptop</t>
  </si>
  <si>
    <t>Jeans</t>
  </si>
  <si>
    <t>Produce</t>
  </si>
  <si>
    <t>South</t>
  </si>
  <si>
    <t>Chair</t>
  </si>
  <si>
    <t>Table</t>
  </si>
  <si>
    <t>Smartphone</t>
  </si>
  <si>
    <t>Tablet</t>
  </si>
  <si>
    <t>Lamp</t>
  </si>
  <si>
    <t>Fiction</t>
  </si>
  <si>
    <t>Beverages</t>
  </si>
  <si>
    <t>Snacks</t>
  </si>
  <si>
    <t>T-Shirt</t>
  </si>
  <si>
    <t>Year</t>
  </si>
  <si>
    <t>PaymentMode</t>
  </si>
  <si>
    <t>Credit Card</t>
  </si>
  <si>
    <t>COD</t>
  </si>
  <si>
    <t>UPI</t>
  </si>
  <si>
    <t>EMI</t>
  </si>
  <si>
    <t>Debit Card</t>
  </si>
  <si>
    <t>Month</t>
  </si>
  <si>
    <t>Quarter</t>
  </si>
  <si>
    <t>June</t>
  </si>
  <si>
    <t>Q2</t>
  </si>
  <si>
    <t>March</t>
  </si>
  <si>
    <t>Q1</t>
  </si>
  <si>
    <t>February</t>
  </si>
  <si>
    <t>April</t>
  </si>
  <si>
    <t>May</t>
  </si>
  <si>
    <t>January</t>
  </si>
  <si>
    <t>December</t>
  </si>
  <si>
    <t>Q4</t>
  </si>
  <si>
    <t>September</t>
  </si>
  <si>
    <t>Q3</t>
  </si>
  <si>
    <t>October</t>
  </si>
  <si>
    <t>July</t>
  </si>
  <si>
    <t>August</t>
  </si>
  <si>
    <t>November</t>
  </si>
  <si>
    <t>Row Labels</t>
  </si>
  <si>
    <t>Grand Total</t>
  </si>
  <si>
    <t>2022</t>
  </si>
  <si>
    <t>2023</t>
  </si>
  <si>
    <t>Sales</t>
  </si>
  <si>
    <t>Sum of Sales</t>
  </si>
  <si>
    <t>(blank)</t>
  </si>
  <si>
    <t>Sum of Profit</t>
  </si>
  <si>
    <t>Sum of Units Sold</t>
  </si>
  <si>
    <t>Sum of Product Cost</t>
  </si>
  <si>
    <t>Sum of Profits</t>
  </si>
  <si>
    <t xml:space="preserve">Sum of Monthly Sales </t>
  </si>
  <si>
    <t>Region-Wise Sales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</si>
</sst>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18" fillId="33" borderId="0" xfId="0" applyFont="1" applyFill="1" applyAlignment="1">
      <alignment horizontal="left"/>
    </xf>
    <xf numFmtId="0" fontId="18"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color rgb="FF9C0006"/>
      </font>
      <fill>
        <patternFill>
          <bgColor rgb="FFFFC7CE"/>
        </patternFill>
      </fill>
    </dxf>
    <dxf>
      <font>
        <color rgb="FF9C0006"/>
      </font>
      <fill>
        <patternFill>
          <bgColor rgb="FFFFC7CE"/>
        </patternFill>
      </fill>
    </dxf>
    <dxf>
      <fill>
        <patternFill patternType="solid">
          <bgColor theme="4"/>
        </patternFill>
      </fill>
    </dxf>
    <dxf>
      <font>
        <u/>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 project.csv.xlsx]Total Sales by Month!PivotTable31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 Sales by Month'!$B$3</c:f>
              <c:strCache>
                <c:ptCount val="1"/>
                <c:pt idx="0">
                  <c:v>Total</c:v>
                </c:pt>
              </c:strCache>
            </c:strRef>
          </c:tx>
          <c:spPr>
            <a:solidFill>
              <a:schemeClr val="accent1"/>
            </a:solidFill>
            <a:ln>
              <a:noFill/>
            </a:ln>
            <a:effectLst/>
          </c:spPr>
          <c:invertIfNegative val="0"/>
          <c:cat>
            <c:strRef>
              <c:f>'Total Sales by Month'!$A$4:$A$15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Sales by Month'!$B$4:$B$15</c:f>
              <c:numCache>
                <c:formatCode>General</c:formatCode>
                <c:ptCount val="12"/>
                <c:pt idx="0">
                  <c:v>585013.77</c:v>
                </c:pt>
                <c:pt idx="1">
                  <c:v>578041.71999999986</c:v>
                </c:pt>
                <c:pt idx="2">
                  <c:v>612037.6599999998</c:v>
                </c:pt>
                <c:pt idx="3">
                  <c:v>573713.81999999983</c:v>
                </c:pt>
                <c:pt idx="4">
                  <c:v>535050.13000000012</c:v>
                </c:pt>
                <c:pt idx="5">
                  <c:v>736587.87</c:v>
                </c:pt>
                <c:pt idx="6">
                  <c:v>533611.84</c:v>
                </c:pt>
                <c:pt idx="7">
                  <c:v>566669.27000000025</c:v>
                </c:pt>
                <c:pt idx="8">
                  <c:v>656172.1100000001</c:v>
                </c:pt>
                <c:pt idx="9">
                  <c:v>692095.52</c:v>
                </c:pt>
                <c:pt idx="10">
                  <c:v>658799.74999999988</c:v>
                </c:pt>
                <c:pt idx="11">
                  <c:v>531963.80999999994</c:v>
                </c:pt>
              </c:numCache>
            </c:numRef>
          </c:val>
          <c:extLst>
            <c:ext xmlns:c16="http://schemas.microsoft.com/office/drawing/2014/chart" uri="{C3380CC4-5D6E-409C-BE32-E72D297353CC}">
              <c16:uniqueId val="{00000000-0658-43AF-BDA4-2216D3175772}"/>
            </c:ext>
          </c:extLst>
        </c:ser>
        <c:dLbls>
          <c:showLegendKey val="0"/>
          <c:showVal val="0"/>
          <c:showCatName val="0"/>
          <c:showSerName val="0"/>
          <c:showPercent val="0"/>
          <c:showBubbleSize val="0"/>
        </c:dLbls>
        <c:gapWidth val="150"/>
        <c:axId val="400476080"/>
        <c:axId val="400475120"/>
      </c:barChart>
      <c:catAx>
        <c:axId val="4004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5120"/>
        <c:crosses val="autoZero"/>
        <c:auto val="1"/>
        <c:lblAlgn val="ctr"/>
        <c:lblOffset val="100"/>
        <c:noMultiLvlLbl val="0"/>
      </c:catAx>
      <c:valAx>
        <c:axId val="40047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6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92BC-42DD-A8C2-9C01D0214180}"/>
              </c:ext>
            </c:extLst>
          </c:dPt>
          <c:dPt>
            <c:idx val="1"/>
            <c:bubble3D val="0"/>
            <c:spPr>
              <a:solidFill>
                <a:schemeClr val="accent2"/>
              </a:solidFill>
              <a:ln>
                <a:noFill/>
              </a:ln>
              <a:effectLst/>
            </c:spPr>
            <c:extLst>
              <c:ext xmlns:c16="http://schemas.microsoft.com/office/drawing/2014/chart" uri="{C3380CC4-5D6E-409C-BE32-E72D297353CC}">
                <c16:uniqueId val="{00000003-92BC-42DD-A8C2-9C01D0214180}"/>
              </c:ext>
            </c:extLst>
          </c:dPt>
          <c:dPt>
            <c:idx val="2"/>
            <c:bubble3D val="0"/>
            <c:spPr>
              <a:solidFill>
                <a:schemeClr val="accent3"/>
              </a:solidFill>
              <a:ln>
                <a:noFill/>
              </a:ln>
              <a:effectLst/>
            </c:spPr>
            <c:extLst>
              <c:ext xmlns:c16="http://schemas.microsoft.com/office/drawing/2014/chart" uri="{C3380CC4-5D6E-409C-BE32-E72D297353CC}">
                <c16:uniqueId val="{00000005-92BC-42DD-A8C2-9C01D0214180}"/>
              </c:ext>
            </c:extLst>
          </c:dPt>
          <c:dPt>
            <c:idx val="3"/>
            <c:bubble3D val="0"/>
            <c:spPr>
              <a:solidFill>
                <a:schemeClr val="accent4"/>
              </a:solidFill>
              <a:ln>
                <a:noFill/>
              </a:ln>
              <a:effectLst/>
            </c:spPr>
            <c:extLst>
              <c:ext xmlns:c16="http://schemas.microsoft.com/office/drawing/2014/chart" uri="{C3380CC4-5D6E-409C-BE32-E72D297353CC}">
                <c16:uniqueId val="{00000007-92BC-42DD-A8C2-9C01D0214180}"/>
              </c:ext>
            </c:extLst>
          </c:dPt>
          <c:dPt>
            <c:idx val="4"/>
            <c:bubble3D val="0"/>
            <c:spPr>
              <a:solidFill>
                <a:schemeClr val="accent5"/>
              </a:solidFill>
              <a:ln>
                <a:noFill/>
              </a:ln>
              <a:effectLst/>
            </c:spPr>
            <c:extLst>
              <c:ext xmlns:c16="http://schemas.microsoft.com/office/drawing/2014/chart" uri="{C3380CC4-5D6E-409C-BE32-E72D297353CC}">
                <c16:uniqueId val="{00000009-92BC-42DD-A8C2-9C01D02141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Food</c:v>
              </c:pt>
              <c:pt idx="1">
                <c:v>Clothing</c:v>
              </c:pt>
              <c:pt idx="2">
                <c:v>Books</c:v>
              </c:pt>
              <c:pt idx="3">
                <c:v>Home Goods</c:v>
              </c:pt>
              <c:pt idx="4">
                <c:v>Electronics</c:v>
              </c:pt>
            </c:strLit>
          </c:cat>
          <c:val>
            <c:numLit>
              <c:formatCode>General</c:formatCode>
              <c:ptCount val="5"/>
              <c:pt idx="0">
                <c:v>1628076.56</c:v>
              </c:pt>
              <c:pt idx="1">
                <c:v>1537294.2700000012</c:v>
              </c:pt>
              <c:pt idx="2">
                <c:v>1445762.2899999996</c:v>
              </c:pt>
              <c:pt idx="3">
                <c:v>1353938.5200000003</c:v>
              </c:pt>
              <c:pt idx="4">
                <c:v>1294685.6300000001</c:v>
              </c:pt>
            </c:numLit>
          </c:val>
          <c:extLst>
            <c:ext xmlns:c16="http://schemas.microsoft.com/office/drawing/2014/chart" uri="{C3380CC4-5D6E-409C-BE32-E72D297353CC}">
              <c16:uniqueId val="{00000000-6680-413B-AB0F-EE31235D3EB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 project.csv.xlsx]Sum of sales by Region!PivotTable82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'Sum of sales by Region'!$B$28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52-4FA3-AE3D-83EFECA780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52-4FA3-AE3D-83EFECA780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52-4FA3-AE3D-83EFECA780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52-4FA3-AE3D-83EFECA780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52-4FA3-AE3D-83EFECA780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sales by Region'!$A$29:$A$34</c:f>
              <c:strCache>
                <c:ptCount val="5"/>
                <c:pt idx="0">
                  <c:v>Central</c:v>
                </c:pt>
                <c:pt idx="1">
                  <c:v>East</c:v>
                </c:pt>
                <c:pt idx="2">
                  <c:v>North</c:v>
                </c:pt>
                <c:pt idx="3">
                  <c:v>South</c:v>
                </c:pt>
                <c:pt idx="4">
                  <c:v>West</c:v>
                </c:pt>
              </c:strCache>
            </c:strRef>
          </c:cat>
          <c:val>
            <c:numRef>
              <c:f>'Sum of sales by Region'!$B$29:$B$34</c:f>
              <c:numCache>
                <c:formatCode>General</c:formatCode>
                <c:ptCount val="5"/>
                <c:pt idx="0">
                  <c:v>1490172.4300000004</c:v>
                </c:pt>
                <c:pt idx="1">
                  <c:v>1306396.5699999996</c:v>
                </c:pt>
                <c:pt idx="2">
                  <c:v>1760114.0500000014</c:v>
                </c:pt>
                <c:pt idx="3">
                  <c:v>1277257.79</c:v>
                </c:pt>
                <c:pt idx="4">
                  <c:v>1425816.4300000004</c:v>
                </c:pt>
              </c:numCache>
            </c:numRef>
          </c:val>
          <c:extLst>
            <c:ext xmlns:c16="http://schemas.microsoft.com/office/drawing/2014/chart" uri="{C3380CC4-5D6E-409C-BE32-E72D297353CC}">
              <c16:uniqueId val="{00000000-403B-4902-835F-82D4FBA714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10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strLit>
          </c:cat>
          <c:val>
            <c:numLit>
              <c:formatCode>General</c:formatCode>
              <c:ptCount val="1051"/>
              <c:pt idx="0">
                <c:v>-187.75</c:v>
              </c:pt>
              <c:pt idx="1">
                <c:v>-62.96</c:v>
              </c:pt>
              <c:pt idx="2">
                <c:v>-319.48</c:v>
              </c:pt>
              <c:pt idx="3">
                <c:v>-43.61</c:v>
              </c:pt>
              <c:pt idx="4">
                <c:v>-1072.48</c:v>
              </c:pt>
              <c:pt idx="5">
                <c:v>-57.34</c:v>
              </c:pt>
              <c:pt idx="6">
                <c:v>-391.52</c:v>
              </c:pt>
              <c:pt idx="7">
                <c:v>-141.18</c:v>
              </c:pt>
              <c:pt idx="8">
                <c:v>-69.430000000000007</c:v>
              </c:pt>
              <c:pt idx="9">
                <c:v>-244.01</c:v>
              </c:pt>
              <c:pt idx="10">
                <c:v>-331.22</c:v>
              </c:pt>
              <c:pt idx="11">
                <c:v>-139.22999999999999</c:v>
              </c:pt>
              <c:pt idx="12">
                <c:v>48.22</c:v>
              </c:pt>
              <c:pt idx="13">
                <c:v>-81.86</c:v>
              </c:pt>
              <c:pt idx="14">
                <c:v>-114.13</c:v>
              </c:pt>
              <c:pt idx="15">
                <c:v>119.62</c:v>
              </c:pt>
              <c:pt idx="16">
                <c:v>-828.06</c:v>
              </c:pt>
              <c:pt idx="17">
                <c:v>108.49</c:v>
              </c:pt>
              <c:pt idx="18">
                <c:v>141.41</c:v>
              </c:pt>
              <c:pt idx="19">
                <c:v>51.97</c:v>
              </c:pt>
              <c:pt idx="20">
                <c:v>-367.62</c:v>
              </c:pt>
              <c:pt idx="21">
                <c:v>-140.66</c:v>
              </c:pt>
              <c:pt idx="22">
                <c:v>125.98</c:v>
              </c:pt>
              <c:pt idx="23">
                <c:v>76.02</c:v>
              </c:pt>
              <c:pt idx="24">
                <c:v>-2141.85</c:v>
              </c:pt>
              <c:pt idx="25">
                <c:v>-659.1</c:v>
              </c:pt>
              <c:pt idx="26">
                <c:v>-87.78</c:v>
              </c:pt>
              <c:pt idx="27">
                <c:v>-3517.09</c:v>
              </c:pt>
              <c:pt idx="28">
                <c:v>88.93</c:v>
              </c:pt>
              <c:pt idx="29">
                <c:v>-2449.8000000000002</c:v>
              </c:pt>
              <c:pt idx="30">
                <c:v>53.38</c:v>
              </c:pt>
              <c:pt idx="31">
                <c:v>-124.4</c:v>
              </c:pt>
              <c:pt idx="32">
                <c:v>-154.55000000000001</c:v>
              </c:pt>
              <c:pt idx="33">
                <c:v>-291.2</c:v>
              </c:pt>
              <c:pt idx="34">
                <c:v>44.9</c:v>
              </c:pt>
              <c:pt idx="35">
                <c:v>287.75</c:v>
              </c:pt>
              <c:pt idx="36">
                <c:v>-342.66</c:v>
              </c:pt>
              <c:pt idx="37">
                <c:v>241.15</c:v>
              </c:pt>
              <c:pt idx="38">
                <c:v>-4294.9799999999996</c:v>
              </c:pt>
              <c:pt idx="39">
                <c:v>15.83</c:v>
              </c:pt>
              <c:pt idx="40">
                <c:v>-2055.9</c:v>
              </c:pt>
              <c:pt idx="41">
                <c:v>133.66999999999999</c:v>
              </c:pt>
              <c:pt idx="42">
                <c:v>4.49</c:v>
              </c:pt>
              <c:pt idx="43">
                <c:v>-439.37</c:v>
              </c:pt>
              <c:pt idx="44">
                <c:v>-499.82</c:v>
              </c:pt>
              <c:pt idx="45">
                <c:v>215.98</c:v>
              </c:pt>
              <c:pt idx="46">
                <c:v>208.31</c:v>
              </c:pt>
              <c:pt idx="47">
                <c:v>-3045.46</c:v>
              </c:pt>
              <c:pt idx="48">
                <c:v>-190.18</c:v>
              </c:pt>
              <c:pt idx="49">
                <c:v>-420.87</c:v>
              </c:pt>
              <c:pt idx="50">
                <c:v>-2835.71</c:v>
              </c:pt>
              <c:pt idx="51">
                <c:v>286.19</c:v>
              </c:pt>
              <c:pt idx="52">
                <c:v>-82.26</c:v>
              </c:pt>
              <c:pt idx="53">
                <c:v>144</c:v>
              </c:pt>
              <c:pt idx="54">
                <c:v>285.89999999999998</c:v>
              </c:pt>
              <c:pt idx="55">
                <c:v>83.08</c:v>
              </c:pt>
              <c:pt idx="56">
                <c:v>-1385.14</c:v>
              </c:pt>
              <c:pt idx="57">
                <c:v>-2150.2800000000002</c:v>
              </c:pt>
              <c:pt idx="58">
                <c:v>-760.61</c:v>
              </c:pt>
              <c:pt idx="59">
                <c:v>-324.08</c:v>
              </c:pt>
              <c:pt idx="60">
                <c:v>298.48</c:v>
              </c:pt>
              <c:pt idx="61">
                <c:v>372.07</c:v>
              </c:pt>
              <c:pt idx="62">
                <c:v>437.21</c:v>
              </c:pt>
              <c:pt idx="63">
                <c:v>343.45</c:v>
              </c:pt>
              <c:pt idx="64">
                <c:v>-121.59</c:v>
              </c:pt>
              <c:pt idx="65">
                <c:v>-273.07</c:v>
              </c:pt>
              <c:pt idx="66">
                <c:v>-3390.52</c:v>
              </c:pt>
              <c:pt idx="67">
                <c:v>-940.93</c:v>
              </c:pt>
              <c:pt idx="68">
                <c:v>-38.9</c:v>
              </c:pt>
              <c:pt idx="69">
                <c:v>405.03</c:v>
              </c:pt>
              <c:pt idx="70">
                <c:v>22.85</c:v>
              </c:pt>
              <c:pt idx="71">
                <c:v>192.65</c:v>
              </c:pt>
              <c:pt idx="72">
                <c:v>-947.52</c:v>
              </c:pt>
              <c:pt idx="73">
                <c:v>-378.98</c:v>
              </c:pt>
              <c:pt idx="74">
                <c:v>-379.86</c:v>
              </c:pt>
              <c:pt idx="75">
                <c:v>-2075.63</c:v>
              </c:pt>
              <c:pt idx="76">
                <c:v>-1081.96</c:v>
              </c:pt>
              <c:pt idx="77">
                <c:v>-1116.8399999999999</c:v>
              </c:pt>
              <c:pt idx="78">
                <c:v>-1963.61</c:v>
              </c:pt>
              <c:pt idx="79">
                <c:v>238.66</c:v>
              </c:pt>
              <c:pt idx="80">
                <c:v>367.45</c:v>
              </c:pt>
              <c:pt idx="81">
                <c:v>-269.12</c:v>
              </c:pt>
              <c:pt idx="82">
                <c:v>-2257.73</c:v>
              </c:pt>
              <c:pt idx="83">
                <c:v>111.68</c:v>
              </c:pt>
              <c:pt idx="84">
                <c:v>329.18</c:v>
              </c:pt>
              <c:pt idx="85">
                <c:v>-2136.9</c:v>
              </c:pt>
              <c:pt idx="86">
                <c:v>-589.13</c:v>
              </c:pt>
              <c:pt idx="87">
                <c:v>-2108.67</c:v>
              </c:pt>
              <c:pt idx="88">
                <c:v>-875.59</c:v>
              </c:pt>
              <c:pt idx="89">
                <c:v>266.64</c:v>
              </c:pt>
              <c:pt idx="90">
                <c:v>343.85</c:v>
              </c:pt>
              <c:pt idx="91">
                <c:v>-1288.53</c:v>
              </c:pt>
              <c:pt idx="92">
                <c:v>237.37</c:v>
              </c:pt>
              <c:pt idx="93">
                <c:v>621.86</c:v>
              </c:pt>
              <c:pt idx="94">
                <c:v>18.16</c:v>
              </c:pt>
              <c:pt idx="95">
                <c:v>640.04</c:v>
              </c:pt>
              <c:pt idx="96">
                <c:v>289.83</c:v>
              </c:pt>
              <c:pt idx="97">
                <c:v>-5748.12</c:v>
              </c:pt>
              <c:pt idx="98">
                <c:v>-495.17</c:v>
              </c:pt>
              <c:pt idx="99">
                <c:v>-659.15</c:v>
              </c:pt>
              <c:pt idx="100">
                <c:v>-579.9</c:v>
              </c:pt>
              <c:pt idx="101">
                <c:v>-6232.23</c:v>
              </c:pt>
              <c:pt idx="102">
                <c:v>491.98</c:v>
              </c:pt>
              <c:pt idx="103">
                <c:v>198.34</c:v>
              </c:pt>
              <c:pt idx="104">
                <c:v>-251.85</c:v>
              </c:pt>
              <c:pt idx="105">
                <c:v>-3410.95</c:v>
              </c:pt>
              <c:pt idx="106">
                <c:v>-24.77</c:v>
              </c:pt>
              <c:pt idx="107">
                <c:v>542.13</c:v>
              </c:pt>
              <c:pt idx="108">
                <c:v>715.72</c:v>
              </c:pt>
              <c:pt idx="109">
                <c:v>456.36</c:v>
              </c:pt>
              <c:pt idx="110">
                <c:v>555.85</c:v>
              </c:pt>
              <c:pt idx="111">
                <c:v>575.99</c:v>
              </c:pt>
              <c:pt idx="112">
                <c:v>-1646.39</c:v>
              </c:pt>
              <c:pt idx="113">
                <c:v>-7331.14</c:v>
              </c:pt>
              <c:pt idx="114">
                <c:v>393.9</c:v>
              </c:pt>
              <c:pt idx="115">
                <c:v>-196.14</c:v>
              </c:pt>
              <c:pt idx="116">
                <c:v>555.79999999999995</c:v>
              </c:pt>
              <c:pt idx="117">
                <c:v>-334.5</c:v>
              </c:pt>
              <c:pt idx="118">
                <c:v>-7832.24</c:v>
              </c:pt>
              <c:pt idx="119">
                <c:v>-117.34</c:v>
              </c:pt>
              <c:pt idx="120">
                <c:v>-2624.88</c:v>
              </c:pt>
              <c:pt idx="121">
                <c:v>169.71</c:v>
              </c:pt>
              <c:pt idx="122">
                <c:v>-2874.86</c:v>
              </c:pt>
              <c:pt idx="123">
                <c:v>710.14</c:v>
              </c:pt>
              <c:pt idx="124">
                <c:v>541.37</c:v>
              </c:pt>
              <c:pt idx="125">
                <c:v>-550.41999999999996</c:v>
              </c:pt>
              <c:pt idx="126">
                <c:v>817.87</c:v>
              </c:pt>
              <c:pt idx="127">
                <c:v>-6930.69</c:v>
              </c:pt>
              <c:pt idx="128">
                <c:v>22.69</c:v>
              </c:pt>
              <c:pt idx="129">
                <c:v>-4241.82</c:v>
              </c:pt>
              <c:pt idx="130">
                <c:v>-394.03</c:v>
              </c:pt>
              <c:pt idx="131">
                <c:v>-312.10000000000002</c:v>
              </c:pt>
              <c:pt idx="132">
                <c:v>649.59</c:v>
              </c:pt>
              <c:pt idx="133">
                <c:v>-5417.68</c:v>
              </c:pt>
              <c:pt idx="134">
                <c:v>246.24</c:v>
              </c:pt>
              <c:pt idx="135">
                <c:v>896.57</c:v>
              </c:pt>
              <c:pt idx="136">
                <c:v>-698.9</c:v>
              </c:pt>
              <c:pt idx="137">
                <c:v>-1609.01</c:v>
              </c:pt>
              <c:pt idx="138">
                <c:v>-3162.71</c:v>
              </c:pt>
              <c:pt idx="139">
                <c:v>558.42999999999995</c:v>
              </c:pt>
              <c:pt idx="140">
                <c:v>-201.24</c:v>
              </c:pt>
              <c:pt idx="141">
                <c:v>-4509.74</c:v>
              </c:pt>
              <c:pt idx="142">
                <c:v>-991.19</c:v>
              </c:pt>
              <c:pt idx="143">
                <c:v>850.05</c:v>
              </c:pt>
              <c:pt idx="144">
                <c:v>-566.30999999999995</c:v>
              </c:pt>
              <c:pt idx="145">
                <c:v>-475.44</c:v>
              </c:pt>
              <c:pt idx="146">
                <c:v>-4457.46</c:v>
              </c:pt>
              <c:pt idx="147">
                <c:v>8.15</c:v>
              </c:pt>
              <c:pt idx="148">
                <c:v>-160.09</c:v>
              </c:pt>
              <c:pt idx="149">
                <c:v>-5255.14</c:v>
              </c:pt>
              <c:pt idx="150">
                <c:v>-1507.6</c:v>
              </c:pt>
              <c:pt idx="151">
                <c:v>1016.49</c:v>
              </c:pt>
              <c:pt idx="152">
                <c:v>850.68</c:v>
              </c:pt>
              <c:pt idx="153">
                <c:v>-683.59</c:v>
              </c:pt>
              <c:pt idx="154">
                <c:v>639.45000000000005</c:v>
              </c:pt>
              <c:pt idx="155">
                <c:v>817.95</c:v>
              </c:pt>
              <c:pt idx="156">
                <c:v>866.93</c:v>
              </c:pt>
              <c:pt idx="157">
                <c:v>-62.27</c:v>
              </c:pt>
              <c:pt idx="158">
                <c:v>296.14</c:v>
              </c:pt>
              <c:pt idx="159">
                <c:v>36.18</c:v>
              </c:pt>
              <c:pt idx="160">
                <c:v>911.04</c:v>
              </c:pt>
              <c:pt idx="161">
                <c:v>1121.77</c:v>
              </c:pt>
              <c:pt idx="162">
                <c:v>-1671.47</c:v>
              </c:pt>
              <c:pt idx="163">
                <c:v>-2516.0700000000002</c:v>
              </c:pt>
              <c:pt idx="164">
                <c:v>-2879.55</c:v>
              </c:pt>
              <c:pt idx="165">
                <c:v>-1639.86</c:v>
              </c:pt>
              <c:pt idx="166">
                <c:v>1002.8</c:v>
              </c:pt>
              <c:pt idx="167">
                <c:v>522.77</c:v>
              </c:pt>
              <c:pt idx="168">
                <c:v>282.7</c:v>
              </c:pt>
              <c:pt idx="169">
                <c:v>-6294.47</c:v>
              </c:pt>
              <c:pt idx="170">
                <c:v>1049.92</c:v>
              </c:pt>
              <c:pt idx="171">
                <c:v>-767.2</c:v>
              </c:pt>
              <c:pt idx="172">
                <c:v>-697.1</c:v>
              </c:pt>
              <c:pt idx="173">
                <c:v>-390.65</c:v>
              </c:pt>
              <c:pt idx="174">
                <c:v>-2133.38</c:v>
              </c:pt>
              <c:pt idx="175">
                <c:v>247.14</c:v>
              </c:pt>
              <c:pt idx="176">
                <c:v>-102.97</c:v>
              </c:pt>
              <c:pt idx="177">
                <c:v>-2388.25</c:v>
              </c:pt>
              <c:pt idx="178">
                <c:v>-1915.42</c:v>
              </c:pt>
              <c:pt idx="179">
                <c:v>769.04</c:v>
              </c:pt>
              <c:pt idx="180">
                <c:v>634.20000000000005</c:v>
              </c:pt>
              <c:pt idx="181">
                <c:v>452.45</c:v>
              </c:pt>
              <c:pt idx="182">
                <c:v>827.82</c:v>
              </c:pt>
              <c:pt idx="183">
                <c:v>1182.54</c:v>
              </c:pt>
              <c:pt idx="184">
                <c:v>325.39</c:v>
              </c:pt>
              <c:pt idx="185">
                <c:v>1102.6600000000001</c:v>
              </c:pt>
              <c:pt idx="186">
                <c:v>471.65</c:v>
              </c:pt>
              <c:pt idx="187">
                <c:v>1322.28</c:v>
              </c:pt>
              <c:pt idx="188">
                <c:v>128.07</c:v>
              </c:pt>
              <c:pt idx="189">
                <c:v>-1284.3800000000001</c:v>
              </c:pt>
              <c:pt idx="190">
                <c:v>-2575.4299999999998</c:v>
              </c:pt>
              <c:pt idx="191">
                <c:v>1004</c:v>
              </c:pt>
              <c:pt idx="192">
                <c:v>398.95</c:v>
              </c:pt>
              <c:pt idx="193">
                <c:v>-5612.3</c:v>
              </c:pt>
              <c:pt idx="194">
                <c:v>328.78</c:v>
              </c:pt>
              <c:pt idx="195">
                <c:v>1451.92</c:v>
              </c:pt>
              <c:pt idx="196">
                <c:v>-426.91</c:v>
              </c:pt>
              <c:pt idx="197">
                <c:v>-2031.82</c:v>
              </c:pt>
              <c:pt idx="198">
                <c:v>-4565.4399999999996</c:v>
              </c:pt>
              <c:pt idx="199">
                <c:v>-808.44</c:v>
              </c:pt>
              <c:pt idx="200">
                <c:v>-926.4</c:v>
              </c:pt>
              <c:pt idx="201">
                <c:v>-1496.61</c:v>
              </c:pt>
              <c:pt idx="202">
                <c:v>965.93</c:v>
              </c:pt>
              <c:pt idx="203">
                <c:v>2.08</c:v>
              </c:pt>
              <c:pt idx="204">
                <c:v>1548.59</c:v>
              </c:pt>
              <c:pt idx="205">
                <c:v>-1020.24</c:v>
              </c:pt>
              <c:pt idx="206">
                <c:v>316.67</c:v>
              </c:pt>
              <c:pt idx="207">
                <c:v>-883.9</c:v>
              </c:pt>
              <c:pt idx="208">
                <c:v>993.76</c:v>
              </c:pt>
              <c:pt idx="209">
                <c:v>695.41</c:v>
              </c:pt>
              <c:pt idx="210">
                <c:v>1362.45</c:v>
              </c:pt>
              <c:pt idx="211">
                <c:v>-984.42</c:v>
              </c:pt>
              <c:pt idx="212">
                <c:v>-1175.42</c:v>
              </c:pt>
              <c:pt idx="213">
                <c:v>-2650.37</c:v>
              </c:pt>
              <c:pt idx="214">
                <c:v>865.14</c:v>
              </c:pt>
              <c:pt idx="215">
                <c:v>1173.55</c:v>
              </c:pt>
              <c:pt idx="216">
                <c:v>667.42</c:v>
              </c:pt>
              <c:pt idx="217">
                <c:v>1035.77</c:v>
              </c:pt>
              <c:pt idx="218">
                <c:v>903.65</c:v>
              </c:pt>
              <c:pt idx="219">
                <c:v>-3607.7</c:v>
              </c:pt>
              <c:pt idx="220">
                <c:v>648.21</c:v>
              </c:pt>
              <c:pt idx="221">
                <c:v>-7671</c:v>
              </c:pt>
              <c:pt idx="222">
                <c:v>575.6</c:v>
              </c:pt>
              <c:pt idx="223">
                <c:v>-1833.6</c:v>
              </c:pt>
              <c:pt idx="224">
                <c:v>-5501.4</c:v>
              </c:pt>
              <c:pt idx="225">
                <c:v>547.39</c:v>
              </c:pt>
              <c:pt idx="226">
                <c:v>-1272.5899999999999</c:v>
              </c:pt>
              <c:pt idx="227">
                <c:v>1210.72</c:v>
              </c:pt>
              <c:pt idx="228">
                <c:v>1320.67</c:v>
              </c:pt>
              <c:pt idx="229">
                <c:v>1204.44</c:v>
              </c:pt>
              <c:pt idx="230">
                <c:v>1083.05</c:v>
              </c:pt>
              <c:pt idx="231">
                <c:v>475.23</c:v>
              </c:pt>
              <c:pt idx="232">
                <c:v>-472.13</c:v>
              </c:pt>
              <c:pt idx="233">
                <c:v>1755.54</c:v>
              </c:pt>
              <c:pt idx="234">
                <c:v>619.75</c:v>
              </c:pt>
              <c:pt idx="235">
                <c:v>1271.8900000000001</c:v>
              </c:pt>
              <c:pt idx="236">
                <c:v>-496.37</c:v>
              </c:pt>
              <c:pt idx="237">
                <c:v>151.68</c:v>
              </c:pt>
              <c:pt idx="238">
                <c:v>880.31</c:v>
              </c:pt>
              <c:pt idx="239">
                <c:v>-503.33</c:v>
              </c:pt>
              <c:pt idx="240">
                <c:v>-786.08</c:v>
              </c:pt>
              <c:pt idx="241">
                <c:v>-1388.55</c:v>
              </c:pt>
              <c:pt idx="242">
                <c:v>-3166.87</c:v>
              </c:pt>
              <c:pt idx="243">
                <c:v>953.76</c:v>
              </c:pt>
              <c:pt idx="244">
                <c:v>1902.9</c:v>
              </c:pt>
              <c:pt idx="245">
                <c:v>738.14</c:v>
              </c:pt>
              <c:pt idx="246">
                <c:v>-1841.22</c:v>
              </c:pt>
              <c:pt idx="247">
                <c:v>1107.56</c:v>
              </c:pt>
              <c:pt idx="248">
                <c:v>-7373.83</c:v>
              </c:pt>
              <c:pt idx="249">
                <c:v>1540.09</c:v>
              </c:pt>
              <c:pt idx="250">
                <c:v>785.5</c:v>
              </c:pt>
              <c:pt idx="251">
                <c:v>989.19</c:v>
              </c:pt>
              <c:pt idx="252">
                <c:v>-1330.34</c:v>
              </c:pt>
              <c:pt idx="253">
                <c:v>1557.31</c:v>
              </c:pt>
              <c:pt idx="254">
                <c:v>665.21</c:v>
              </c:pt>
              <c:pt idx="255">
                <c:v>1176.5</c:v>
              </c:pt>
              <c:pt idx="256">
                <c:v>-4056.04</c:v>
              </c:pt>
              <c:pt idx="257">
                <c:v>-3263.21</c:v>
              </c:pt>
              <c:pt idx="258">
                <c:v>1458.78</c:v>
              </c:pt>
              <c:pt idx="259">
                <c:v>2042.58</c:v>
              </c:pt>
              <c:pt idx="260">
                <c:v>1769.21</c:v>
              </c:pt>
              <c:pt idx="261">
                <c:v>1104.3699999999999</c:v>
              </c:pt>
              <c:pt idx="262">
                <c:v>-1697.37</c:v>
              </c:pt>
              <c:pt idx="263">
                <c:v>-3559.97</c:v>
              </c:pt>
              <c:pt idx="264">
                <c:v>-5591.95</c:v>
              </c:pt>
              <c:pt idx="265">
                <c:v>653.66999999999996</c:v>
              </c:pt>
              <c:pt idx="266">
                <c:v>-319.86</c:v>
              </c:pt>
              <c:pt idx="267">
                <c:v>1824.93</c:v>
              </c:pt>
              <c:pt idx="268">
                <c:v>1321.27</c:v>
              </c:pt>
              <c:pt idx="269">
                <c:v>-1918.06</c:v>
              </c:pt>
              <c:pt idx="270">
                <c:v>459.07</c:v>
              </c:pt>
              <c:pt idx="271">
                <c:v>1938.06</c:v>
              </c:pt>
              <c:pt idx="272">
                <c:v>-1911.57</c:v>
              </c:pt>
              <c:pt idx="273">
                <c:v>-3167.44</c:v>
              </c:pt>
              <c:pt idx="274">
                <c:v>1015.3</c:v>
              </c:pt>
              <c:pt idx="275">
                <c:v>672.38</c:v>
              </c:pt>
              <c:pt idx="276">
                <c:v>955.52</c:v>
              </c:pt>
              <c:pt idx="277">
                <c:v>-3264.47</c:v>
              </c:pt>
              <c:pt idx="278">
                <c:v>626.02</c:v>
              </c:pt>
              <c:pt idx="279">
                <c:v>-4667.09</c:v>
              </c:pt>
              <c:pt idx="280">
                <c:v>2235.15</c:v>
              </c:pt>
              <c:pt idx="281">
                <c:v>1643.35</c:v>
              </c:pt>
              <c:pt idx="282">
                <c:v>1015.92</c:v>
              </c:pt>
              <c:pt idx="283">
                <c:v>-1032.83</c:v>
              </c:pt>
              <c:pt idx="284">
                <c:v>1609.74</c:v>
              </c:pt>
              <c:pt idx="285">
                <c:v>-2417.04</c:v>
              </c:pt>
              <c:pt idx="286">
                <c:v>-573.74</c:v>
              </c:pt>
              <c:pt idx="287">
                <c:v>1299.68</c:v>
              </c:pt>
              <c:pt idx="288">
                <c:v>292.16000000000003</c:v>
              </c:pt>
              <c:pt idx="289">
                <c:v>-1850.93</c:v>
              </c:pt>
              <c:pt idx="290">
                <c:v>721.74</c:v>
              </c:pt>
              <c:pt idx="291">
                <c:v>2254.36</c:v>
              </c:pt>
              <c:pt idx="292">
                <c:v>-3242.88</c:v>
              </c:pt>
              <c:pt idx="293">
                <c:v>42.24</c:v>
              </c:pt>
              <c:pt idx="294">
                <c:v>-984.92</c:v>
              </c:pt>
              <c:pt idx="295">
                <c:v>1371.93</c:v>
              </c:pt>
              <c:pt idx="296">
                <c:v>1495.55</c:v>
              </c:pt>
              <c:pt idx="297">
                <c:v>-717.35</c:v>
              </c:pt>
              <c:pt idx="298">
                <c:v>-4341.96</c:v>
              </c:pt>
              <c:pt idx="299">
                <c:v>-1410.44</c:v>
              </c:pt>
              <c:pt idx="300">
                <c:v>1126.25</c:v>
              </c:pt>
              <c:pt idx="301">
                <c:v>1259.8499999999999</c:v>
              </c:pt>
              <c:pt idx="302">
                <c:v>-3627.93</c:v>
              </c:pt>
              <c:pt idx="303">
                <c:v>552.79999999999995</c:v>
              </c:pt>
              <c:pt idx="304">
                <c:v>997.05</c:v>
              </c:pt>
              <c:pt idx="305">
                <c:v>-6055.14</c:v>
              </c:pt>
              <c:pt idx="306">
                <c:v>-3589.59</c:v>
              </c:pt>
              <c:pt idx="307">
                <c:v>2329.0300000000002</c:v>
              </c:pt>
              <c:pt idx="308">
                <c:v>1355.17</c:v>
              </c:pt>
              <c:pt idx="309">
                <c:v>1584.87</c:v>
              </c:pt>
              <c:pt idx="310">
                <c:v>-1418.87</c:v>
              </c:pt>
              <c:pt idx="311">
                <c:v>140.27000000000001</c:v>
              </c:pt>
              <c:pt idx="312">
                <c:v>1358.81</c:v>
              </c:pt>
              <c:pt idx="313">
                <c:v>1646.35</c:v>
              </c:pt>
              <c:pt idx="314">
                <c:v>2479.25</c:v>
              </c:pt>
              <c:pt idx="315">
                <c:v>-6219.48</c:v>
              </c:pt>
              <c:pt idx="316">
                <c:v>961.13</c:v>
              </c:pt>
              <c:pt idx="317">
                <c:v>1289.1300000000001</c:v>
              </c:pt>
              <c:pt idx="318">
                <c:v>2066.79</c:v>
              </c:pt>
              <c:pt idx="319">
                <c:v>-993.96</c:v>
              </c:pt>
              <c:pt idx="320">
                <c:v>-679.96</c:v>
              </c:pt>
              <c:pt idx="321">
                <c:v>1173.18</c:v>
              </c:pt>
              <c:pt idx="322">
                <c:v>1625.7</c:v>
              </c:pt>
              <c:pt idx="323">
                <c:v>214.18</c:v>
              </c:pt>
              <c:pt idx="324">
                <c:v>-996.62</c:v>
              </c:pt>
              <c:pt idx="325">
                <c:v>268.16000000000003</c:v>
              </c:pt>
              <c:pt idx="326">
                <c:v>2183.9699999999998</c:v>
              </c:pt>
              <c:pt idx="327">
                <c:v>984.04</c:v>
              </c:pt>
              <c:pt idx="328">
                <c:v>848.25</c:v>
              </c:pt>
              <c:pt idx="329">
                <c:v>-2439.2800000000002</c:v>
              </c:pt>
              <c:pt idx="330">
                <c:v>1475.31</c:v>
              </c:pt>
              <c:pt idx="331">
                <c:v>842.9</c:v>
              </c:pt>
              <c:pt idx="332">
                <c:v>1439.58</c:v>
              </c:pt>
              <c:pt idx="333">
                <c:v>1015.56</c:v>
              </c:pt>
              <c:pt idx="334">
                <c:v>-1578.93</c:v>
              </c:pt>
              <c:pt idx="335">
                <c:v>-7236.16</c:v>
              </c:pt>
              <c:pt idx="336">
                <c:v>-4333.3</c:v>
              </c:pt>
              <c:pt idx="337">
                <c:v>1224.9000000000001</c:v>
              </c:pt>
              <c:pt idx="338">
                <c:v>-2584.12</c:v>
              </c:pt>
              <c:pt idx="339">
                <c:v>-2679.18</c:v>
              </c:pt>
              <c:pt idx="340">
                <c:v>1306.67</c:v>
              </c:pt>
              <c:pt idx="341">
                <c:v>-3934.26</c:v>
              </c:pt>
              <c:pt idx="342">
                <c:v>2820.69</c:v>
              </c:pt>
              <c:pt idx="343">
                <c:v>-8442.1299999999992</c:v>
              </c:pt>
              <c:pt idx="344">
                <c:v>1600.19</c:v>
              </c:pt>
              <c:pt idx="345">
                <c:v>656.93</c:v>
              </c:pt>
              <c:pt idx="346">
                <c:v>2712.3</c:v>
              </c:pt>
              <c:pt idx="347">
                <c:v>-2749.6</c:v>
              </c:pt>
              <c:pt idx="348">
                <c:v>519.49</c:v>
              </c:pt>
              <c:pt idx="349">
                <c:v>1531.6</c:v>
              </c:pt>
              <c:pt idx="350">
                <c:v>1657.49</c:v>
              </c:pt>
              <c:pt idx="351">
                <c:v>2201.88</c:v>
              </c:pt>
              <c:pt idx="352">
                <c:v>-6387.85</c:v>
              </c:pt>
              <c:pt idx="353">
                <c:v>-2450.4</c:v>
              </c:pt>
              <c:pt idx="354">
                <c:v>2760.85</c:v>
              </c:pt>
              <c:pt idx="355">
                <c:v>2003.14</c:v>
              </c:pt>
              <c:pt idx="356">
                <c:v>-3717.75</c:v>
              </c:pt>
              <c:pt idx="357">
                <c:v>1824.96</c:v>
              </c:pt>
              <c:pt idx="358">
                <c:v>-28.01</c:v>
              </c:pt>
              <c:pt idx="359">
                <c:v>2317.81</c:v>
              </c:pt>
              <c:pt idx="360">
                <c:v>756.16</c:v>
              </c:pt>
              <c:pt idx="361">
                <c:v>2315.58</c:v>
              </c:pt>
              <c:pt idx="362">
                <c:v>710.54</c:v>
              </c:pt>
              <c:pt idx="363">
                <c:v>-3822.47</c:v>
              </c:pt>
              <c:pt idx="364">
                <c:v>2294.1799999999998</c:v>
              </c:pt>
              <c:pt idx="365">
                <c:v>-280.02999999999997</c:v>
              </c:pt>
              <c:pt idx="366">
                <c:v>-2103.31</c:v>
              </c:pt>
              <c:pt idx="367">
                <c:v>2518.6</c:v>
              </c:pt>
              <c:pt idx="368">
                <c:v>-499.15</c:v>
              </c:pt>
              <c:pt idx="369">
                <c:v>2322.7600000000002</c:v>
              </c:pt>
              <c:pt idx="370">
                <c:v>474.96</c:v>
              </c:pt>
              <c:pt idx="371">
                <c:v>1948.98</c:v>
              </c:pt>
              <c:pt idx="372">
                <c:v>875.49</c:v>
              </c:pt>
              <c:pt idx="373">
                <c:v>1023.76</c:v>
              </c:pt>
              <c:pt idx="374">
                <c:v>1209.0899999999999</c:v>
              </c:pt>
              <c:pt idx="375">
                <c:v>1436.99</c:v>
              </c:pt>
              <c:pt idx="376">
                <c:v>1996.06</c:v>
              </c:pt>
              <c:pt idx="377">
                <c:v>2287.56</c:v>
              </c:pt>
              <c:pt idx="378">
                <c:v>-4299.58</c:v>
              </c:pt>
              <c:pt idx="379">
                <c:v>2039.5</c:v>
              </c:pt>
              <c:pt idx="380">
                <c:v>2136.86</c:v>
              </c:pt>
              <c:pt idx="381">
                <c:v>-2428.36</c:v>
              </c:pt>
              <c:pt idx="382">
                <c:v>-299.01</c:v>
              </c:pt>
              <c:pt idx="383">
                <c:v>-387.92</c:v>
              </c:pt>
              <c:pt idx="384">
                <c:v>-4383.76</c:v>
              </c:pt>
              <c:pt idx="385">
                <c:v>2027.58</c:v>
              </c:pt>
              <c:pt idx="386">
                <c:v>642.28</c:v>
              </c:pt>
              <c:pt idx="387">
                <c:v>-359.06</c:v>
              </c:pt>
              <c:pt idx="388">
                <c:v>-56.82</c:v>
              </c:pt>
              <c:pt idx="389">
                <c:v>2569.09</c:v>
              </c:pt>
              <c:pt idx="390">
                <c:v>884.31</c:v>
              </c:pt>
              <c:pt idx="391">
                <c:v>2379.12</c:v>
              </c:pt>
              <c:pt idx="392">
                <c:v>-171.69</c:v>
              </c:pt>
              <c:pt idx="393">
                <c:v>-1924.89</c:v>
              </c:pt>
              <c:pt idx="394">
                <c:v>-300.55</c:v>
              </c:pt>
              <c:pt idx="395">
                <c:v>2015.68</c:v>
              </c:pt>
              <c:pt idx="396">
                <c:v>3112.98</c:v>
              </c:pt>
              <c:pt idx="397">
                <c:v>1406.32</c:v>
              </c:pt>
              <c:pt idx="398">
                <c:v>1319.45</c:v>
              </c:pt>
              <c:pt idx="399">
                <c:v>1359.23</c:v>
              </c:pt>
              <c:pt idx="400">
                <c:v>2255.42</c:v>
              </c:pt>
              <c:pt idx="401">
                <c:v>728.23</c:v>
              </c:pt>
              <c:pt idx="402">
                <c:v>2328.0300000000002</c:v>
              </c:pt>
              <c:pt idx="403">
                <c:v>1415.37</c:v>
              </c:pt>
              <c:pt idx="404">
                <c:v>-2311.1</c:v>
              </c:pt>
              <c:pt idx="405">
                <c:v>2425.6999999999998</c:v>
              </c:pt>
              <c:pt idx="406">
                <c:v>2903.39</c:v>
              </c:pt>
              <c:pt idx="407">
                <c:v>805.45</c:v>
              </c:pt>
              <c:pt idx="408">
                <c:v>-4516.7</c:v>
              </c:pt>
              <c:pt idx="409">
                <c:v>1192.0999999999999</c:v>
              </c:pt>
              <c:pt idx="410">
                <c:v>1082.3499999999999</c:v>
              </c:pt>
              <c:pt idx="411">
                <c:v>694.8</c:v>
              </c:pt>
              <c:pt idx="412">
                <c:v>2607.21</c:v>
              </c:pt>
              <c:pt idx="413">
                <c:v>2588.69</c:v>
              </c:pt>
              <c:pt idx="414">
                <c:v>387.48</c:v>
              </c:pt>
              <c:pt idx="415">
                <c:v>3482.29</c:v>
              </c:pt>
              <c:pt idx="416">
                <c:v>1672.18</c:v>
              </c:pt>
              <c:pt idx="417">
                <c:v>3356.23</c:v>
              </c:pt>
              <c:pt idx="418">
                <c:v>-1324.96</c:v>
              </c:pt>
              <c:pt idx="419">
                <c:v>3133.94</c:v>
              </c:pt>
              <c:pt idx="420">
                <c:v>-3463.36</c:v>
              </c:pt>
              <c:pt idx="421">
                <c:v>-2754.27</c:v>
              </c:pt>
              <c:pt idx="422">
                <c:v>-2383.61</c:v>
              </c:pt>
              <c:pt idx="423">
                <c:v>941.1</c:v>
              </c:pt>
              <c:pt idx="424">
                <c:v>-1108.03</c:v>
              </c:pt>
              <c:pt idx="425">
                <c:v>3015.05</c:v>
              </c:pt>
              <c:pt idx="426">
                <c:v>2358.4299999999998</c:v>
              </c:pt>
              <c:pt idx="427">
                <c:v>3131.45</c:v>
              </c:pt>
              <c:pt idx="428">
                <c:v>1171.3</c:v>
              </c:pt>
              <c:pt idx="429">
                <c:v>-759.95</c:v>
              </c:pt>
              <c:pt idx="430">
                <c:v>1295.5999999999999</c:v>
              </c:pt>
              <c:pt idx="431">
                <c:v>2919.7</c:v>
              </c:pt>
              <c:pt idx="432">
                <c:v>3250.98</c:v>
              </c:pt>
              <c:pt idx="433">
                <c:v>1541.76</c:v>
              </c:pt>
              <c:pt idx="434">
                <c:v>3371.93</c:v>
              </c:pt>
              <c:pt idx="435">
                <c:v>2667.79</c:v>
              </c:pt>
              <c:pt idx="436">
                <c:v>1381.5</c:v>
              </c:pt>
              <c:pt idx="437">
                <c:v>3952.04</c:v>
              </c:pt>
              <c:pt idx="438">
                <c:v>-5989.38</c:v>
              </c:pt>
              <c:pt idx="439">
                <c:v>1855.56</c:v>
              </c:pt>
              <c:pt idx="440">
                <c:v>356.54</c:v>
              </c:pt>
              <c:pt idx="441">
                <c:v>4241.6099999999997</c:v>
              </c:pt>
              <c:pt idx="442">
                <c:v>2437.62</c:v>
              </c:pt>
              <c:pt idx="443">
                <c:v>-209.17</c:v>
              </c:pt>
              <c:pt idx="444">
                <c:v>2005.09</c:v>
              </c:pt>
              <c:pt idx="445">
                <c:v>3258.27</c:v>
              </c:pt>
              <c:pt idx="446">
                <c:v>2098.84</c:v>
              </c:pt>
              <c:pt idx="447">
                <c:v>2103.29</c:v>
              </c:pt>
              <c:pt idx="448">
                <c:v>2649.5</c:v>
              </c:pt>
              <c:pt idx="449">
                <c:v>1915.82</c:v>
              </c:pt>
              <c:pt idx="450">
                <c:v>4349.8599999999997</c:v>
              </c:pt>
              <c:pt idx="451">
                <c:v>-2083.83</c:v>
              </c:pt>
              <c:pt idx="452">
                <c:v>54.09</c:v>
              </c:pt>
              <c:pt idx="453">
                <c:v>450.41</c:v>
              </c:pt>
              <c:pt idx="454">
                <c:v>2679.08</c:v>
              </c:pt>
              <c:pt idx="455">
                <c:v>4347.71</c:v>
              </c:pt>
              <c:pt idx="456">
                <c:v>3494.01</c:v>
              </c:pt>
              <c:pt idx="457">
                <c:v>2728.96</c:v>
              </c:pt>
              <c:pt idx="458">
                <c:v>3468.65</c:v>
              </c:pt>
              <c:pt idx="459">
                <c:v>-2237.4499999999998</c:v>
              </c:pt>
              <c:pt idx="460">
                <c:v>3055.82</c:v>
              </c:pt>
              <c:pt idx="461">
                <c:v>3703.87</c:v>
              </c:pt>
              <c:pt idx="462">
                <c:v>-2977.41</c:v>
              </c:pt>
              <c:pt idx="463">
                <c:v>-1298.6199999999999</c:v>
              </c:pt>
              <c:pt idx="464">
                <c:v>1918.37</c:v>
              </c:pt>
              <c:pt idx="465">
                <c:v>537.04999999999995</c:v>
              </c:pt>
              <c:pt idx="466">
                <c:v>770.36</c:v>
              </c:pt>
              <c:pt idx="467">
                <c:v>-3619.14</c:v>
              </c:pt>
              <c:pt idx="468">
                <c:v>3268.22</c:v>
              </c:pt>
              <c:pt idx="469">
                <c:v>-223.43</c:v>
              </c:pt>
              <c:pt idx="470">
                <c:v>4402.8100000000004</c:v>
              </c:pt>
              <c:pt idx="471">
                <c:v>111.87</c:v>
              </c:pt>
              <c:pt idx="472">
                <c:v>-1155.9100000000001</c:v>
              </c:pt>
              <c:pt idx="473">
                <c:v>1303.81</c:v>
              </c:pt>
              <c:pt idx="474">
                <c:v>2575.86</c:v>
              </c:pt>
              <c:pt idx="475">
                <c:v>602.87</c:v>
              </c:pt>
              <c:pt idx="476">
                <c:v>853.87</c:v>
              </c:pt>
              <c:pt idx="477">
                <c:v>1083.73</c:v>
              </c:pt>
              <c:pt idx="478">
                <c:v>1185.51</c:v>
              </c:pt>
              <c:pt idx="479">
                <c:v>-2598.92</c:v>
              </c:pt>
              <c:pt idx="480">
                <c:v>3243.26</c:v>
              </c:pt>
              <c:pt idx="481">
                <c:v>4018.14</c:v>
              </c:pt>
              <c:pt idx="482">
                <c:v>3204.98</c:v>
              </c:pt>
              <c:pt idx="483">
                <c:v>3920.26</c:v>
              </c:pt>
              <c:pt idx="484">
                <c:v>1902.05</c:v>
              </c:pt>
              <c:pt idx="485">
                <c:v>2281.86</c:v>
              </c:pt>
              <c:pt idx="486">
                <c:v>4395.09</c:v>
              </c:pt>
              <c:pt idx="487">
                <c:v>-866.54</c:v>
              </c:pt>
              <c:pt idx="488">
                <c:v>4761.04</c:v>
              </c:pt>
              <c:pt idx="489">
                <c:v>3812.17</c:v>
              </c:pt>
              <c:pt idx="490">
                <c:v>3701.73</c:v>
              </c:pt>
              <c:pt idx="491">
                <c:v>-5225</c:v>
              </c:pt>
              <c:pt idx="492">
                <c:v>4184.75</c:v>
              </c:pt>
              <c:pt idx="493">
                <c:v>-827.44</c:v>
              </c:pt>
              <c:pt idx="494">
                <c:v>2169.29</c:v>
              </c:pt>
              <c:pt idx="495">
                <c:v>-317.37</c:v>
              </c:pt>
              <c:pt idx="496">
                <c:v>-3201.87</c:v>
              </c:pt>
              <c:pt idx="497">
                <c:v>-378.65</c:v>
              </c:pt>
              <c:pt idx="498">
                <c:v>1400.75</c:v>
              </c:pt>
              <c:pt idx="499">
                <c:v>3381.58</c:v>
              </c:pt>
              <c:pt idx="500">
                <c:v>2798.13</c:v>
              </c:pt>
              <c:pt idx="501">
                <c:v>2864.77</c:v>
              </c:pt>
              <c:pt idx="502">
                <c:v>4719.26</c:v>
              </c:pt>
              <c:pt idx="503">
                <c:v>4771.8</c:v>
              </c:pt>
              <c:pt idx="504">
                <c:v>4816.8599999999997</c:v>
              </c:pt>
              <c:pt idx="505">
                <c:v>4621.1099999999997</c:v>
              </c:pt>
              <c:pt idx="506">
                <c:v>1271.99</c:v>
              </c:pt>
              <c:pt idx="507">
                <c:v>1997.35</c:v>
              </c:pt>
              <c:pt idx="508">
                <c:v>-5135.18</c:v>
              </c:pt>
              <c:pt idx="509">
                <c:v>4051.19</c:v>
              </c:pt>
              <c:pt idx="510">
                <c:v>2505.7600000000002</c:v>
              </c:pt>
              <c:pt idx="511">
                <c:v>3188.26</c:v>
              </c:pt>
              <c:pt idx="512">
                <c:v>2878.71</c:v>
              </c:pt>
              <c:pt idx="513">
                <c:v>2214.6999999999998</c:v>
              </c:pt>
              <c:pt idx="514">
                <c:v>3185.77</c:v>
              </c:pt>
              <c:pt idx="515">
                <c:v>-2166.23</c:v>
              </c:pt>
              <c:pt idx="516">
                <c:v>-1928.15</c:v>
              </c:pt>
              <c:pt idx="517">
                <c:v>2381.5500000000002</c:v>
              </c:pt>
              <c:pt idx="518">
                <c:v>2083.29</c:v>
              </c:pt>
              <c:pt idx="519">
                <c:v>4828.3599999999997</c:v>
              </c:pt>
              <c:pt idx="520">
                <c:v>4496.51</c:v>
              </c:pt>
              <c:pt idx="521">
                <c:v>3165.81</c:v>
              </c:pt>
              <c:pt idx="522">
                <c:v>2321.23</c:v>
              </c:pt>
              <c:pt idx="523">
                <c:v>916.53</c:v>
              </c:pt>
              <c:pt idx="524">
                <c:v>3827.01</c:v>
              </c:pt>
              <c:pt idx="525">
                <c:v>3352.89</c:v>
              </c:pt>
              <c:pt idx="526">
                <c:v>1887.2</c:v>
              </c:pt>
              <c:pt idx="527">
                <c:v>2928.89</c:v>
              </c:pt>
              <c:pt idx="528">
                <c:v>4407.84</c:v>
              </c:pt>
              <c:pt idx="529">
                <c:v>-762.23</c:v>
              </c:pt>
              <c:pt idx="530">
                <c:v>2594.65</c:v>
              </c:pt>
              <c:pt idx="531">
                <c:v>2562.0100000000002</c:v>
              </c:pt>
              <c:pt idx="532">
                <c:v>3595.9</c:v>
              </c:pt>
              <c:pt idx="533">
                <c:v>3799.2</c:v>
              </c:pt>
              <c:pt idx="534">
                <c:v>2659.35</c:v>
              </c:pt>
              <c:pt idx="535">
                <c:v>4495.71</c:v>
              </c:pt>
              <c:pt idx="536">
                <c:v>2869.76</c:v>
              </c:pt>
              <c:pt idx="537">
                <c:v>3913.55</c:v>
              </c:pt>
              <c:pt idx="538">
                <c:v>4326.6499999999996</c:v>
              </c:pt>
              <c:pt idx="539">
                <c:v>-1091.97</c:v>
              </c:pt>
              <c:pt idx="540">
                <c:v>3286.22</c:v>
              </c:pt>
              <c:pt idx="541">
                <c:v>-674.02</c:v>
              </c:pt>
              <c:pt idx="542">
                <c:v>-4596.93</c:v>
              </c:pt>
              <c:pt idx="543">
                <c:v>3064.8</c:v>
              </c:pt>
              <c:pt idx="544">
                <c:v>2097.87</c:v>
              </c:pt>
              <c:pt idx="545">
                <c:v>4858.6000000000004</c:v>
              </c:pt>
              <c:pt idx="546">
                <c:v>4839.2700000000004</c:v>
              </c:pt>
              <c:pt idx="547">
                <c:v>5211.6499999999996</c:v>
              </c:pt>
              <c:pt idx="548">
                <c:v>4363.51</c:v>
              </c:pt>
              <c:pt idx="549">
                <c:v>-788.55</c:v>
              </c:pt>
              <c:pt idx="550">
                <c:v>-2395.44</c:v>
              </c:pt>
              <c:pt idx="551">
                <c:v>4077.01</c:v>
              </c:pt>
              <c:pt idx="552">
                <c:v>4432.08</c:v>
              </c:pt>
              <c:pt idx="553">
                <c:v>2769.56</c:v>
              </c:pt>
              <c:pt idx="554">
                <c:v>582.83000000000004</c:v>
              </c:pt>
              <c:pt idx="555">
                <c:v>2495.4</c:v>
              </c:pt>
              <c:pt idx="556">
                <c:v>3843.21</c:v>
              </c:pt>
              <c:pt idx="557">
                <c:v>4380.58</c:v>
              </c:pt>
              <c:pt idx="558">
                <c:v>4149.5</c:v>
              </c:pt>
              <c:pt idx="559">
                <c:v>4348.33</c:v>
              </c:pt>
              <c:pt idx="560">
                <c:v>3089.14</c:v>
              </c:pt>
              <c:pt idx="561">
                <c:v>5592.05</c:v>
              </c:pt>
              <c:pt idx="562">
                <c:v>2372.9499999999998</c:v>
              </c:pt>
              <c:pt idx="563">
                <c:v>-2786.94</c:v>
              </c:pt>
              <c:pt idx="564">
                <c:v>3680.16</c:v>
              </c:pt>
              <c:pt idx="565">
                <c:v>2001.57</c:v>
              </c:pt>
              <c:pt idx="566">
                <c:v>1706.14</c:v>
              </c:pt>
              <c:pt idx="567">
                <c:v>4483.78</c:v>
              </c:pt>
              <c:pt idx="568">
                <c:v>3132.24</c:v>
              </c:pt>
              <c:pt idx="569">
                <c:v>5716.59</c:v>
              </c:pt>
              <c:pt idx="570">
                <c:v>1556.4</c:v>
              </c:pt>
              <c:pt idx="571">
                <c:v>2057.5700000000002</c:v>
              </c:pt>
              <c:pt idx="572">
                <c:v>5932.15</c:v>
              </c:pt>
              <c:pt idx="573">
                <c:v>2923.66</c:v>
              </c:pt>
              <c:pt idx="574">
                <c:v>2085.83</c:v>
              </c:pt>
              <c:pt idx="575">
                <c:v>4352.79</c:v>
              </c:pt>
              <c:pt idx="576">
                <c:v>2043.6</c:v>
              </c:pt>
              <c:pt idx="577">
                <c:v>-135.65</c:v>
              </c:pt>
              <c:pt idx="578">
                <c:v>1597.57</c:v>
              </c:pt>
              <c:pt idx="579">
                <c:v>2505.73</c:v>
              </c:pt>
              <c:pt idx="580">
                <c:v>1182.4100000000001</c:v>
              </c:pt>
              <c:pt idx="581">
                <c:v>5442.59</c:v>
              </c:pt>
              <c:pt idx="582">
                <c:v>2692.26</c:v>
              </c:pt>
              <c:pt idx="583">
                <c:v>4965.79</c:v>
              </c:pt>
              <c:pt idx="584">
                <c:v>3492.39</c:v>
              </c:pt>
              <c:pt idx="585">
                <c:v>4230.5200000000004</c:v>
              </c:pt>
              <c:pt idx="586">
                <c:v>4186.1400000000003</c:v>
              </c:pt>
              <c:pt idx="587">
                <c:v>1137.83</c:v>
              </c:pt>
              <c:pt idx="588">
                <c:v>2386.63</c:v>
              </c:pt>
              <c:pt idx="589">
                <c:v>5902.12</c:v>
              </c:pt>
              <c:pt idx="590">
                <c:v>3469.28</c:v>
              </c:pt>
              <c:pt idx="591">
                <c:v>4669.41</c:v>
              </c:pt>
              <c:pt idx="592">
                <c:v>2213.88</c:v>
              </c:pt>
              <c:pt idx="593">
                <c:v>6297.23</c:v>
              </c:pt>
              <c:pt idx="594">
                <c:v>3278.81</c:v>
              </c:pt>
              <c:pt idx="595">
                <c:v>4971.68</c:v>
              </c:pt>
              <c:pt idx="596">
                <c:v>3214.86</c:v>
              </c:pt>
              <c:pt idx="597">
                <c:v>-2271.98</c:v>
              </c:pt>
              <c:pt idx="598">
                <c:v>4488.07</c:v>
              </c:pt>
              <c:pt idx="599">
                <c:v>493.83</c:v>
              </c:pt>
              <c:pt idx="600">
                <c:v>5700.16</c:v>
              </c:pt>
              <c:pt idx="601">
                <c:v>5177.24</c:v>
              </c:pt>
              <c:pt idx="602">
                <c:v>4285.03</c:v>
              </c:pt>
              <c:pt idx="603">
                <c:v>3301.47</c:v>
              </c:pt>
              <c:pt idx="604">
                <c:v>3305.97</c:v>
              </c:pt>
              <c:pt idx="605">
                <c:v>5485.8</c:v>
              </c:pt>
              <c:pt idx="606">
                <c:v>4881.74</c:v>
              </c:pt>
              <c:pt idx="607">
                <c:v>2921.1</c:v>
              </c:pt>
              <c:pt idx="608">
                <c:v>4482.7700000000004</c:v>
              </c:pt>
              <c:pt idx="609">
                <c:v>3336.82</c:v>
              </c:pt>
              <c:pt idx="610">
                <c:v>-328.32</c:v>
              </c:pt>
              <c:pt idx="611">
                <c:v>1426.82</c:v>
              </c:pt>
              <c:pt idx="612">
                <c:v>1178.3399999999999</c:v>
              </c:pt>
              <c:pt idx="613">
                <c:v>5968.17</c:v>
              </c:pt>
              <c:pt idx="614">
                <c:v>3771.54</c:v>
              </c:pt>
              <c:pt idx="615">
                <c:v>1372.92</c:v>
              </c:pt>
              <c:pt idx="616">
                <c:v>1187.07</c:v>
              </c:pt>
              <c:pt idx="617">
                <c:v>1408.82</c:v>
              </c:pt>
              <c:pt idx="618">
                <c:v>2945.08</c:v>
              </c:pt>
              <c:pt idx="619">
                <c:v>4509.46</c:v>
              </c:pt>
              <c:pt idx="620">
                <c:v>2328.23</c:v>
              </c:pt>
              <c:pt idx="621">
                <c:v>4910.8</c:v>
              </c:pt>
              <c:pt idx="622">
                <c:v>1281.48</c:v>
              </c:pt>
              <c:pt idx="623">
                <c:v>5620.95</c:v>
              </c:pt>
              <c:pt idx="624">
                <c:v>6272.09</c:v>
              </c:pt>
              <c:pt idx="625">
                <c:v>3572.33</c:v>
              </c:pt>
              <c:pt idx="626">
                <c:v>5493.75</c:v>
              </c:pt>
              <c:pt idx="627">
                <c:v>1961.4</c:v>
              </c:pt>
              <c:pt idx="628">
                <c:v>1611.8</c:v>
              </c:pt>
              <c:pt idx="629">
                <c:v>3870.79</c:v>
              </c:pt>
              <c:pt idx="630">
                <c:v>4136.3100000000004</c:v>
              </c:pt>
              <c:pt idx="631">
                <c:v>4943.4799999999996</c:v>
              </c:pt>
              <c:pt idx="632">
                <c:v>2495.61</c:v>
              </c:pt>
              <c:pt idx="633">
                <c:v>6102.13</c:v>
              </c:pt>
              <c:pt idx="634">
                <c:v>-17.48</c:v>
              </c:pt>
              <c:pt idx="635">
                <c:v>3482.4</c:v>
              </c:pt>
              <c:pt idx="636">
                <c:v>5312.05</c:v>
              </c:pt>
              <c:pt idx="637">
                <c:v>6357.43</c:v>
              </c:pt>
              <c:pt idx="638">
                <c:v>-1664.53</c:v>
              </c:pt>
              <c:pt idx="639">
                <c:v>7063.15</c:v>
              </c:pt>
              <c:pt idx="640">
                <c:v>4940.1899999999996</c:v>
              </c:pt>
              <c:pt idx="641">
                <c:v>-493.11</c:v>
              </c:pt>
              <c:pt idx="642">
                <c:v>5077.16</c:v>
              </c:pt>
              <c:pt idx="643">
                <c:v>7128.93</c:v>
              </c:pt>
              <c:pt idx="644">
                <c:v>2678.75</c:v>
              </c:pt>
              <c:pt idx="645">
                <c:v>2798.82</c:v>
              </c:pt>
              <c:pt idx="646">
                <c:v>1056.82</c:v>
              </c:pt>
              <c:pt idx="647">
                <c:v>4790.7700000000004</c:v>
              </c:pt>
              <c:pt idx="648">
                <c:v>2671.85</c:v>
              </c:pt>
              <c:pt idx="649">
                <c:v>1521.21</c:v>
              </c:pt>
              <c:pt idx="650">
                <c:v>-1061.47</c:v>
              </c:pt>
              <c:pt idx="651">
                <c:v>5986.89</c:v>
              </c:pt>
              <c:pt idx="652">
                <c:v>4660.1000000000004</c:v>
              </c:pt>
              <c:pt idx="653">
                <c:v>2949.98</c:v>
              </c:pt>
              <c:pt idx="654">
                <c:v>5265.57</c:v>
              </c:pt>
              <c:pt idx="655">
                <c:v>4388.8100000000004</c:v>
              </c:pt>
              <c:pt idx="656">
                <c:v>5311.63</c:v>
              </c:pt>
              <c:pt idx="657">
                <c:v>7402.95</c:v>
              </c:pt>
              <c:pt idx="658">
                <c:v>3687.69</c:v>
              </c:pt>
              <c:pt idx="659">
                <c:v>4078.07</c:v>
              </c:pt>
              <c:pt idx="660">
                <c:v>986.34</c:v>
              </c:pt>
              <c:pt idx="661">
                <c:v>6485.77</c:v>
              </c:pt>
              <c:pt idx="662">
                <c:v>5728.9</c:v>
              </c:pt>
              <c:pt idx="663">
                <c:v>5981.99</c:v>
              </c:pt>
              <c:pt idx="664">
                <c:v>5676.72</c:v>
              </c:pt>
              <c:pt idx="665">
                <c:v>2686.61</c:v>
              </c:pt>
              <c:pt idx="666">
                <c:v>3516.66</c:v>
              </c:pt>
              <c:pt idx="667">
                <c:v>-302.85000000000002</c:v>
              </c:pt>
              <c:pt idx="668">
                <c:v>5569.58</c:v>
              </c:pt>
              <c:pt idx="669">
                <c:v>5905.24</c:v>
              </c:pt>
              <c:pt idx="670">
                <c:v>56.27</c:v>
              </c:pt>
              <c:pt idx="671">
                <c:v>3950.53</c:v>
              </c:pt>
              <c:pt idx="672">
                <c:v>5549.06</c:v>
              </c:pt>
              <c:pt idx="673">
                <c:v>1155.5</c:v>
              </c:pt>
              <c:pt idx="674">
                <c:v>1672.31</c:v>
              </c:pt>
              <c:pt idx="675">
                <c:v>5277.38</c:v>
              </c:pt>
              <c:pt idx="676">
                <c:v>7551.08</c:v>
              </c:pt>
              <c:pt idx="677">
                <c:v>7013.01</c:v>
              </c:pt>
              <c:pt idx="678">
                <c:v>5056.08</c:v>
              </c:pt>
              <c:pt idx="679">
                <c:v>7738.08</c:v>
              </c:pt>
              <c:pt idx="680">
                <c:v>1054.54</c:v>
              </c:pt>
              <c:pt idx="681">
                <c:v>5090.84</c:v>
              </c:pt>
              <c:pt idx="682">
                <c:v>6287.9</c:v>
              </c:pt>
              <c:pt idx="683">
                <c:v>4995.34</c:v>
              </c:pt>
              <c:pt idx="684">
                <c:v>5732.94</c:v>
              </c:pt>
              <c:pt idx="685">
                <c:v>-1711.5</c:v>
              </c:pt>
              <c:pt idx="686">
                <c:v>4004.77</c:v>
              </c:pt>
              <c:pt idx="687">
                <c:v>6248.51</c:v>
              </c:pt>
              <c:pt idx="688">
                <c:v>6844.99</c:v>
              </c:pt>
              <c:pt idx="689">
                <c:v>6744.18</c:v>
              </c:pt>
              <c:pt idx="690">
                <c:v>8084.81</c:v>
              </c:pt>
              <c:pt idx="691">
                <c:v>7990.44</c:v>
              </c:pt>
              <c:pt idx="692">
                <c:v>6136.27</c:v>
              </c:pt>
              <c:pt idx="693">
                <c:v>-1264.73</c:v>
              </c:pt>
              <c:pt idx="694">
                <c:v>4601.32</c:v>
              </c:pt>
              <c:pt idx="695">
                <c:v>4717.87</c:v>
              </c:pt>
              <c:pt idx="696">
                <c:v>6872.38</c:v>
              </c:pt>
              <c:pt idx="697">
                <c:v>8363.9500000000007</c:v>
              </c:pt>
              <c:pt idx="698">
                <c:v>5705.42</c:v>
              </c:pt>
              <c:pt idx="699">
                <c:v>3913.64</c:v>
              </c:pt>
              <c:pt idx="700">
                <c:v>4216.8</c:v>
              </c:pt>
              <c:pt idx="701">
                <c:v>3602.94</c:v>
              </c:pt>
              <c:pt idx="702">
                <c:v>1599.29</c:v>
              </c:pt>
              <c:pt idx="703">
                <c:v>8275.93</c:v>
              </c:pt>
              <c:pt idx="704">
                <c:v>7530.3</c:v>
              </c:pt>
              <c:pt idx="705">
                <c:v>2662.45</c:v>
              </c:pt>
              <c:pt idx="706">
                <c:v>4171.3999999999996</c:v>
              </c:pt>
              <c:pt idx="707">
                <c:v>7563.35</c:v>
              </c:pt>
              <c:pt idx="708">
                <c:v>6123.59</c:v>
              </c:pt>
              <c:pt idx="709">
                <c:v>4980.33</c:v>
              </c:pt>
              <c:pt idx="710">
                <c:v>5442.28</c:v>
              </c:pt>
              <c:pt idx="711">
                <c:v>-692.97</c:v>
              </c:pt>
              <c:pt idx="712">
                <c:v>6570.33</c:v>
              </c:pt>
              <c:pt idx="713">
                <c:v>2695.7</c:v>
              </c:pt>
              <c:pt idx="714">
                <c:v>4800.42</c:v>
              </c:pt>
              <c:pt idx="715">
                <c:v>4668.67</c:v>
              </c:pt>
              <c:pt idx="716">
                <c:v>4744.6499999999996</c:v>
              </c:pt>
              <c:pt idx="717">
                <c:v>8082.54</c:v>
              </c:pt>
              <c:pt idx="718">
                <c:v>5323.63</c:v>
              </c:pt>
              <c:pt idx="719">
                <c:v>4848.75</c:v>
              </c:pt>
              <c:pt idx="720">
                <c:v>5992.54</c:v>
              </c:pt>
              <c:pt idx="721">
                <c:v>8736.0300000000007</c:v>
              </c:pt>
              <c:pt idx="722">
                <c:v>6252.2</c:v>
              </c:pt>
              <c:pt idx="723">
                <c:v>4871</c:v>
              </c:pt>
              <c:pt idx="724">
                <c:v>6514.73</c:v>
              </c:pt>
              <c:pt idx="725">
                <c:v>7276.6</c:v>
              </c:pt>
              <c:pt idx="726">
                <c:v>-143.91</c:v>
              </c:pt>
              <c:pt idx="727">
                <c:v>3719.73</c:v>
              </c:pt>
              <c:pt idx="728">
                <c:v>6047.61</c:v>
              </c:pt>
              <c:pt idx="729">
                <c:v>8845.2000000000007</c:v>
              </c:pt>
              <c:pt idx="730">
                <c:v>512.27</c:v>
              </c:pt>
              <c:pt idx="731">
                <c:v>6852.38</c:v>
              </c:pt>
              <c:pt idx="732">
                <c:v>7203.72</c:v>
              </c:pt>
              <c:pt idx="733">
                <c:v>745.8</c:v>
              </c:pt>
              <c:pt idx="734">
                <c:v>2474.5500000000002</c:v>
              </c:pt>
              <c:pt idx="735">
                <c:v>4990.1499999999996</c:v>
              </c:pt>
              <c:pt idx="736">
                <c:v>259.77999999999997</c:v>
              </c:pt>
              <c:pt idx="737">
                <c:v>5777.15</c:v>
              </c:pt>
              <c:pt idx="738">
                <c:v>8579.5300000000007</c:v>
              </c:pt>
              <c:pt idx="739">
                <c:v>6818.81</c:v>
              </c:pt>
              <c:pt idx="740">
                <c:v>1540.17</c:v>
              </c:pt>
              <c:pt idx="741">
                <c:v>7915.74</c:v>
              </c:pt>
              <c:pt idx="742">
                <c:v>7523.71</c:v>
              </c:pt>
              <c:pt idx="743">
                <c:v>4704.4399999999996</c:v>
              </c:pt>
              <c:pt idx="744">
                <c:v>4832.6499999999996</c:v>
              </c:pt>
              <c:pt idx="745">
                <c:v>6203.47</c:v>
              </c:pt>
              <c:pt idx="746">
                <c:v>4199.9799999999996</c:v>
              </c:pt>
              <c:pt idx="747">
                <c:v>5125.13</c:v>
              </c:pt>
              <c:pt idx="748">
                <c:v>2532.81</c:v>
              </c:pt>
              <c:pt idx="749">
                <c:v>5158.82</c:v>
              </c:pt>
              <c:pt idx="750">
                <c:v>8488.64</c:v>
              </c:pt>
              <c:pt idx="751">
                <c:v>7201.21</c:v>
              </c:pt>
              <c:pt idx="752">
                <c:v>5433.25</c:v>
              </c:pt>
              <c:pt idx="753">
                <c:v>5777.49</c:v>
              </c:pt>
              <c:pt idx="754">
                <c:v>3449.08</c:v>
              </c:pt>
              <c:pt idx="755">
                <c:v>5265.35</c:v>
              </c:pt>
              <c:pt idx="756">
                <c:v>5172.83</c:v>
              </c:pt>
              <c:pt idx="757">
                <c:v>5858.57</c:v>
              </c:pt>
              <c:pt idx="758">
                <c:v>8990.57</c:v>
              </c:pt>
              <c:pt idx="759">
                <c:v>6410.51</c:v>
              </c:pt>
              <c:pt idx="760">
                <c:v>7657.96</c:v>
              </c:pt>
              <c:pt idx="761">
                <c:v>8856.5499999999993</c:v>
              </c:pt>
              <c:pt idx="762">
                <c:v>7366.17</c:v>
              </c:pt>
              <c:pt idx="763">
                <c:v>6141.36</c:v>
              </c:pt>
              <c:pt idx="764">
                <c:v>9489.0300000000007</c:v>
              </c:pt>
              <c:pt idx="765">
                <c:v>8263.75</c:v>
              </c:pt>
              <c:pt idx="766">
                <c:v>-294.14</c:v>
              </c:pt>
              <c:pt idx="767">
                <c:v>-433.63</c:v>
              </c:pt>
              <c:pt idx="768">
                <c:v>-1522.22</c:v>
              </c:pt>
              <c:pt idx="769">
                <c:v>3313.38</c:v>
              </c:pt>
              <c:pt idx="770">
                <c:v>8562.43</c:v>
              </c:pt>
              <c:pt idx="771">
                <c:v>1118.53</c:v>
              </c:pt>
              <c:pt idx="772">
                <c:v>4589.5200000000004</c:v>
              </c:pt>
              <c:pt idx="773">
                <c:v>6934.52</c:v>
              </c:pt>
              <c:pt idx="774">
                <c:v>9946.01</c:v>
              </c:pt>
              <c:pt idx="775">
                <c:v>7378.86</c:v>
              </c:pt>
              <c:pt idx="776">
                <c:v>9369.51</c:v>
              </c:pt>
              <c:pt idx="777">
                <c:v>9345.44</c:v>
              </c:pt>
              <c:pt idx="778">
                <c:v>10181.73</c:v>
              </c:pt>
              <c:pt idx="779">
                <c:v>6933.3</c:v>
              </c:pt>
              <c:pt idx="780">
                <c:v>5723.59</c:v>
              </c:pt>
              <c:pt idx="781">
                <c:v>8286.32</c:v>
              </c:pt>
              <c:pt idx="782">
                <c:v>8343.9500000000007</c:v>
              </c:pt>
              <c:pt idx="783">
                <c:v>6576.4</c:v>
              </c:pt>
              <c:pt idx="784">
                <c:v>9411.2999999999993</c:v>
              </c:pt>
              <c:pt idx="785">
                <c:v>5520.42</c:v>
              </c:pt>
              <c:pt idx="786">
                <c:v>8365.44</c:v>
              </c:pt>
              <c:pt idx="787">
                <c:v>7441.33</c:v>
              </c:pt>
              <c:pt idx="788">
                <c:v>9612.5300000000007</c:v>
              </c:pt>
              <c:pt idx="789">
                <c:v>1601.05</c:v>
              </c:pt>
              <c:pt idx="790">
                <c:v>7181.04</c:v>
              </c:pt>
              <c:pt idx="791">
                <c:v>6079.44</c:v>
              </c:pt>
              <c:pt idx="792">
                <c:v>7041.39</c:v>
              </c:pt>
              <c:pt idx="793">
                <c:v>7531.46</c:v>
              </c:pt>
              <c:pt idx="794">
                <c:v>5151.6899999999996</c:v>
              </c:pt>
              <c:pt idx="795">
                <c:v>7695.97</c:v>
              </c:pt>
              <c:pt idx="796">
                <c:v>3693</c:v>
              </c:pt>
              <c:pt idx="797">
                <c:v>8836.92</c:v>
              </c:pt>
              <c:pt idx="798">
                <c:v>5960.38</c:v>
              </c:pt>
              <c:pt idx="799">
                <c:v>1218.06</c:v>
              </c:pt>
              <c:pt idx="800">
                <c:v>10541.59</c:v>
              </c:pt>
              <c:pt idx="801">
                <c:v>9196.73</c:v>
              </c:pt>
              <c:pt idx="802">
                <c:v>8197.33</c:v>
              </c:pt>
              <c:pt idx="803">
                <c:v>4000.52</c:v>
              </c:pt>
              <c:pt idx="804">
                <c:v>7325.85</c:v>
              </c:pt>
              <c:pt idx="805">
                <c:v>3546.54</c:v>
              </c:pt>
              <c:pt idx="806">
                <c:v>4405.1899999999996</c:v>
              </c:pt>
              <c:pt idx="807">
                <c:v>3780.84</c:v>
              </c:pt>
              <c:pt idx="808">
                <c:v>5859.41</c:v>
              </c:pt>
              <c:pt idx="809">
                <c:v>4521.1099999999997</c:v>
              </c:pt>
              <c:pt idx="810">
                <c:v>8775.57</c:v>
              </c:pt>
              <c:pt idx="811">
                <c:v>7952.62</c:v>
              </c:pt>
              <c:pt idx="812">
                <c:v>6313.81</c:v>
              </c:pt>
              <c:pt idx="813">
                <c:v>7355.36</c:v>
              </c:pt>
              <c:pt idx="814">
                <c:v>3216.48</c:v>
              </c:pt>
              <c:pt idx="815">
                <c:v>4368.7299999999996</c:v>
              </c:pt>
              <c:pt idx="816">
                <c:v>7227.8</c:v>
              </c:pt>
              <c:pt idx="817">
                <c:v>4267.0200000000004</c:v>
              </c:pt>
              <c:pt idx="818">
                <c:v>8341.39</c:v>
              </c:pt>
              <c:pt idx="819">
                <c:v>4491.47</c:v>
              </c:pt>
              <c:pt idx="820">
                <c:v>4335.68</c:v>
              </c:pt>
              <c:pt idx="821">
                <c:v>11244.22</c:v>
              </c:pt>
              <c:pt idx="822">
                <c:v>1863.7</c:v>
              </c:pt>
              <c:pt idx="823">
                <c:v>2949.31</c:v>
              </c:pt>
              <c:pt idx="824">
                <c:v>8555.02</c:v>
              </c:pt>
              <c:pt idx="825">
                <c:v>3960.71</c:v>
              </c:pt>
              <c:pt idx="826">
                <c:v>4028.43</c:v>
              </c:pt>
              <c:pt idx="827">
                <c:v>10513.16</c:v>
              </c:pt>
              <c:pt idx="828">
                <c:v>9560.5300000000007</c:v>
              </c:pt>
              <c:pt idx="829">
                <c:v>11580.47</c:v>
              </c:pt>
              <c:pt idx="830">
                <c:v>9531.16</c:v>
              </c:pt>
              <c:pt idx="831">
                <c:v>8444.69</c:v>
              </c:pt>
              <c:pt idx="832">
                <c:v>10354.58</c:v>
              </c:pt>
              <c:pt idx="833">
                <c:v>4939.8</c:v>
              </c:pt>
              <c:pt idx="834">
                <c:v>3464.8</c:v>
              </c:pt>
              <c:pt idx="835">
                <c:v>8819.65</c:v>
              </c:pt>
              <c:pt idx="836">
                <c:v>11652.99</c:v>
              </c:pt>
              <c:pt idx="837">
                <c:v>1164.9100000000001</c:v>
              </c:pt>
              <c:pt idx="838">
                <c:v>5480.87</c:v>
              </c:pt>
              <c:pt idx="839">
                <c:v>4355.8500000000004</c:v>
              </c:pt>
              <c:pt idx="840">
                <c:v>7071.7</c:v>
              </c:pt>
              <c:pt idx="841">
                <c:v>8938.2800000000007</c:v>
              </c:pt>
              <c:pt idx="842">
                <c:v>9740.9599999999991</c:v>
              </c:pt>
              <c:pt idx="843">
                <c:v>6354.93</c:v>
              </c:pt>
              <c:pt idx="844">
                <c:v>4950.43</c:v>
              </c:pt>
              <c:pt idx="845">
                <c:v>6649.7</c:v>
              </c:pt>
              <c:pt idx="846">
                <c:v>5324.98</c:v>
              </c:pt>
              <c:pt idx="847">
                <c:v>9238.67</c:v>
              </c:pt>
              <c:pt idx="848">
                <c:v>5264.92</c:v>
              </c:pt>
              <c:pt idx="849">
                <c:v>6138.68</c:v>
              </c:pt>
              <c:pt idx="850">
                <c:v>11394.36</c:v>
              </c:pt>
              <c:pt idx="851">
                <c:v>12240.85</c:v>
              </c:pt>
              <c:pt idx="852">
                <c:v>6140.87</c:v>
              </c:pt>
              <c:pt idx="853">
                <c:v>10368.07</c:v>
              </c:pt>
              <c:pt idx="854">
                <c:v>8439.51</c:v>
              </c:pt>
              <c:pt idx="855">
                <c:v>9388.8799999999992</c:v>
              </c:pt>
              <c:pt idx="856">
                <c:v>11571.63</c:v>
              </c:pt>
              <c:pt idx="857">
                <c:v>8778.64</c:v>
              </c:pt>
              <c:pt idx="858">
                <c:v>8696.3700000000008</c:v>
              </c:pt>
              <c:pt idx="859">
                <c:v>7069.1</c:v>
              </c:pt>
              <c:pt idx="860">
                <c:v>3779.08</c:v>
              </c:pt>
              <c:pt idx="861">
                <c:v>5417.74</c:v>
              </c:pt>
              <c:pt idx="862">
                <c:v>8567.31</c:v>
              </c:pt>
              <c:pt idx="863">
                <c:v>8578.4699999999993</c:v>
              </c:pt>
              <c:pt idx="864">
                <c:v>4592.25</c:v>
              </c:pt>
              <c:pt idx="865">
                <c:v>8850.98</c:v>
              </c:pt>
              <c:pt idx="866">
                <c:v>7394.97</c:v>
              </c:pt>
              <c:pt idx="867">
                <c:v>12102.88</c:v>
              </c:pt>
              <c:pt idx="868">
                <c:v>7226.72</c:v>
              </c:pt>
              <c:pt idx="869">
                <c:v>9382.59</c:v>
              </c:pt>
              <c:pt idx="870">
                <c:v>2193.96</c:v>
              </c:pt>
              <c:pt idx="871">
                <c:v>6625.04</c:v>
              </c:pt>
              <c:pt idx="872">
                <c:v>5577.34</c:v>
              </c:pt>
              <c:pt idx="873">
                <c:v>2485.63</c:v>
              </c:pt>
              <c:pt idx="874">
                <c:v>11519.05</c:v>
              </c:pt>
              <c:pt idx="875">
                <c:v>8616.59</c:v>
              </c:pt>
              <c:pt idx="876">
                <c:v>1459.16</c:v>
              </c:pt>
              <c:pt idx="877">
                <c:v>9321.74</c:v>
              </c:pt>
              <c:pt idx="878">
                <c:v>11735.62</c:v>
              </c:pt>
              <c:pt idx="879">
                <c:v>5671.19</c:v>
              </c:pt>
              <c:pt idx="880">
                <c:v>11505.46</c:v>
              </c:pt>
              <c:pt idx="881">
                <c:v>9045.7999999999993</c:v>
              </c:pt>
              <c:pt idx="882">
                <c:v>9242.77</c:v>
              </c:pt>
              <c:pt idx="883">
                <c:v>9188.6299999999992</c:v>
              </c:pt>
              <c:pt idx="884">
                <c:v>9975.4599999999991</c:v>
              </c:pt>
              <c:pt idx="885">
                <c:v>8314.4</c:v>
              </c:pt>
              <c:pt idx="886">
                <c:v>6703.08</c:v>
              </c:pt>
              <c:pt idx="887">
                <c:v>6946.86</c:v>
              </c:pt>
              <c:pt idx="888">
                <c:v>6210.06</c:v>
              </c:pt>
              <c:pt idx="889">
                <c:v>5912.35</c:v>
              </c:pt>
              <c:pt idx="890">
                <c:v>7541.22</c:v>
              </c:pt>
              <c:pt idx="891">
                <c:v>8357.42</c:v>
              </c:pt>
              <c:pt idx="892">
                <c:v>4706.3500000000004</c:v>
              </c:pt>
              <c:pt idx="893">
                <c:v>8161.45</c:v>
              </c:pt>
              <c:pt idx="894">
                <c:v>12386.94</c:v>
              </c:pt>
              <c:pt idx="895">
                <c:v>10674.08</c:v>
              </c:pt>
              <c:pt idx="896">
                <c:v>6702.76</c:v>
              </c:pt>
              <c:pt idx="897">
                <c:v>10842.01</c:v>
              </c:pt>
              <c:pt idx="898">
                <c:v>7930.01</c:v>
              </c:pt>
              <c:pt idx="899">
                <c:v>12038.92</c:v>
              </c:pt>
              <c:pt idx="900">
                <c:v>10431.700000000001</c:v>
              </c:pt>
              <c:pt idx="901">
                <c:v>10024.07</c:v>
              </c:pt>
              <c:pt idx="902">
                <c:v>10821.03</c:v>
              </c:pt>
              <c:pt idx="903">
                <c:v>2469.4</c:v>
              </c:pt>
              <c:pt idx="904">
                <c:v>7782.99</c:v>
              </c:pt>
              <c:pt idx="905">
                <c:v>9011.19</c:v>
              </c:pt>
              <c:pt idx="906">
                <c:v>12786.83</c:v>
              </c:pt>
              <c:pt idx="907">
                <c:v>13735.08</c:v>
              </c:pt>
              <c:pt idx="908">
                <c:v>11247.64</c:v>
              </c:pt>
              <c:pt idx="909">
                <c:v>10515.48</c:v>
              </c:pt>
              <c:pt idx="910">
                <c:v>3584.22</c:v>
              </c:pt>
              <c:pt idx="911">
                <c:v>7993.47</c:v>
              </c:pt>
              <c:pt idx="912">
                <c:v>6856.37</c:v>
              </c:pt>
              <c:pt idx="913">
                <c:v>2499.1999999999998</c:v>
              </c:pt>
              <c:pt idx="914">
                <c:v>3678.27</c:v>
              </c:pt>
              <c:pt idx="915">
                <c:v>12674.32</c:v>
              </c:pt>
              <c:pt idx="916">
                <c:v>12421.46</c:v>
              </c:pt>
              <c:pt idx="917">
                <c:v>10479.41</c:v>
              </c:pt>
              <c:pt idx="918">
                <c:v>7213.64</c:v>
              </c:pt>
              <c:pt idx="919">
                <c:v>13195.24</c:v>
              </c:pt>
              <c:pt idx="920">
                <c:v>7160.71</c:v>
              </c:pt>
              <c:pt idx="921">
                <c:v>13749.67</c:v>
              </c:pt>
              <c:pt idx="922">
                <c:v>7682.99</c:v>
              </c:pt>
              <c:pt idx="923">
                <c:v>13989.51</c:v>
              </c:pt>
              <c:pt idx="924">
                <c:v>9500.24</c:v>
              </c:pt>
              <c:pt idx="925">
                <c:v>6946.68</c:v>
              </c:pt>
              <c:pt idx="926">
                <c:v>4278.28</c:v>
              </c:pt>
              <c:pt idx="927">
                <c:v>8883.17</c:v>
              </c:pt>
              <c:pt idx="928">
                <c:v>7801.75</c:v>
              </c:pt>
              <c:pt idx="929">
                <c:v>10551.47</c:v>
              </c:pt>
              <c:pt idx="930">
                <c:v>10047.07</c:v>
              </c:pt>
              <c:pt idx="931">
                <c:v>6018.06</c:v>
              </c:pt>
              <c:pt idx="932">
                <c:v>9235.41</c:v>
              </c:pt>
              <c:pt idx="933">
                <c:v>12005.02</c:v>
              </c:pt>
              <c:pt idx="934">
                <c:v>6750.82</c:v>
              </c:pt>
              <c:pt idx="935">
                <c:v>10568.68</c:v>
              </c:pt>
              <c:pt idx="936">
                <c:v>10253.11</c:v>
              </c:pt>
              <c:pt idx="937">
                <c:v>14333.83</c:v>
              </c:pt>
              <c:pt idx="938">
                <c:v>7861.21</c:v>
              </c:pt>
              <c:pt idx="939">
                <c:v>10795.29</c:v>
              </c:pt>
              <c:pt idx="940">
                <c:v>8208.5</c:v>
              </c:pt>
              <c:pt idx="941">
                <c:v>13164.73</c:v>
              </c:pt>
              <c:pt idx="942">
                <c:v>7570.27</c:v>
              </c:pt>
              <c:pt idx="943">
                <c:v>9665.59</c:v>
              </c:pt>
              <c:pt idx="944">
                <c:v>14921.03</c:v>
              </c:pt>
              <c:pt idx="945">
                <c:v>12130.49</c:v>
              </c:pt>
              <c:pt idx="946">
                <c:v>9551.93</c:v>
              </c:pt>
              <c:pt idx="947">
                <c:v>13020.91</c:v>
              </c:pt>
              <c:pt idx="948">
                <c:v>11386.27</c:v>
              </c:pt>
              <c:pt idx="949">
                <c:v>11881.91</c:v>
              </c:pt>
              <c:pt idx="950">
                <c:v>15290.33</c:v>
              </c:pt>
              <c:pt idx="951">
                <c:v>10296.52</c:v>
              </c:pt>
              <c:pt idx="952">
                <c:v>9412.35</c:v>
              </c:pt>
              <c:pt idx="953">
                <c:v>7961.2</c:v>
              </c:pt>
              <c:pt idx="954">
                <c:v>13606.97</c:v>
              </c:pt>
              <c:pt idx="955">
                <c:v>9653.43</c:v>
              </c:pt>
              <c:pt idx="956">
                <c:v>8172.89</c:v>
              </c:pt>
              <c:pt idx="957">
                <c:v>7178.25</c:v>
              </c:pt>
              <c:pt idx="958">
                <c:v>6055.34</c:v>
              </c:pt>
              <c:pt idx="959">
                <c:v>11851.27</c:v>
              </c:pt>
              <c:pt idx="960">
                <c:v>12989.67</c:v>
              </c:pt>
              <c:pt idx="961">
                <c:v>14918.72</c:v>
              </c:pt>
              <c:pt idx="962">
                <c:v>7228.65</c:v>
              </c:pt>
              <c:pt idx="963">
                <c:v>12478.64</c:v>
              </c:pt>
              <c:pt idx="964">
                <c:v>14741.47</c:v>
              </c:pt>
              <c:pt idx="965">
                <c:v>12572.89</c:v>
              </c:pt>
              <c:pt idx="966">
                <c:v>9358.1299999999992</c:v>
              </c:pt>
              <c:pt idx="967">
                <c:v>6631.02</c:v>
              </c:pt>
              <c:pt idx="968">
                <c:v>11221.69</c:v>
              </c:pt>
              <c:pt idx="969">
                <c:v>14602.37</c:v>
              </c:pt>
              <c:pt idx="970">
                <c:v>11721.23</c:v>
              </c:pt>
              <c:pt idx="971">
                <c:v>14752.32</c:v>
              </c:pt>
              <c:pt idx="972">
                <c:v>13226.38</c:v>
              </c:pt>
              <c:pt idx="973">
                <c:v>11145.2</c:v>
              </c:pt>
              <c:pt idx="974">
                <c:v>8766.86</c:v>
              </c:pt>
              <c:pt idx="975">
                <c:v>11226.28</c:v>
              </c:pt>
              <c:pt idx="976">
                <c:v>11162.56</c:v>
              </c:pt>
              <c:pt idx="977">
                <c:v>13520.38</c:v>
              </c:pt>
              <c:pt idx="978">
                <c:v>10272.42</c:v>
              </c:pt>
              <c:pt idx="979">
                <c:v>7523.46</c:v>
              </c:pt>
              <c:pt idx="980">
                <c:v>12869.41</c:v>
              </c:pt>
              <c:pt idx="981">
                <c:v>15510.67</c:v>
              </c:pt>
              <c:pt idx="982">
                <c:v>11755.71</c:v>
              </c:pt>
              <c:pt idx="983">
                <c:v>6457.61</c:v>
              </c:pt>
              <c:pt idx="984">
                <c:v>14196.23</c:v>
              </c:pt>
              <c:pt idx="985">
                <c:v>6934</c:v>
              </c:pt>
              <c:pt idx="986">
                <c:v>14291.16</c:v>
              </c:pt>
              <c:pt idx="987">
                <c:v>6685.96</c:v>
              </c:pt>
              <c:pt idx="988">
                <c:v>10597.53</c:v>
              </c:pt>
              <c:pt idx="989">
                <c:v>13855.43</c:v>
              </c:pt>
              <c:pt idx="990">
                <c:v>9426.6200000000008</c:v>
              </c:pt>
              <c:pt idx="991">
                <c:v>12612.3</c:v>
              </c:pt>
              <c:pt idx="992">
                <c:v>17068.37</c:v>
              </c:pt>
              <c:pt idx="993">
                <c:v>11906.11</c:v>
              </c:pt>
              <c:pt idx="994">
                <c:v>13757.62</c:v>
              </c:pt>
              <c:pt idx="995">
                <c:v>11684.17</c:v>
              </c:pt>
              <c:pt idx="996">
                <c:v>13306.81</c:v>
              </c:pt>
              <c:pt idx="997">
                <c:v>17342.14</c:v>
              </c:pt>
              <c:pt idx="998">
                <c:v>14828.94</c:v>
              </c:pt>
              <c:pt idx="999">
                <c:v>12919.9</c:v>
              </c:pt>
              <c:pt idx="1000">
                <c:v>9371.5</c:v>
              </c:pt>
              <c:pt idx="1001">
                <c:v>8129.44</c:v>
              </c:pt>
              <c:pt idx="1002">
                <c:v>13888.57</c:v>
              </c:pt>
              <c:pt idx="1003">
                <c:v>14070.21</c:v>
              </c:pt>
              <c:pt idx="1004">
                <c:v>11440.89</c:v>
              </c:pt>
              <c:pt idx="1005">
                <c:v>8002.55</c:v>
              </c:pt>
              <c:pt idx="1006">
                <c:v>17852.490000000002</c:v>
              </c:pt>
              <c:pt idx="1007">
                <c:v>9239.4</c:v>
              </c:pt>
              <c:pt idx="1008">
                <c:v>11642.84</c:v>
              </c:pt>
              <c:pt idx="1009">
                <c:v>13570.76</c:v>
              </c:pt>
              <c:pt idx="1010">
                <c:v>18005.830000000002</c:v>
              </c:pt>
              <c:pt idx="1011">
                <c:v>13561.43</c:v>
              </c:pt>
              <c:pt idx="1012">
                <c:v>9392.7000000000007</c:v>
              </c:pt>
              <c:pt idx="1013">
                <c:v>18793.36</c:v>
              </c:pt>
              <c:pt idx="1014">
                <c:v>11566.65</c:v>
              </c:pt>
              <c:pt idx="1015">
                <c:v>10279.58</c:v>
              </c:pt>
              <c:pt idx="1016">
                <c:v>17295.41</c:v>
              </c:pt>
              <c:pt idx="1017">
                <c:v>11882.93</c:v>
              </c:pt>
              <c:pt idx="1018">
                <c:v>13427.91</c:v>
              </c:pt>
              <c:pt idx="1019">
                <c:v>10280.91</c:v>
              </c:pt>
              <c:pt idx="1020">
                <c:v>19241.05</c:v>
              </c:pt>
              <c:pt idx="1021">
                <c:v>10622.52</c:v>
              </c:pt>
              <c:pt idx="1022">
                <c:v>10598.51</c:v>
              </c:pt>
              <c:pt idx="1023">
                <c:v>17688.28</c:v>
              </c:pt>
              <c:pt idx="1024">
                <c:v>18304.46</c:v>
              </c:pt>
              <c:pt idx="1025">
                <c:v>10286.77</c:v>
              </c:pt>
              <c:pt idx="1026">
                <c:v>14924.86</c:v>
              </c:pt>
              <c:pt idx="1027">
                <c:v>15471.7</c:v>
              </c:pt>
              <c:pt idx="1028">
                <c:v>15599.22</c:v>
              </c:pt>
              <c:pt idx="1029">
                <c:v>12737.14</c:v>
              </c:pt>
              <c:pt idx="1030">
                <c:v>13520.67</c:v>
              </c:pt>
              <c:pt idx="1031">
                <c:v>9341.5300000000007</c:v>
              </c:pt>
              <c:pt idx="1032">
                <c:v>12940.51</c:v>
              </c:pt>
              <c:pt idx="1033">
                <c:v>18315.46</c:v>
              </c:pt>
              <c:pt idx="1034">
                <c:v>11671.1</c:v>
              </c:pt>
              <c:pt idx="1035">
                <c:v>17953.490000000002</c:v>
              </c:pt>
              <c:pt idx="1036">
                <c:v>21276.42</c:v>
              </c:pt>
              <c:pt idx="1037">
                <c:v>18378.810000000001</c:v>
              </c:pt>
              <c:pt idx="1038">
                <c:v>14140.99</c:v>
              </c:pt>
              <c:pt idx="1039">
                <c:v>19973.34</c:v>
              </c:pt>
              <c:pt idx="1040">
                <c:v>12512.97</c:v>
              </c:pt>
              <c:pt idx="1041">
                <c:v>20269.89</c:v>
              </c:pt>
              <c:pt idx="1042">
                <c:v>20649.59</c:v>
              </c:pt>
              <c:pt idx="1043">
                <c:v>20931.95</c:v>
              </c:pt>
              <c:pt idx="1044">
                <c:v>14936.21</c:v>
              </c:pt>
              <c:pt idx="1045">
                <c:v>16547.810000000001</c:v>
              </c:pt>
              <c:pt idx="1046">
                <c:v>23071.360000000001</c:v>
              </c:pt>
              <c:pt idx="1047">
                <c:v>17063.099999999999</c:v>
              </c:pt>
              <c:pt idx="1048">
                <c:v>21117.29</c:v>
              </c:pt>
              <c:pt idx="1049">
                <c:v>13021.02</c:v>
              </c:pt>
              <c:pt idx="1050">
                <c:v>0</c:v>
              </c:pt>
            </c:numLit>
          </c:val>
          <c:extLst>
            <c:ext xmlns:c16="http://schemas.microsoft.com/office/drawing/2014/chart" uri="{C3380CC4-5D6E-409C-BE32-E72D297353CC}">
              <c16:uniqueId val="{00000000-06F8-4D72-96AC-A7E31A0EEF65}"/>
            </c:ext>
          </c:extLst>
        </c:ser>
        <c:dLbls>
          <c:showLegendKey val="0"/>
          <c:showVal val="0"/>
          <c:showCatName val="0"/>
          <c:showSerName val="0"/>
          <c:showPercent val="0"/>
          <c:showBubbleSize val="0"/>
        </c:dLbls>
        <c:gapWidth val="182"/>
        <c:axId val="1606467120"/>
        <c:axId val="1606464240"/>
      </c:barChart>
      <c:catAx>
        <c:axId val="160646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64240"/>
        <c:crosses val="autoZero"/>
        <c:auto val="1"/>
        <c:lblAlgn val="ctr"/>
        <c:lblOffset val="100"/>
        <c:noMultiLvlLbl val="0"/>
      </c:catAx>
      <c:valAx>
        <c:axId val="1606464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6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 project.csv.xlsx]Profit vs Sales Scatter Chart!PivotTable17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vs Sales Scatter Chart'!$D$2</c:f>
              <c:strCache>
                <c:ptCount val="1"/>
                <c:pt idx="0">
                  <c:v>Sum of Sales</c:v>
                </c:pt>
              </c:strCache>
            </c:strRef>
          </c:tx>
          <c:spPr>
            <a:solidFill>
              <a:schemeClr val="accent1"/>
            </a:solidFill>
            <a:ln>
              <a:noFill/>
            </a:ln>
            <a:effectLst/>
            <a:sp3d/>
          </c:spPr>
          <c:invertIfNegative val="0"/>
          <c:cat>
            <c:strRef>
              <c:f>'Profit vs Sales Scatter Chart'!$C$3:$C$9</c:f>
              <c:strCache>
                <c:ptCount val="6"/>
                <c:pt idx="0">
                  <c:v>Books</c:v>
                </c:pt>
                <c:pt idx="1">
                  <c:v>Clothing</c:v>
                </c:pt>
                <c:pt idx="2">
                  <c:v>Electronics</c:v>
                </c:pt>
                <c:pt idx="3">
                  <c:v>Food</c:v>
                </c:pt>
                <c:pt idx="4">
                  <c:v>Home Goods</c:v>
                </c:pt>
                <c:pt idx="5">
                  <c:v>(blank)</c:v>
                </c:pt>
              </c:strCache>
            </c:strRef>
          </c:cat>
          <c:val>
            <c:numRef>
              <c:f>'Profit vs Sales Scatter Chart'!$D$3:$D$9</c:f>
              <c:numCache>
                <c:formatCode>General</c:formatCode>
                <c:ptCount val="6"/>
                <c:pt idx="0">
                  <c:v>1445762.2899999996</c:v>
                </c:pt>
                <c:pt idx="1">
                  <c:v>1537294.2700000012</c:v>
                </c:pt>
                <c:pt idx="2">
                  <c:v>1294685.6300000001</c:v>
                </c:pt>
                <c:pt idx="3">
                  <c:v>1628076.56</c:v>
                </c:pt>
                <c:pt idx="4">
                  <c:v>1353938.5200000003</c:v>
                </c:pt>
              </c:numCache>
            </c:numRef>
          </c:val>
          <c:extLst>
            <c:ext xmlns:c16="http://schemas.microsoft.com/office/drawing/2014/chart" uri="{C3380CC4-5D6E-409C-BE32-E72D297353CC}">
              <c16:uniqueId val="{00000003-D61A-4330-A409-F9A2B2BFD77C}"/>
            </c:ext>
          </c:extLst>
        </c:ser>
        <c:ser>
          <c:idx val="1"/>
          <c:order val="1"/>
          <c:tx>
            <c:strRef>
              <c:f>'Profit vs Sales Scatter Chart'!$E$2</c:f>
              <c:strCache>
                <c:ptCount val="1"/>
                <c:pt idx="0">
                  <c:v>Sum of Profit</c:v>
                </c:pt>
              </c:strCache>
            </c:strRef>
          </c:tx>
          <c:spPr>
            <a:solidFill>
              <a:schemeClr val="accent2"/>
            </a:solidFill>
            <a:ln>
              <a:noFill/>
            </a:ln>
            <a:effectLst/>
            <a:sp3d/>
          </c:spPr>
          <c:invertIfNegative val="0"/>
          <c:cat>
            <c:strRef>
              <c:f>'Profit vs Sales Scatter Chart'!$C$3:$C$9</c:f>
              <c:strCache>
                <c:ptCount val="6"/>
                <c:pt idx="0">
                  <c:v>Books</c:v>
                </c:pt>
                <c:pt idx="1">
                  <c:v>Clothing</c:v>
                </c:pt>
                <c:pt idx="2">
                  <c:v>Electronics</c:v>
                </c:pt>
                <c:pt idx="3">
                  <c:v>Food</c:v>
                </c:pt>
                <c:pt idx="4">
                  <c:v>Home Goods</c:v>
                </c:pt>
                <c:pt idx="5">
                  <c:v>(blank)</c:v>
                </c:pt>
              </c:strCache>
            </c:strRef>
          </c:cat>
          <c:val>
            <c:numRef>
              <c:f>'Profit vs Sales Scatter Chart'!$E$3:$E$9</c:f>
              <c:numCache>
                <c:formatCode>General</c:formatCode>
                <c:ptCount val="6"/>
                <c:pt idx="0">
                  <c:v>713323.3600000001</c:v>
                </c:pt>
                <c:pt idx="1">
                  <c:v>774550.19999999972</c:v>
                </c:pt>
                <c:pt idx="2">
                  <c:v>688932.92999999993</c:v>
                </c:pt>
                <c:pt idx="3">
                  <c:v>879784.41000000155</c:v>
                </c:pt>
                <c:pt idx="4">
                  <c:v>678055.82999999961</c:v>
                </c:pt>
              </c:numCache>
            </c:numRef>
          </c:val>
          <c:extLst>
            <c:ext xmlns:c16="http://schemas.microsoft.com/office/drawing/2014/chart" uri="{C3380CC4-5D6E-409C-BE32-E72D297353CC}">
              <c16:uniqueId val="{00000005-D61A-4330-A409-F9A2B2BFD77C}"/>
            </c:ext>
          </c:extLst>
        </c:ser>
        <c:dLbls>
          <c:showLegendKey val="0"/>
          <c:showVal val="0"/>
          <c:showCatName val="0"/>
          <c:showSerName val="0"/>
          <c:showPercent val="0"/>
          <c:showBubbleSize val="0"/>
        </c:dLbls>
        <c:gapWidth val="219"/>
        <c:shape val="box"/>
        <c:axId val="1533018896"/>
        <c:axId val="1533018416"/>
        <c:axId val="0"/>
      </c:bar3DChart>
      <c:catAx>
        <c:axId val="153301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018416"/>
        <c:crosses val="autoZero"/>
        <c:auto val="1"/>
        <c:lblAlgn val="ctr"/>
        <c:lblOffset val="100"/>
        <c:noMultiLvlLbl val="0"/>
      </c:catAx>
      <c:valAx>
        <c:axId val="153301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01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 project.csv.xlsx]KPIs!PivotTable20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4935870516185476"/>
          <c:y val="0.21698855351414403"/>
          <c:w val="0.72312270341207352"/>
          <c:h val="0.6293157626130067"/>
        </c:manualLayout>
      </c:layout>
      <c:barChart>
        <c:barDir val="col"/>
        <c:grouping val="clustered"/>
        <c:varyColors val="0"/>
        <c:ser>
          <c:idx val="0"/>
          <c:order val="0"/>
          <c:tx>
            <c:strRef>
              <c:f>KPIs!$A$5</c:f>
              <c:strCache>
                <c:ptCount val="1"/>
                <c:pt idx="0">
                  <c:v>Total</c:v>
                </c:pt>
              </c:strCache>
            </c:strRef>
          </c:tx>
          <c:spPr>
            <a:solidFill>
              <a:schemeClr val="accent1"/>
            </a:solidFill>
            <a:ln>
              <a:noFill/>
            </a:ln>
            <a:effectLst/>
          </c:spPr>
          <c:invertIfNegative val="0"/>
          <c:cat>
            <c:strRef>
              <c:f>KPIs!$A$6</c:f>
              <c:strCache>
                <c:ptCount val="1"/>
                <c:pt idx="0">
                  <c:v>Total</c:v>
                </c:pt>
              </c:strCache>
            </c:strRef>
          </c:cat>
          <c:val>
            <c:numRef>
              <c:f>KPIs!$A$6</c:f>
              <c:numCache>
                <c:formatCode>General</c:formatCode>
                <c:ptCount val="1"/>
                <c:pt idx="0">
                  <c:v>7259757.269999993</c:v>
                </c:pt>
              </c:numCache>
            </c:numRef>
          </c:val>
          <c:extLst>
            <c:ext xmlns:c16="http://schemas.microsoft.com/office/drawing/2014/chart" uri="{C3380CC4-5D6E-409C-BE32-E72D297353CC}">
              <c16:uniqueId val="{00000000-4BAF-49DE-A629-B1A61E725154}"/>
            </c:ext>
          </c:extLst>
        </c:ser>
        <c:dLbls>
          <c:showLegendKey val="0"/>
          <c:showVal val="0"/>
          <c:showCatName val="0"/>
          <c:showSerName val="0"/>
          <c:showPercent val="0"/>
          <c:showBubbleSize val="0"/>
        </c:dLbls>
        <c:gapWidth val="219"/>
        <c:overlap val="-27"/>
        <c:axId val="1465099200"/>
        <c:axId val="1465099680"/>
      </c:barChart>
      <c:catAx>
        <c:axId val="146509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99680"/>
        <c:crosses val="autoZero"/>
        <c:auto val="1"/>
        <c:lblAlgn val="ctr"/>
        <c:lblOffset val="100"/>
        <c:noMultiLvlLbl val="0"/>
      </c:catAx>
      <c:valAx>
        <c:axId val="146509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9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63888188976377958"/>
          <c:y val="0"/>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KPIs!$K$5</c:f>
              <c:strCache>
                <c:ptCount val="1"/>
              </c:strCache>
            </c:strRef>
          </c:tx>
          <c:spPr>
            <a:solidFill>
              <a:schemeClr val="accent1"/>
            </a:solidFill>
            <a:ln>
              <a:noFill/>
            </a:ln>
            <a:effectLst/>
          </c:spPr>
          <c:invertIfNegative val="0"/>
          <c:cat>
            <c:strRef>
              <c:f>KPIs!$L$4</c:f>
              <c:strCache>
                <c:ptCount val="1"/>
                <c:pt idx="0">
                  <c:v>Sum of Profit</c:v>
                </c:pt>
              </c:strCache>
            </c:strRef>
          </c:cat>
          <c:val>
            <c:numRef>
              <c:f>KPIs!$L$5</c:f>
              <c:numCache>
                <c:formatCode>General</c:formatCode>
                <c:ptCount val="1"/>
                <c:pt idx="0">
                  <c:v>3734646.7300000032</c:v>
                </c:pt>
              </c:numCache>
            </c:numRef>
          </c:val>
          <c:extLst>
            <c:ext xmlns:c16="http://schemas.microsoft.com/office/drawing/2014/chart" uri="{C3380CC4-5D6E-409C-BE32-E72D297353CC}">
              <c16:uniqueId val="{00000000-9AEF-4353-8F4F-A3626D488200}"/>
            </c:ext>
          </c:extLst>
        </c:ser>
        <c:dLbls>
          <c:showLegendKey val="0"/>
          <c:showVal val="0"/>
          <c:showCatName val="0"/>
          <c:showSerName val="0"/>
          <c:showPercent val="0"/>
          <c:showBubbleSize val="0"/>
        </c:dLbls>
        <c:gapWidth val="0"/>
        <c:axId val="603036320"/>
        <c:axId val="603021440"/>
      </c:barChart>
      <c:catAx>
        <c:axId val="60303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03021440"/>
        <c:crosses val="autoZero"/>
        <c:auto val="1"/>
        <c:lblAlgn val="ctr"/>
        <c:lblOffset val="100"/>
        <c:noMultiLvlLbl val="0"/>
      </c:catAx>
      <c:valAx>
        <c:axId val="60302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0303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Region-wise Sales Distribution</a:t>
            </a:r>
          </a:p>
        </c:rich>
      </c:tx>
      <c:overlay val="0"/>
      <c:spPr>
        <a:solidFill>
          <a:sysClr val="window" lastClr="FFFFFF"/>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lotArea>
      <c:layout/>
      <c:lineChart>
        <c:grouping val="standard"/>
        <c:varyColors val="0"/>
        <c:ser>
          <c:idx val="0"/>
          <c:order val="0"/>
          <c:tx>
            <c:strRef>
              <c:f>'Sales_Data_Analysis '!$F$1</c:f>
              <c:strCache>
                <c:ptCount val="1"/>
                <c:pt idx="0">
                  <c:v>Sales</c:v>
                </c:pt>
              </c:strCache>
            </c:strRef>
          </c:tx>
          <c:spPr>
            <a:ln w="22225" cap="rnd">
              <a:solidFill>
                <a:schemeClr val="accent1"/>
              </a:solidFill>
            </a:ln>
            <a:effectLst>
              <a:glow rad="139700">
                <a:schemeClr val="accent1">
                  <a:satMod val="175000"/>
                  <a:alpha val="14000"/>
                </a:schemeClr>
              </a:glow>
            </a:effectLst>
          </c:spPr>
          <c:marker>
            <c:symbol val="none"/>
          </c:marker>
          <c:cat>
            <c:strRef>
              <c:f>'Sales_Data_Analysis '!$B$2:$B$1051</c:f>
              <c:strCache>
                <c:ptCount val="1050"/>
                <c:pt idx="0">
                  <c:v>West</c:v>
                </c:pt>
                <c:pt idx="1">
                  <c:v>West</c:v>
                </c:pt>
                <c:pt idx="2">
                  <c:v>East</c:v>
                </c:pt>
                <c:pt idx="3">
                  <c:v>Central</c:v>
                </c:pt>
                <c:pt idx="4">
                  <c:v>East</c:v>
                </c:pt>
                <c:pt idx="5">
                  <c:v>West</c:v>
                </c:pt>
                <c:pt idx="6">
                  <c:v>North</c:v>
                </c:pt>
                <c:pt idx="7">
                  <c:v>East</c:v>
                </c:pt>
                <c:pt idx="8">
                  <c:v>Central</c:v>
                </c:pt>
                <c:pt idx="9">
                  <c:v>Central</c:v>
                </c:pt>
                <c:pt idx="10">
                  <c:v>North</c:v>
                </c:pt>
                <c:pt idx="11">
                  <c:v>East</c:v>
                </c:pt>
                <c:pt idx="12">
                  <c:v>Central</c:v>
                </c:pt>
                <c:pt idx="13">
                  <c:v>West</c:v>
                </c:pt>
                <c:pt idx="14">
                  <c:v>North</c:v>
                </c:pt>
                <c:pt idx="15">
                  <c:v>South</c:v>
                </c:pt>
                <c:pt idx="16">
                  <c:v>North</c:v>
                </c:pt>
                <c:pt idx="17">
                  <c:v>Central</c:v>
                </c:pt>
                <c:pt idx="18">
                  <c:v>West</c:v>
                </c:pt>
                <c:pt idx="19">
                  <c:v>North</c:v>
                </c:pt>
                <c:pt idx="20">
                  <c:v>North</c:v>
                </c:pt>
                <c:pt idx="21">
                  <c:v>West</c:v>
                </c:pt>
                <c:pt idx="22">
                  <c:v>Central</c:v>
                </c:pt>
                <c:pt idx="23">
                  <c:v>Central</c:v>
                </c:pt>
                <c:pt idx="24">
                  <c:v>East</c:v>
                </c:pt>
                <c:pt idx="25">
                  <c:v>West</c:v>
                </c:pt>
                <c:pt idx="26">
                  <c:v>East</c:v>
                </c:pt>
                <c:pt idx="27">
                  <c:v>East</c:v>
                </c:pt>
                <c:pt idx="28">
                  <c:v>South</c:v>
                </c:pt>
                <c:pt idx="29">
                  <c:v>West</c:v>
                </c:pt>
                <c:pt idx="30">
                  <c:v>East</c:v>
                </c:pt>
                <c:pt idx="31">
                  <c:v>Central</c:v>
                </c:pt>
                <c:pt idx="32">
                  <c:v>North</c:v>
                </c:pt>
                <c:pt idx="33">
                  <c:v>North</c:v>
                </c:pt>
                <c:pt idx="34">
                  <c:v>South</c:v>
                </c:pt>
                <c:pt idx="35">
                  <c:v>Central</c:v>
                </c:pt>
                <c:pt idx="36">
                  <c:v>West</c:v>
                </c:pt>
                <c:pt idx="37">
                  <c:v>South</c:v>
                </c:pt>
                <c:pt idx="38">
                  <c:v>East</c:v>
                </c:pt>
                <c:pt idx="39">
                  <c:v>Central</c:v>
                </c:pt>
                <c:pt idx="40">
                  <c:v>West</c:v>
                </c:pt>
                <c:pt idx="41">
                  <c:v>North</c:v>
                </c:pt>
                <c:pt idx="42">
                  <c:v>South</c:v>
                </c:pt>
                <c:pt idx="43">
                  <c:v>West</c:v>
                </c:pt>
                <c:pt idx="44">
                  <c:v>South</c:v>
                </c:pt>
                <c:pt idx="45">
                  <c:v>North</c:v>
                </c:pt>
                <c:pt idx="46">
                  <c:v>Central</c:v>
                </c:pt>
                <c:pt idx="47">
                  <c:v>North</c:v>
                </c:pt>
                <c:pt idx="48">
                  <c:v>South</c:v>
                </c:pt>
                <c:pt idx="49">
                  <c:v>South</c:v>
                </c:pt>
                <c:pt idx="50">
                  <c:v>North</c:v>
                </c:pt>
                <c:pt idx="51">
                  <c:v>West</c:v>
                </c:pt>
                <c:pt idx="52">
                  <c:v>North</c:v>
                </c:pt>
                <c:pt idx="53">
                  <c:v>North</c:v>
                </c:pt>
                <c:pt idx="54">
                  <c:v>East</c:v>
                </c:pt>
                <c:pt idx="55">
                  <c:v>North</c:v>
                </c:pt>
                <c:pt idx="56">
                  <c:v>South</c:v>
                </c:pt>
                <c:pt idx="57">
                  <c:v>East</c:v>
                </c:pt>
                <c:pt idx="58">
                  <c:v>East</c:v>
                </c:pt>
                <c:pt idx="59">
                  <c:v>West</c:v>
                </c:pt>
                <c:pt idx="60">
                  <c:v>Central</c:v>
                </c:pt>
                <c:pt idx="61">
                  <c:v>Central</c:v>
                </c:pt>
                <c:pt idx="62">
                  <c:v>South</c:v>
                </c:pt>
                <c:pt idx="63">
                  <c:v>West</c:v>
                </c:pt>
                <c:pt idx="64">
                  <c:v>West</c:v>
                </c:pt>
                <c:pt idx="65">
                  <c:v>Central</c:v>
                </c:pt>
                <c:pt idx="66">
                  <c:v>East</c:v>
                </c:pt>
                <c:pt idx="67">
                  <c:v>North</c:v>
                </c:pt>
                <c:pt idx="68">
                  <c:v>North</c:v>
                </c:pt>
                <c:pt idx="69">
                  <c:v>East</c:v>
                </c:pt>
                <c:pt idx="70">
                  <c:v>South</c:v>
                </c:pt>
                <c:pt idx="71">
                  <c:v>East</c:v>
                </c:pt>
                <c:pt idx="72">
                  <c:v>West</c:v>
                </c:pt>
                <c:pt idx="73">
                  <c:v>East</c:v>
                </c:pt>
                <c:pt idx="74">
                  <c:v>North</c:v>
                </c:pt>
                <c:pt idx="75">
                  <c:v>East</c:v>
                </c:pt>
                <c:pt idx="76">
                  <c:v>South</c:v>
                </c:pt>
                <c:pt idx="77">
                  <c:v>North</c:v>
                </c:pt>
                <c:pt idx="78">
                  <c:v>West</c:v>
                </c:pt>
                <c:pt idx="79">
                  <c:v>South</c:v>
                </c:pt>
                <c:pt idx="80">
                  <c:v>North</c:v>
                </c:pt>
                <c:pt idx="81">
                  <c:v>Central</c:v>
                </c:pt>
                <c:pt idx="82">
                  <c:v>East</c:v>
                </c:pt>
                <c:pt idx="83">
                  <c:v>North</c:v>
                </c:pt>
                <c:pt idx="84">
                  <c:v>East</c:v>
                </c:pt>
                <c:pt idx="85">
                  <c:v>South</c:v>
                </c:pt>
                <c:pt idx="86">
                  <c:v>East</c:v>
                </c:pt>
                <c:pt idx="87">
                  <c:v>West</c:v>
                </c:pt>
                <c:pt idx="88">
                  <c:v>West</c:v>
                </c:pt>
                <c:pt idx="89">
                  <c:v>East</c:v>
                </c:pt>
                <c:pt idx="90">
                  <c:v>North</c:v>
                </c:pt>
                <c:pt idx="91">
                  <c:v>South</c:v>
                </c:pt>
                <c:pt idx="92">
                  <c:v>North</c:v>
                </c:pt>
                <c:pt idx="93">
                  <c:v>North</c:v>
                </c:pt>
                <c:pt idx="94">
                  <c:v>East</c:v>
                </c:pt>
                <c:pt idx="95">
                  <c:v>North</c:v>
                </c:pt>
                <c:pt idx="96">
                  <c:v>East</c:v>
                </c:pt>
                <c:pt idx="97">
                  <c:v>South</c:v>
                </c:pt>
                <c:pt idx="98">
                  <c:v>North</c:v>
                </c:pt>
                <c:pt idx="99">
                  <c:v>East</c:v>
                </c:pt>
                <c:pt idx="100">
                  <c:v>East</c:v>
                </c:pt>
                <c:pt idx="101">
                  <c:v>West</c:v>
                </c:pt>
                <c:pt idx="102">
                  <c:v>North</c:v>
                </c:pt>
                <c:pt idx="103">
                  <c:v>North</c:v>
                </c:pt>
                <c:pt idx="104">
                  <c:v>North</c:v>
                </c:pt>
                <c:pt idx="105">
                  <c:v>West</c:v>
                </c:pt>
                <c:pt idx="106">
                  <c:v>North</c:v>
                </c:pt>
                <c:pt idx="107">
                  <c:v>West</c:v>
                </c:pt>
                <c:pt idx="108">
                  <c:v>East</c:v>
                </c:pt>
                <c:pt idx="109">
                  <c:v>Central</c:v>
                </c:pt>
                <c:pt idx="110">
                  <c:v>East</c:v>
                </c:pt>
                <c:pt idx="111">
                  <c:v>Central</c:v>
                </c:pt>
                <c:pt idx="112">
                  <c:v>Central</c:v>
                </c:pt>
                <c:pt idx="113">
                  <c:v>East</c:v>
                </c:pt>
                <c:pt idx="114">
                  <c:v>Central</c:v>
                </c:pt>
                <c:pt idx="115">
                  <c:v>Central</c:v>
                </c:pt>
                <c:pt idx="116">
                  <c:v>South</c:v>
                </c:pt>
                <c:pt idx="117">
                  <c:v>North</c:v>
                </c:pt>
                <c:pt idx="118">
                  <c:v>North</c:v>
                </c:pt>
                <c:pt idx="119">
                  <c:v>East</c:v>
                </c:pt>
                <c:pt idx="120">
                  <c:v>West</c:v>
                </c:pt>
                <c:pt idx="121">
                  <c:v>East</c:v>
                </c:pt>
                <c:pt idx="122">
                  <c:v>South</c:v>
                </c:pt>
                <c:pt idx="123">
                  <c:v>Central</c:v>
                </c:pt>
                <c:pt idx="124">
                  <c:v>East</c:v>
                </c:pt>
                <c:pt idx="125">
                  <c:v>North</c:v>
                </c:pt>
                <c:pt idx="126">
                  <c:v>North</c:v>
                </c:pt>
                <c:pt idx="127">
                  <c:v>East</c:v>
                </c:pt>
                <c:pt idx="128">
                  <c:v>Central</c:v>
                </c:pt>
                <c:pt idx="129">
                  <c:v>North</c:v>
                </c:pt>
                <c:pt idx="130">
                  <c:v>North</c:v>
                </c:pt>
                <c:pt idx="131">
                  <c:v>North</c:v>
                </c:pt>
                <c:pt idx="132">
                  <c:v>East</c:v>
                </c:pt>
                <c:pt idx="133">
                  <c:v>Central</c:v>
                </c:pt>
                <c:pt idx="134">
                  <c:v>Central</c:v>
                </c:pt>
                <c:pt idx="135">
                  <c:v>North</c:v>
                </c:pt>
                <c:pt idx="136">
                  <c:v>North</c:v>
                </c:pt>
                <c:pt idx="137">
                  <c:v>East</c:v>
                </c:pt>
                <c:pt idx="138">
                  <c:v>North</c:v>
                </c:pt>
                <c:pt idx="139">
                  <c:v>East</c:v>
                </c:pt>
                <c:pt idx="140">
                  <c:v>South</c:v>
                </c:pt>
                <c:pt idx="141">
                  <c:v>South</c:v>
                </c:pt>
                <c:pt idx="142">
                  <c:v>South</c:v>
                </c:pt>
                <c:pt idx="143">
                  <c:v>West</c:v>
                </c:pt>
                <c:pt idx="144">
                  <c:v>North</c:v>
                </c:pt>
                <c:pt idx="145">
                  <c:v>North</c:v>
                </c:pt>
                <c:pt idx="146">
                  <c:v>West</c:v>
                </c:pt>
                <c:pt idx="147">
                  <c:v>South</c:v>
                </c:pt>
                <c:pt idx="148">
                  <c:v>Central</c:v>
                </c:pt>
                <c:pt idx="149">
                  <c:v>East</c:v>
                </c:pt>
                <c:pt idx="150">
                  <c:v>East</c:v>
                </c:pt>
                <c:pt idx="151">
                  <c:v>West</c:v>
                </c:pt>
                <c:pt idx="152">
                  <c:v>West</c:v>
                </c:pt>
                <c:pt idx="153">
                  <c:v>East</c:v>
                </c:pt>
                <c:pt idx="154">
                  <c:v>West</c:v>
                </c:pt>
                <c:pt idx="155">
                  <c:v>North</c:v>
                </c:pt>
                <c:pt idx="156">
                  <c:v>North</c:v>
                </c:pt>
                <c:pt idx="157">
                  <c:v>East</c:v>
                </c:pt>
                <c:pt idx="158">
                  <c:v>North</c:v>
                </c:pt>
                <c:pt idx="159">
                  <c:v>East</c:v>
                </c:pt>
                <c:pt idx="160">
                  <c:v>North</c:v>
                </c:pt>
                <c:pt idx="161">
                  <c:v>South</c:v>
                </c:pt>
                <c:pt idx="162">
                  <c:v>Central</c:v>
                </c:pt>
                <c:pt idx="163">
                  <c:v>North</c:v>
                </c:pt>
                <c:pt idx="164">
                  <c:v>West</c:v>
                </c:pt>
                <c:pt idx="165">
                  <c:v>Central</c:v>
                </c:pt>
                <c:pt idx="166">
                  <c:v>West</c:v>
                </c:pt>
                <c:pt idx="167">
                  <c:v>East</c:v>
                </c:pt>
                <c:pt idx="168">
                  <c:v>North</c:v>
                </c:pt>
                <c:pt idx="169">
                  <c:v>Central</c:v>
                </c:pt>
                <c:pt idx="170">
                  <c:v>East</c:v>
                </c:pt>
                <c:pt idx="171">
                  <c:v>South</c:v>
                </c:pt>
                <c:pt idx="172">
                  <c:v>South</c:v>
                </c:pt>
                <c:pt idx="173">
                  <c:v>West</c:v>
                </c:pt>
                <c:pt idx="174">
                  <c:v>North</c:v>
                </c:pt>
                <c:pt idx="175">
                  <c:v>West</c:v>
                </c:pt>
                <c:pt idx="176">
                  <c:v>South</c:v>
                </c:pt>
                <c:pt idx="177">
                  <c:v>South</c:v>
                </c:pt>
                <c:pt idx="178">
                  <c:v>East</c:v>
                </c:pt>
                <c:pt idx="179">
                  <c:v>East</c:v>
                </c:pt>
                <c:pt idx="180">
                  <c:v>West</c:v>
                </c:pt>
                <c:pt idx="181">
                  <c:v>North</c:v>
                </c:pt>
                <c:pt idx="182">
                  <c:v>North</c:v>
                </c:pt>
                <c:pt idx="183">
                  <c:v>West</c:v>
                </c:pt>
                <c:pt idx="184">
                  <c:v>West</c:v>
                </c:pt>
                <c:pt idx="185">
                  <c:v>South</c:v>
                </c:pt>
                <c:pt idx="186">
                  <c:v>East</c:v>
                </c:pt>
                <c:pt idx="187">
                  <c:v>North</c:v>
                </c:pt>
                <c:pt idx="188">
                  <c:v>Central</c:v>
                </c:pt>
                <c:pt idx="189">
                  <c:v>North</c:v>
                </c:pt>
                <c:pt idx="190">
                  <c:v>East</c:v>
                </c:pt>
                <c:pt idx="191">
                  <c:v>East</c:v>
                </c:pt>
                <c:pt idx="192">
                  <c:v>North</c:v>
                </c:pt>
                <c:pt idx="193">
                  <c:v>North</c:v>
                </c:pt>
                <c:pt idx="194">
                  <c:v>Central</c:v>
                </c:pt>
                <c:pt idx="195">
                  <c:v>East</c:v>
                </c:pt>
                <c:pt idx="196">
                  <c:v>South</c:v>
                </c:pt>
                <c:pt idx="197">
                  <c:v>East</c:v>
                </c:pt>
                <c:pt idx="198">
                  <c:v>East</c:v>
                </c:pt>
                <c:pt idx="199">
                  <c:v>West</c:v>
                </c:pt>
                <c:pt idx="200">
                  <c:v>North</c:v>
                </c:pt>
                <c:pt idx="201">
                  <c:v>East</c:v>
                </c:pt>
                <c:pt idx="202">
                  <c:v>North</c:v>
                </c:pt>
                <c:pt idx="203">
                  <c:v>East</c:v>
                </c:pt>
                <c:pt idx="204">
                  <c:v>South</c:v>
                </c:pt>
                <c:pt idx="205">
                  <c:v>East</c:v>
                </c:pt>
                <c:pt idx="206">
                  <c:v>South</c:v>
                </c:pt>
                <c:pt idx="207">
                  <c:v>West</c:v>
                </c:pt>
                <c:pt idx="208">
                  <c:v>South</c:v>
                </c:pt>
                <c:pt idx="209">
                  <c:v>Central</c:v>
                </c:pt>
                <c:pt idx="210">
                  <c:v>North</c:v>
                </c:pt>
                <c:pt idx="211">
                  <c:v>East</c:v>
                </c:pt>
                <c:pt idx="212">
                  <c:v>North</c:v>
                </c:pt>
                <c:pt idx="213">
                  <c:v>North</c:v>
                </c:pt>
                <c:pt idx="214">
                  <c:v>West</c:v>
                </c:pt>
                <c:pt idx="215">
                  <c:v>North</c:v>
                </c:pt>
                <c:pt idx="216">
                  <c:v>North</c:v>
                </c:pt>
                <c:pt idx="217">
                  <c:v>North</c:v>
                </c:pt>
                <c:pt idx="218">
                  <c:v>East</c:v>
                </c:pt>
                <c:pt idx="219">
                  <c:v>South</c:v>
                </c:pt>
                <c:pt idx="220">
                  <c:v>East</c:v>
                </c:pt>
                <c:pt idx="221">
                  <c:v>North</c:v>
                </c:pt>
                <c:pt idx="222">
                  <c:v>East</c:v>
                </c:pt>
                <c:pt idx="223">
                  <c:v>South</c:v>
                </c:pt>
                <c:pt idx="224">
                  <c:v>West</c:v>
                </c:pt>
                <c:pt idx="225">
                  <c:v>Central</c:v>
                </c:pt>
                <c:pt idx="226">
                  <c:v>West</c:v>
                </c:pt>
                <c:pt idx="227">
                  <c:v>North</c:v>
                </c:pt>
                <c:pt idx="228">
                  <c:v>West</c:v>
                </c:pt>
                <c:pt idx="229">
                  <c:v>South</c:v>
                </c:pt>
                <c:pt idx="230">
                  <c:v>South</c:v>
                </c:pt>
                <c:pt idx="231">
                  <c:v>North</c:v>
                </c:pt>
                <c:pt idx="232">
                  <c:v>North</c:v>
                </c:pt>
                <c:pt idx="233">
                  <c:v>West</c:v>
                </c:pt>
                <c:pt idx="234">
                  <c:v>East</c:v>
                </c:pt>
                <c:pt idx="235">
                  <c:v>West</c:v>
                </c:pt>
                <c:pt idx="236">
                  <c:v>North</c:v>
                </c:pt>
                <c:pt idx="237">
                  <c:v>South</c:v>
                </c:pt>
                <c:pt idx="238">
                  <c:v>South</c:v>
                </c:pt>
                <c:pt idx="239">
                  <c:v>North</c:v>
                </c:pt>
                <c:pt idx="240">
                  <c:v>South</c:v>
                </c:pt>
                <c:pt idx="241">
                  <c:v>West</c:v>
                </c:pt>
                <c:pt idx="242">
                  <c:v>East</c:v>
                </c:pt>
                <c:pt idx="243">
                  <c:v>West</c:v>
                </c:pt>
                <c:pt idx="244">
                  <c:v>South</c:v>
                </c:pt>
                <c:pt idx="245">
                  <c:v>North</c:v>
                </c:pt>
                <c:pt idx="246">
                  <c:v>East</c:v>
                </c:pt>
                <c:pt idx="247">
                  <c:v>Central</c:v>
                </c:pt>
                <c:pt idx="248">
                  <c:v>North</c:v>
                </c:pt>
                <c:pt idx="249">
                  <c:v>West</c:v>
                </c:pt>
                <c:pt idx="250">
                  <c:v>South</c:v>
                </c:pt>
                <c:pt idx="251">
                  <c:v>East</c:v>
                </c:pt>
                <c:pt idx="252">
                  <c:v>North</c:v>
                </c:pt>
                <c:pt idx="253">
                  <c:v>South</c:v>
                </c:pt>
                <c:pt idx="254">
                  <c:v>Central</c:v>
                </c:pt>
                <c:pt idx="255">
                  <c:v>West</c:v>
                </c:pt>
                <c:pt idx="256">
                  <c:v>North</c:v>
                </c:pt>
                <c:pt idx="257">
                  <c:v>East</c:v>
                </c:pt>
                <c:pt idx="258">
                  <c:v>East</c:v>
                </c:pt>
                <c:pt idx="259">
                  <c:v>Central</c:v>
                </c:pt>
                <c:pt idx="260">
                  <c:v>South</c:v>
                </c:pt>
                <c:pt idx="261">
                  <c:v>North</c:v>
                </c:pt>
                <c:pt idx="262">
                  <c:v>East</c:v>
                </c:pt>
                <c:pt idx="263">
                  <c:v>North</c:v>
                </c:pt>
                <c:pt idx="264">
                  <c:v>South</c:v>
                </c:pt>
                <c:pt idx="265">
                  <c:v>South</c:v>
                </c:pt>
                <c:pt idx="266">
                  <c:v>Central</c:v>
                </c:pt>
                <c:pt idx="267">
                  <c:v>Central</c:v>
                </c:pt>
                <c:pt idx="268">
                  <c:v>Central</c:v>
                </c:pt>
                <c:pt idx="269">
                  <c:v>Central</c:v>
                </c:pt>
                <c:pt idx="270">
                  <c:v>West</c:v>
                </c:pt>
                <c:pt idx="271">
                  <c:v>South</c:v>
                </c:pt>
                <c:pt idx="272">
                  <c:v>North</c:v>
                </c:pt>
                <c:pt idx="273">
                  <c:v>East</c:v>
                </c:pt>
                <c:pt idx="274">
                  <c:v>Central</c:v>
                </c:pt>
                <c:pt idx="275">
                  <c:v>South</c:v>
                </c:pt>
                <c:pt idx="276">
                  <c:v>South</c:v>
                </c:pt>
                <c:pt idx="277">
                  <c:v>North</c:v>
                </c:pt>
                <c:pt idx="278">
                  <c:v>South</c:v>
                </c:pt>
                <c:pt idx="279">
                  <c:v>North</c:v>
                </c:pt>
                <c:pt idx="280">
                  <c:v>Central</c:v>
                </c:pt>
                <c:pt idx="281">
                  <c:v>Central</c:v>
                </c:pt>
                <c:pt idx="282">
                  <c:v>West</c:v>
                </c:pt>
                <c:pt idx="283">
                  <c:v>North</c:v>
                </c:pt>
                <c:pt idx="284">
                  <c:v>West</c:v>
                </c:pt>
                <c:pt idx="285">
                  <c:v>North</c:v>
                </c:pt>
                <c:pt idx="286">
                  <c:v>South</c:v>
                </c:pt>
                <c:pt idx="287">
                  <c:v>South</c:v>
                </c:pt>
                <c:pt idx="288">
                  <c:v>South</c:v>
                </c:pt>
                <c:pt idx="289">
                  <c:v>Central</c:v>
                </c:pt>
                <c:pt idx="290">
                  <c:v>Central</c:v>
                </c:pt>
                <c:pt idx="291">
                  <c:v>West</c:v>
                </c:pt>
                <c:pt idx="292">
                  <c:v>Central</c:v>
                </c:pt>
                <c:pt idx="293">
                  <c:v>Central</c:v>
                </c:pt>
                <c:pt idx="294">
                  <c:v>North</c:v>
                </c:pt>
                <c:pt idx="295">
                  <c:v>North</c:v>
                </c:pt>
                <c:pt idx="296">
                  <c:v>West</c:v>
                </c:pt>
                <c:pt idx="297">
                  <c:v>East</c:v>
                </c:pt>
                <c:pt idx="298">
                  <c:v>East</c:v>
                </c:pt>
                <c:pt idx="299">
                  <c:v>South</c:v>
                </c:pt>
                <c:pt idx="300">
                  <c:v>East</c:v>
                </c:pt>
                <c:pt idx="301">
                  <c:v>Central</c:v>
                </c:pt>
                <c:pt idx="302">
                  <c:v>Central</c:v>
                </c:pt>
                <c:pt idx="303">
                  <c:v>South</c:v>
                </c:pt>
                <c:pt idx="304">
                  <c:v>North</c:v>
                </c:pt>
                <c:pt idx="305">
                  <c:v>Central</c:v>
                </c:pt>
                <c:pt idx="306">
                  <c:v>Central</c:v>
                </c:pt>
                <c:pt idx="307">
                  <c:v>North</c:v>
                </c:pt>
                <c:pt idx="308">
                  <c:v>South</c:v>
                </c:pt>
                <c:pt idx="309">
                  <c:v>South</c:v>
                </c:pt>
                <c:pt idx="310">
                  <c:v>North</c:v>
                </c:pt>
                <c:pt idx="311">
                  <c:v>East</c:v>
                </c:pt>
                <c:pt idx="312">
                  <c:v>Central</c:v>
                </c:pt>
                <c:pt idx="313">
                  <c:v>West</c:v>
                </c:pt>
                <c:pt idx="314">
                  <c:v>East</c:v>
                </c:pt>
                <c:pt idx="315">
                  <c:v>North</c:v>
                </c:pt>
                <c:pt idx="316">
                  <c:v>Central</c:v>
                </c:pt>
                <c:pt idx="317">
                  <c:v>Central</c:v>
                </c:pt>
                <c:pt idx="318">
                  <c:v>West</c:v>
                </c:pt>
                <c:pt idx="319">
                  <c:v>East</c:v>
                </c:pt>
                <c:pt idx="320">
                  <c:v>South</c:v>
                </c:pt>
                <c:pt idx="321">
                  <c:v>North</c:v>
                </c:pt>
                <c:pt idx="322">
                  <c:v>North</c:v>
                </c:pt>
                <c:pt idx="323">
                  <c:v>South</c:v>
                </c:pt>
                <c:pt idx="324">
                  <c:v>North</c:v>
                </c:pt>
                <c:pt idx="325">
                  <c:v>North</c:v>
                </c:pt>
                <c:pt idx="326">
                  <c:v>Central</c:v>
                </c:pt>
                <c:pt idx="327">
                  <c:v>North</c:v>
                </c:pt>
                <c:pt idx="328">
                  <c:v>East</c:v>
                </c:pt>
                <c:pt idx="329">
                  <c:v>North</c:v>
                </c:pt>
                <c:pt idx="330">
                  <c:v>West</c:v>
                </c:pt>
                <c:pt idx="331">
                  <c:v>Central</c:v>
                </c:pt>
                <c:pt idx="332">
                  <c:v>North</c:v>
                </c:pt>
                <c:pt idx="333">
                  <c:v>East</c:v>
                </c:pt>
                <c:pt idx="334">
                  <c:v>North</c:v>
                </c:pt>
                <c:pt idx="335">
                  <c:v>East</c:v>
                </c:pt>
                <c:pt idx="336">
                  <c:v>South</c:v>
                </c:pt>
                <c:pt idx="337">
                  <c:v>West</c:v>
                </c:pt>
                <c:pt idx="338">
                  <c:v>Central</c:v>
                </c:pt>
                <c:pt idx="339">
                  <c:v>East</c:v>
                </c:pt>
                <c:pt idx="340">
                  <c:v>South</c:v>
                </c:pt>
                <c:pt idx="341">
                  <c:v>Central</c:v>
                </c:pt>
                <c:pt idx="342">
                  <c:v>North</c:v>
                </c:pt>
                <c:pt idx="343">
                  <c:v>West</c:v>
                </c:pt>
                <c:pt idx="344">
                  <c:v>Central</c:v>
                </c:pt>
                <c:pt idx="345">
                  <c:v>North</c:v>
                </c:pt>
                <c:pt idx="346">
                  <c:v>North</c:v>
                </c:pt>
                <c:pt idx="347">
                  <c:v>Central</c:v>
                </c:pt>
                <c:pt idx="348">
                  <c:v>Central</c:v>
                </c:pt>
                <c:pt idx="349">
                  <c:v>North</c:v>
                </c:pt>
                <c:pt idx="350">
                  <c:v>East</c:v>
                </c:pt>
                <c:pt idx="351">
                  <c:v>East</c:v>
                </c:pt>
                <c:pt idx="352">
                  <c:v>East</c:v>
                </c:pt>
                <c:pt idx="353">
                  <c:v>West</c:v>
                </c:pt>
                <c:pt idx="354">
                  <c:v>South</c:v>
                </c:pt>
                <c:pt idx="355">
                  <c:v>Central</c:v>
                </c:pt>
                <c:pt idx="356">
                  <c:v>East</c:v>
                </c:pt>
                <c:pt idx="357">
                  <c:v>South</c:v>
                </c:pt>
                <c:pt idx="358">
                  <c:v>North</c:v>
                </c:pt>
                <c:pt idx="359">
                  <c:v>West</c:v>
                </c:pt>
                <c:pt idx="360">
                  <c:v>Central</c:v>
                </c:pt>
                <c:pt idx="361">
                  <c:v>South</c:v>
                </c:pt>
                <c:pt idx="362">
                  <c:v>South</c:v>
                </c:pt>
                <c:pt idx="363">
                  <c:v>West</c:v>
                </c:pt>
                <c:pt idx="364">
                  <c:v>East</c:v>
                </c:pt>
                <c:pt idx="365">
                  <c:v>North</c:v>
                </c:pt>
                <c:pt idx="366">
                  <c:v>Central</c:v>
                </c:pt>
                <c:pt idx="367">
                  <c:v>West</c:v>
                </c:pt>
                <c:pt idx="368">
                  <c:v>North</c:v>
                </c:pt>
                <c:pt idx="369">
                  <c:v>Central</c:v>
                </c:pt>
                <c:pt idx="370">
                  <c:v>West</c:v>
                </c:pt>
                <c:pt idx="371">
                  <c:v>Central</c:v>
                </c:pt>
                <c:pt idx="372">
                  <c:v>Central</c:v>
                </c:pt>
                <c:pt idx="373">
                  <c:v>Central</c:v>
                </c:pt>
                <c:pt idx="374">
                  <c:v>North</c:v>
                </c:pt>
                <c:pt idx="375">
                  <c:v>South</c:v>
                </c:pt>
                <c:pt idx="376">
                  <c:v>West</c:v>
                </c:pt>
                <c:pt idx="377">
                  <c:v>North</c:v>
                </c:pt>
                <c:pt idx="378">
                  <c:v>East</c:v>
                </c:pt>
                <c:pt idx="379">
                  <c:v>South</c:v>
                </c:pt>
                <c:pt idx="380">
                  <c:v>South</c:v>
                </c:pt>
                <c:pt idx="381">
                  <c:v>Central</c:v>
                </c:pt>
                <c:pt idx="382">
                  <c:v>East</c:v>
                </c:pt>
                <c:pt idx="383">
                  <c:v>West</c:v>
                </c:pt>
                <c:pt idx="384">
                  <c:v>Central</c:v>
                </c:pt>
                <c:pt idx="385">
                  <c:v>Central</c:v>
                </c:pt>
                <c:pt idx="386">
                  <c:v>North</c:v>
                </c:pt>
                <c:pt idx="387">
                  <c:v>East</c:v>
                </c:pt>
                <c:pt idx="388">
                  <c:v>East</c:v>
                </c:pt>
                <c:pt idx="389">
                  <c:v>West</c:v>
                </c:pt>
                <c:pt idx="390">
                  <c:v>East</c:v>
                </c:pt>
                <c:pt idx="391">
                  <c:v>East</c:v>
                </c:pt>
                <c:pt idx="392">
                  <c:v>North</c:v>
                </c:pt>
                <c:pt idx="393">
                  <c:v>South</c:v>
                </c:pt>
                <c:pt idx="394">
                  <c:v>Central</c:v>
                </c:pt>
                <c:pt idx="395">
                  <c:v>Central</c:v>
                </c:pt>
                <c:pt idx="396">
                  <c:v>South</c:v>
                </c:pt>
                <c:pt idx="397">
                  <c:v>Central</c:v>
                </c:pt>
                <c:pt idx="398">
                  <c:v>North</c:v>
                </c:pt>
                <c:pt idx="399">
                  <c:v>East</c:v>
                </c:pt>
                <c:pt idx="400">
                  <c:v>South</c:v>
                </c:pt>
                <c:pt idx="401">
                  <c:v>East</c:v>
                </c:pt>
                <c:pt idx="402">
                  <c:v>South</c:v>
                </c:pt>
                <c:pt idx="403">
                  <c:v>North</c:v>
                </c:pt>
                <c:pt idx="404">
                  <c:v>South</c:v>
                </c:pt>
                <c:pt idx="405">
                  <c:v>Central</c:v>
                </c:pt>
                <c:pt idx="406">
                  <c:v>Central</c:v>
                </c:pt>
                <c:pt idx="407">
                  <c:v>North</c:v>
                </c:pt>
                <c:pt idx="408">
                  <c:v>West</c:v>
                </c:pt>
                <c:pt idx="409">
                  <c:v>North</c:v>
                </c:pt>
                <c:pt idx="410">
                  <c:v>West</c:v>
                </c:pt>
                <c:pt idx="411">
                  <c:v>South</c:v>
                </c:pt>
                <c:pt idx="412">
                  <c:v>West</c:v>
                </c:pt>
                <c:pt idx="413">
                  <c:v>West</c:v>
                </c:pt>
                <c:pt idx="414">
                  <c:v>West</c:v>
                </c:pt>
                <c:pt idx="415">
                  <c:v>Central</c:v>
                </c:pt>
                <c:pt idx="416">
                  <c:v>Central</c:v>
                </c:pt>
                <c:pt idx="417">
                  <c:v>West</c:v>
                </c:pt>
                <c:pt idx="418">
                  <c:v>Central</c:v>
                </c:pt>
                <c:pt idx="419">
                  <c:v>North</c:v>
                </c:pt>
                <c:pt idx="420">
                  <c:v>North</c:v>
                </c:pt>
                <c:pt idx="421">
                  <c:v>North</c:v>
                </c:pt>
                <c:pt idx="422">
                  <c:v>North</c:v>
                </c:pt>
                <c:pt idx="423">
                  <c:v>North</c:v>
                </c:pt>
                <c:pt idx="424">
                  <c:v>Central</c:v>
                </c:pt>
                <c:pt idx="425">
                  <c:v>North</c:v>
                </c:pt>
                <c:pt idx="426">
                  <c:v>West</c:v>
                </c:pt>
                <c:pt idx="427">
                  <c:v>West</c:v>
                </c:pt>
                <c:pt idx="428">
                  <c:v>Central</c:v>
                </c:pt>
                <c:pt idx="429">
                  <c:v>South</c:v>
                </c:pt>
                <c:pt idx="430">
                  <c:v>South</c:v>
                </c:pt>
                <c:pt idx="431">
                  <c:v>Central</c:v>
                </c:pt>
                <c:pt idx="432">
                  <c:v>South</c:v>
                </c:pt>
                <c:pt idx="433">
                  <c:v>North</c:v>
                </c:pt>
                <c:pt idx="434">
                  <c:v>North</c:v>
                </c:pt>
                <c:pt idx="435">
                  <c:v>West</c:v>
                </c:pt>
                <c:pt idx="436">
                  <c:v>East</c:v>
                </c:pt>
                <c:pt idx="437">
                  <c:v>West</c:v>
                </c:pt>
                <c:pt idx="438">
                  <c:v>East</c:v>
                </c:pt>
                <c:pt idx="439">
                  <c:v>West</c:v>
                </c:pt>
                <c:pt idx="440">
                  <c:v>West</c:v>
                </c:pt>
                <c:pt idx="441">
                  <c:v>West</c:v>
                </c:pt>
                <c:pt idx="442">
                  <c:v>West</c:v>
                </c:pt>
                <c:pt idx="443">
                  <c:v>East</c:v>
                </c:pt>
                <c:pt idx="444">
                  <c:v>North</c:v>
                </c:pt>
                <c:pt idx="445">
                  <c:v>East</c:v>
                </c:pt>
                <c:pt idx="446">
                  <c:v>North</c:v>
                </c:pt>
                <c:pt idx="447">
                  <c:v>West</c:v>
                </c:pt>
                <c:pt idx="448">
                  <c:v>North</c:v>
                </c:pt>
                <c:pt idx="449">
                  <c:v>South</c:v>
                </c:pt>
                <c:pt idx="450">
                  <c:v>South</c:v>
                </c:pt>
                <c:pt idx="451">
                  <c:v>East</c:v>
                </c:pt>
                <c:pt idx="452">
                  <c:v>South</c:v>
                </c:pt>
                <c:pt idx="453">
                  <c:v>West</c:v>
                </c:pt>
                <c:pt idx="454">
                  <c:v>North</c:v>
                </c:pt>
                <c:pt idx="455">
                  <c:v>North</c:v>
                </c:pt>
                <c:pt idx="456">
                  <c:v>South</c:v>
                </c:pt>
                <c:pt idx="457">
                  <c:v>North</c:v>
                </c:pt>
                <c:pt idx="458">
                  <c:v>West</c:v>
                </c:pt>
                <c:pt idx="459">
                  <c:v>West</c:v>
                </c:pt>
                <c:pt idx="460">
                  <c:v>West</c:v>
                </c:pt>
                <c:pt idx="461">
                  <c:v>East</c:v>
                </c:pt>
                <c:pt idx="462">
                  <c:v>East</c:v>
                </c:pt>
                <c:pt idx="463">
                  <c:v>East</c:v>
                </c:pt>
                <c:pt idx="464">
                  <c:v>Central</c:v>
                </c:pt>
                <c:pt idx="465">
                  <c:v>Central</c:v>
                </c:pt>
                <c:pt idx="466">
                  <c:v>East</c:v>
                </c:pt>
                <c:pt idx="467">
                  <c:v>West</c:v>
                </c:pt>
                <c:pt idx="468">
                  <c:v>East</c:v>
                </c:pt>
                <c:pt idx="469">
                  <c:v>South</c:v>
                </c:pt>
                <c:pt idx="470">
                  <c:v>Central</c:v>
                </c:pt>
                <c:pt idx="471">
                  <c:v>North</c:v>
                </c:pt>
                <c:pt idx="472">
                  <c:v>West</c:v>
                </c:pt>
                <c:pt idx="473">
                  <c:v>North</c:v>
                </c:pt>
                <c:pt idx="474">
                  <c:v>West</c:v>
                </c:pt>
                <c:pt idx="475">
                  <c:v>North</c:v>
                </c:pt>
                <c:pt idx="476">
                  <c:v>West</c:v>
                </c:pt>
                <c:pt idx="477">
                  <c:v>West</c:v>
                </c:pt>
                <c:pt idx="478">
                  <c:v>South</c:v>
                </c:pt>
                <c:pt idx="479">
                  <c:v>West</c:v>
                </c:pt>
                <c:pt idx="480">
                  <c:v>Central</c:v>
                </c:pt>
                <c:pt idx="481">
                  <c:v>North</c:v>
                </c:pt>
                <c:pt idx="482">
                  <c:v>West</c:v>
                </c:pt>
                <c:pt idx="483">
                  <c:v>West</c:v>
                </c:pt>
                <c:pt idx="484">
                  <c:v>South</c:v>
                </c:pt>
                <c:pt idx="485">
                  <c:v>Central</c:v>
                </c:pt>
                <c:pt idx="486">
                  <c:v>Central</c:v>
                </c:pt>
                <c:pt idx="487">
                  <c:v>West</c:v>
                </c:pt>
                <c:pt idx="488">
                  <c:v>East</c:v>
                </c:pt>
                <c:pt idx="489">
                  <c:v>North</c:v>
                </c:pt>
                <c:pt idx="490">
                  <c:v>Central</c:v>
                </c:pt>
                <c:pt idx="491">
                  <c:v>East</c:v>
                </c:pt>
                <c:pt idx="492">
                  <c:v>West</c:v>
                </c:pt>
                <c:pt idx="493">
                  <c:v>East</c:v>
                </c:pt>
                <c:pt idx="494">
                  <c:v>West</c:v>
                </c:pt>
                <c:pt idx="495">
                  <c:v>North</c:v>
                </c:pt>
                <c:pt idx="496">
                  <c:v>West</c:v>
                </c:pt>
                <c:pt idx="497">
                  <c:v>South</c:v>
                </c:pt>
                <c:pt idx="498">
                  <c:v>West</c:v>
                </c:pt>
                <c:pt idx="499">
                  <c:v>West</c:v>
                </c:pt>
                <c:pt idx="500">
                  <c:v>North</c:v>
                </c:pt>
                <c:pt idx="501">
                  <c:v>East</c:v>
                </c:pt>
                <c:pt idx="502">
                  <c:v>Central</c:v>
                </c:pt>
                <c:pt idx="503">
                  <c:v>Central</c:v>
                </c:pt>
                <c:pt idx="504">
                  <c:v>East</c:v>
                </c:pt>
                <c:pt idx="505">
                  <c:v>Central</c:v>
                </c:pt>
                <c:pt idx="506">
                  <c:v>Central</c:v>
                </c:pt>
                <c:pt idx="507">
                  <c:v>North</c:v>
                </c:pt>
                <c:pt idx="508">
                  <c:v>South</c:v>
                </c:pt>
                <c:pt idx="509">
                  <c:v>North</c:v>
                </c:pt>
                <c:pt idx="510">
                  <c:v>North</c:v>
                </c:pt>
                <c:pt idx="511">
                  <c:v>West</c:v>
                </c:pt>
                <c:pt idx="512">
                  <c:v>North</c:v>
                </c:pt>
                <c:pt idx="513">
                  <c:v>North</c:v>
                </c:pt>
                <c:pt idx="514">
                  <c:v>East</c:v>
                </c:pt>
                <c:pt idx="515">
                  <c:v>West</c:v>
                </c:pt>
                <c:pt idx="516">
                  <c:v>North</c:v>
                </c:pt>
                <c:pt idx="517">
                  <c:v>North</c:v>
                </c:pt>
                <c:pt idx="518">
                  <c:v>North</c:v>
                </c:pt>
                <c:pt idx="519">
                  <c:v>West</c:v>
                </c:pt>
                <c:pt idx="520">
                  <c:v>North</c:v>
                </c:pt>
                <c:pt idx="521">
                  <c:v>North</c:v>
                </c:pt>
                <c:pt idx="522">
                  <c:v>North</c:v>
                </c:pt>
                <c:pt idx="523">
                  <c:v>West</c:v>
                </c:pt>
                <c:pt idx="524">
                  <c:v>West</c:v>
                </c:pt>
                <c:pt idx="525">
                  <c:v>East</c:v>
                </c:pt>
                <c:pt idx="526">
                  <c:v>East</c:v>
                </c:pt>
                <c:pt idx="527">
                  <c:v>South</c:v>
                </c:pt>
                <c:pt idx="528">
                  <c:v>East</c:v>
                </c:pt>
                <c:pt idx="529">
                  <c:v>South</c:v>
                </c:pt>
                <c:pt idx="530">
                  <c:v>South</c:v>
                </c:pt>
                <c:pt idx="531">
                  <c:v>North</c:v>
                </c:pt>
                <c:pt idx="532">
                  <c:v>West</c:v>
                </c:pt>
                <c:pt idx="533">
                  <c:v>East</c:v>
                </c:pt>
                <c:pt idx="534">
                  <c:v>North</c:v>
                </c:pt>
                <c:pt idx="535">
                  <c:v>Central</c:v>
                </c:pt>
                <c:pt idx="536">
                  <c:v>West</c:v>
                </c:pt>
                <c:pt idx="537">
                  <c:v>Central</c:v>
                </c:pt>
                <c:pt idx="538">
                  <c:v>South</c:v>
                </c:pt>
                <c:pt idx="539">
                  <c:v>East</c:v>
                </c:pt>
                <c:pt idx="540">
                  <c:v>West</c:v>
                </c:pt>
                <c:pt idx="541">
                  <c:v>West</c:v>
                </c:pt>
                <c:pt idx="542">
                  <c:v>South</c:v>
                </c:pt>
                <c:pt idx="543">
                  <c:v>Central</c:v>
                </c:pt>
                <c:pt idx="544">
                  <c:v>North</c:v>
                </c:pt>
                <c:pt idx="545">
                  <c:v>North</c:v>
                </c:pt>
                <c:pt idx="546">
                  <c:v>North</c:v>
                </c:pt>
                <c:pt idx="547">
                  <c:v>East</c:v>
                </c:pt>
                <c:pt idx="548">
                  <c:v>South</c:v>
                </c:pt>
                <c:pt idx="549">
                  <c:v>Central</c:v>
                </c:pt>
                <c:pt idx="550">
                  <c:v>North</c:v>
                </c:pt>
                <c:pt idx="551">
                  <c:v>Central</c:v>
                </c:pt>
                <c:pt idx="552">
                  <c:v>South</c:v>
                </c:pt>
                <c:pt idx="553">
                  <c:v>Central</c:v>
                </c:pt>
                <c:pt idx="554">
                  <c:v>North</c:v>
                </c:pt>
                <c:pt idx="555">
                  <c:v>East</c:v>
                </c:pt>
                <c:pt idx="556">
                  <c:v>South</c:v>
                </c:pt>
                <c:pt idx="557">
                  <c:v>West</c:v>
                </c:pt>
                <c:pt idx="558">
                  <c:v>Central</c:v>
                </c:pt>
                <c:pt idx="559">
                  <c:v>West</c:v>
                </c:pt>
                <c:pt idx="560">
                  <c:v>South</c:v>
                </c:pt>
                <c:pt idx="561">
                  <c:v>West</c:v>
                </c:pt>
                <c:pt idx="562">
                  <c:v>Central</c:v>
                </c:pt>
                <c:pt idx="563">
                  <c:v>South</c:v>
                </c:pt>
                <c:pt idx="564">
                  <c:v>East</c:v>
                </c:pt>
                <c:pt idx="565">
                  <c:v>North</c:v>
                </c:pt>
                <c:pt idx="566">
                  <c:v>West</c:v>
                </c:pt>
                <c:pt idx="567">
                  <c:v>East</c:v>
                </c:pt>
                <c:pt idx="568">
                  <c:v>South</c:v>
                </c:pt>
                <c:pt idx="569">
                  <c:v>North</c:v>
                </c:pt>
                <c:pt idx="570">
                  <c:v>East</c:v>
                </c:pt>
                <c:pt idx="571">
                  <c:v>South</c:v>
                </c:pt>
                <c:pt idx="572">
                  <c:v>East</c:v>
                </c:pt>
                <c:pt idx="573">
                  <c:v>North</c:v>
                </c:pt>
                <c:pt idx="574">
                  <c:v>Central</c:v>
                </c:pt>
                <c:pt idx="575">
                  <c:v>East</c:v>
                </c:pt>
                <c:pt idx="576">
                  <c:v>East</c:v>
                </c:pt>
                <c:pt idx="577">
                  <c:v>South</c:v>
                </c:pt>
                <c:pt idx="578">
                  <c:v>West</c:v>
                </c:pt>
                <c:pt idx="579">
                  <c:v>South</c:v>
                </c:pt>
                <c:pt idx="580">
                  <c:v>East</c:v>
                </c:pt>
                <c:pt idx="581">
                  <c:v>West</c:v>
                </c:pt>
                <c:pt idx="582">
                  <c:v>North</c:v>
                </c:pt>
                <c:pt idx="583">
                  <c:v>West</c:v>
                </c:pt>
                <c:pt idx="584">
                  <c:v>Central</c:v>
                </c:pt>
                <c:pt idx="585">
                  <c:v>West</c:v>
                </c:pt>
                <c:pt idx="586">
                  <c:v>North</c:v>
                </c:pt>
                <c:pt idx="587">
                  <c:v>West</c:v>
                </c:pt>
                <c:pt idx="588">
                  <c:v>North</c:v>
                </c:pt>
                <c:pt idx="589">
                  <c:v>North</c:v>
                </c:pt>
                <c:pt idx="590">
                  <c:v>South</c:v>
                </c:pt>
                <c:pt idx="591">
                  <c:v>West</c:v>
                </c:pt>
                <c:pt idx="592">
                  <c:v>South</c:v>
                </c:pt>
                <c:pt idx="593">
                  <c:v>East</c:v>
                </c:pt>
                <c:pt idx="594">
                  <c:v>North</c:v>
                </c:pt>
                <c:pt idx="595">
                  <c:v>Central</c:v>
                </c:pt>
                <c:pt idx="596">
                  <c:v>East</c:v>
                </c:pt>
                <c:pt idx="597">
                  <c:v>West</c:v>
                </c:pt>
                <c:pt idx="598">
                  <c:v>Central</c:v>
                </c:pt>
                <c:pt idx="599">
                  <c:v>North</c:v>
                </c:pt>
                <c:pt idx="600">
                  <c:v>South</c:v>
                </c:pt>
                <c:pt idx="601">
                  <c:v>West</c:v>
                </c:pt>
                <c:pt idx="602">
                  <c:v>South</c:v>
                </c:pt>
                <c:pt idx="603">
                  <c:v>Central</c:v>
                </c:pt>
                <c:pt idx="604">
                  <c:v>East</c:v>
                </c:pt>
                <c:pt idx="605">
                  <c:v>West</c:v>
                </c:pt>
                <c:pt idx="606">
                  <c:v>North</c:v>
                </c:pt>
                <c:pt idx="607">
                  <c:v>Central</c:v>
                </c:pt>
                <c:pt idx="608">
                  <c:v>Central</c:v>
                </c:pt>
                <c:pt idx="609">
                  <c:v>Central</c:v>
                </c:pt>
                <c:pt idx="610">
                  <c:v>East</c:v>
                </c:pt>
                <c:pt idx="611">
                  <c:v>South</c:v>
                </c:pt>
                <c:pt idx="612">
                  <c:v>South</c:v>
                </c:pt>
                <c:pt idx="613">
                  <c:v>East</c:v>
                </c:pt>
                <c:pt idx="614">
                  <c:v>South</c:v>
                </c:pt>
                <c:pt idx="615">
                  <c:v>North</c:v>
                </c:pt>
                <c:pt idx="616">
                  <c:v>South</c:v>
                </c:pt>
                <c:pt idx="617">
                  <c:v>North</c:v>
                </c:pt>
                <c:pt idx="618">
                  <c:v>East</c:v>
                </c:pt>
                <c:pt idx="619">
                  <c:v>East</c:v>
                </c:pt>
                <c:pt idx="620">
                  <c:v>North</c:v>
                </c:pt>
                <c:pt idx="621">
                  <c:v>West</c:v>
                </c:pt>
                <c:pt idx="622">
                  <c:v>Central</c:v>
                </c:pt>
                <c:pt idx="623">
                  <c:v>South</c:v>
                </c:pt>
                <c:pt idx="624">
                  <c:v>North</c:v>
                </c:pt>
                <c:pt idx="625">
                  <c:v>West</c:v>
                </c:pt>
                <c:pt idx="626">
                  <c:v>West</c:v>
                </c:pt>
                <c:pt idx="627">
                  <c:v>South</c:v>
                </c:pt>
                <c:pt idx="628">
                  <c:v>South</c:v>
                </c:pt>
                <c:pt idx="629">
                  <c:v>South</c:v>
                </c:pt>
                <c:pt idx="630">
                  <c:v>North</c:v>
                </c:pt>
                <c:pt idx="631">
                  <c:v>North</c:v>
                </c:pt>
                <c:pt idx="632">
                  <c:v>North</c:v>
                </c:pt>
                <c:pt idx="633">
                  <c:v>East</c:v>
                </c:pt>
                <c:pt idx="634">
                  <c:v>Central</c:v>
                </c:pt>
                <c:pt idx="635">
                  <c:v>Central</c:v>
                </c:pt>
                <c:pt idx="636">
                  <c:v>North</c:v>
                </c:pt>
                <c:pt idx="637">
                  <c:v>West</c:v>
                </c:pt>
                <c:pt idx="638">
                  <c:v>Central</c:v>
                </c:pt>
                <c:pt idx="639">
                  <c:v>Central</c:v>
                </c:pt>
                <c:pt idx="640">
                  <c:v>South</c:v>
                </c:pt>
                <c:pt idx="641">
                  <c:v>South</c:v>
                </c:pt>
                <c:pt idx="642">
                  <c:v>Central</c:v>
                </c:pt>
                <c:pt idx="643">
                  <c:v>Central</c:v>
                </c:pt>
                <c:pt idx="644">
                  <c:v>West</c:v>
                </c:pt>
                <c:pt idx="645">
                  <c:v>West</c:v>
                </c:pt>
                <c:pt idx="646">
                  <c:v>North</c:v>
                </c:pt>
                <c:pt idx="647">
                  <c:v>North</c:v>
                </c:pt>
                <c:pt idx="648">
                  <c:v>Central</c:v>
                </c:pt>
                <c:pt idx="649">
                  <c:v>Central</c:v>
                </c:pt>
                <c:pt idx="650">
                  <c:v>Central</c:v>
                </c:pt>
                <c:pt idx="651">
                  <c:v>North</c:v>
                </c:pt>
                <c:pt idx="652">
                  <c:v>East</c:v>
                </c:pt>
                <c:pt idx="653">
                  <c:v>Central</c:v>
                </c:pt>
                <c:pt idx="654">
                  <c:v>East</c:v>
                </c:pt>
                <c:pt idx="655">
                  <c:v>South</c:v>
                </c:pt>
                <c:pt idx="656">
                  <c:v>North</c:v>
                </c:pt>
                <c:pt idx="657">
                  <c:v>South</c:v>
                </c:pt>
                <c:pt idx="658">
                  <c:v>Central</c:v>
                </c:pt>
                <c:pt idx="659">
                  <c:v>North</c:v>
                </c:pt>
                <c:pt idx="660">
                  <c:v>South</c:v>
                </c:pt>
                <c:pt idx="661">
                  <c:v>West</c:v>
                </c:pt>
                <c:pt idx="662">
                  <c:v>North</c:v>
                </c:pt>
                <c:pt idx="663">
                  <c:v>East</c:v>
                </c:pt>
                <c:pt idx="664">
                  <c:v>Central</c:v>
                </c:pt>
                <c:pt idx="665">
                  <c:v>North</c:v>
                </c:pt>
                <c:pt idx="666">
                  <c:v>Central</c:v>
                </c:pt>
                <c:pt idx="667">
                  <c:v>Central</c:v>
                </c:pt>
                <c:pt idx="668">
                  <c:v>West</c:v>
                </c:pt>
                <c:pt idx="669">
                  <c:v>North</c:v>
                </c:pt>
                <c:pt idx="670">
                  <c:v>East</c:v>
                </c:pt>
                <c:pt idx="671">
                  <c:v>North</c:v>
                </c:pt>
                <c:pt idx="672">
                  <c:v>Central</c:v>
                </c:pt>
                <c:pt idx="673">
                  <c:v>Central</c:v>
                </c:pt>
                <c:pt idx="674">
                  <c:v>South</c:v>
                </c:pt>
                <c:pt idx="675">
                  <c:v>South</c:v>
                </c:pt>
                <c:pt idx="676">
                  <c:v>West</c:v>
                </c:pt>
                <c:pt idx="677">
                  <c:v>North</c:v>
                </c:pt>
                <c:pt idx="678">
                  <c:v>Central</c:v>
                </c:pt>
                <c:pt idx="679">
                  <c:v>East</c:v>
                </c:pt>
                <c:pt idx="680">
                  <c:v>South</c:v>
                </c:pt>
                <c:pt idx="681">
                  <c:v>North</c:v>
                </c:pt>
                <c:pt idx="682">
                  <c:v>East</c:v>
                </c:pt>
                <c:pt idx="683">
                  <c:v>Central</c:v>
                </c:pt>
                <c:pt idx="684">
                  <c:v>South</c:v>
                </c:pt>
                <c:pt idx="685">
                  <c:v>South</c:v>
                </c:pt>
                <c:pt idx="686">
                  <c:v>South</c:v>
                </c:pt>
                <c:pt idx="687">
                  <c:v>North</c:v>
                </c:pt>
                <c:pt idx="688">
                  <c:v>West</c:v>
                </c:pt>
                <c:pt idx="689">
                  <c:v>West</c:v>
                </c:pt>
                <c:pt idx="690">
                  <c:v>Central</c:v>
                </c:pt>
                <c:pt idx="691">
                  <c:v>West</c:v>
                </c:pt>
                <c:pt idx="692">
                  <c:v>East</c:v>
                </c:pt>
                <c:pt idx="693">
                  <c:v>South</c:v>
                </c:pt>
                <c:pt idx="694">
                  <c:v>West</c:v>
                </c:pt>
                <c:pt idx="695">
                  <c:v>Central</c:v>
                </c:pt>
                <c:pt idx="696">
                  <c:v>Central</c:v>
                </c:pt>
                <c:pt idx="697">
                  <c:v>East</c:v>
                </c:pt>
                <c:pt idx="698">
                  <c:v>West</c:v>
                </c:pt>
                <c:pt idx="699">
                  <c:v>South</c:v>
                </c:pt>
                <c:pt idx="700">
                  <c:v>Central</c:v>
                </c:pt>
                <c:pt idx="701">
                  <c:v>Central</c:v>
                </c:pt>
                <c:pt idx="702">
                  <c:v>North</c:v>
                </c:pt>
                <c:pt idx="703">
                  <c:v>East</c:v>
                </c:pt>
                <c:pt idx="704">
                  <c:v>South</c:v>
                </c:pt>
                <c:pt idx="705">
                  <c:v>South</c:v>
                </c:pt>
                <c:pt idx="706">
                  <c:v>South</c:v>
                </c:pt>
                <c:pt idx="707">
                  <c:v>North</c:v>
                </c:pt>
                <c:pt idx="708">
                  <c:v>South</c:v>
                </c:pt>
                <c:pt idx="709">
                  <c:v>Central</c:v>
                </c:pt>
                <c:pt idx="710">
                  <c:v>Central</c:v>
                </c:pt>
                <c:pt idx="711">
                  <c:v>West</c:v>
                </c:pt>
                <c:pt idx="712">
                  <c:v>East</c:v>
                </c:pt>
                <c:pt idx="713">
                  <c:v>West</c:v>
                </c:pt>
                <c:pt idx="714">
                  <c:v>West</c:v>
                </c:pt>
                <c:pt idx="715">
                  <c:v>North</c:v>
                </c:pt>
                <c:pt idx="716">
                  <c:v>West</c:v>
                </c:pt>
                <c:pt idx="717">
                  <c:v>South</c:v>
                </c:pt>
                <c:pt idx="718">
                  <c:v>Central</c:v>
                </c:pt>
                <c:pt idx="719">
                  <c:v>North</c:v>
                </c:pt>
                <c:pt idx="720">
                  <c:v>West</c:v>
                </c:pt>
                <c:pt idx="721">
                  <c:v>North</c:v>
                </c:pt>
                <c:pt idx="722">
                  <c:v>North</c:v>
                </c:pt>
                <c:pt idx="723">
                  <c:v>North</c:v>
                </c:pt>
                <c:pt idx="724">
                  <c:v>West</c:v>
                </c:pt>
                <c:pt idx="725">
                  <c:v>South</c:v>
                </c:pt>
                <c:pt idx="726">
                  <c:v>North</c:v>
                </c:pt>
                <c:pt idx="727">
                  <c:v>Central</c:v>
                </c:pt>
                <c:pt idx="728">
                  <c:v>West</c:v>
                </c:pt>
                <c:pt idx="729">
                  <c:v>South</c:v>
                </c:pt>
                <c:pt idx="730">
                  <c:v>West</c:v>
                </c:pt>
                <c:pt idx="731">
                  <c:v>East</c:v>
                </c:pt>
                <c:pt idx="732">
                  <c:v>West</c:v>
                </c:pt>
                <c:pt idx="733">
                  <c:v>Central</c:v>
                </c:pt>
                <c:pt idx="734">
                  <c:v>South</c:v>
                </c:pt>
                <c:pt idx="735">
                  <c:v>South</c:v>
                </c:pt>
                <c:pt idx="736">
                  <c:v>South</c:v>
                </c:pt>
                <c:pt idx="737">
                  <c:v>North</c:v>
                </c:pt>
                <c:pt idx="738">
                  <c:v>West</c:v>
                </c:pt>
                <c:pt idx="739">
                  <c:v>West</c:v>
                </c:pt>
                <c:pt idx="740">
                  <c:v>West</c:v>
                </c:pt>
                <c:pt idx="741">
                  <c:v>South</c:v>
                </c:pt>
                <c:pt idx="742">
                  <c:v>South</c:v>
                </c:pt>
                <c:pt idx="743">
                  <c:v>East</c:v>
                </c:pt>
                <c:pt idx="744">
                  <c:v>West</c:v>
                </c:pt>
                <c:pt idx="745">
                  <c:v>East</c:v>
                </c:pt>
                <c:pt idx="746">
                  <c:v>East</c:v>
                </c:pt>
                <c:pt idx="747">
                  <c:v>East</c:v>
                </c:pt>
                <c:pt idx="748">
                  <c:v>North</c:v>
                </c:pt>
                <c:pt idx="749">
                  <c:v>West</c:v>
                </c:pt>
                <c:pt idx="750">
                  <c:v>West</c:v>
                </c:pt>
                <c:pt idx="751">
                  <c:v>Central</c:v>
                </c:pt>
                <c:pt idx="752">
                  <c:v>North</c:v>
                </c:pt>
                <c:pt idx="753">
                  <c:v>North</c:v>
                </c:pt>
                <c:pt idx="754">
                  <c:v>North</c:v>
                </c:pt>
                <c:pt idx="755">
                  <c:v>East</c:v>
                </c:pt>
                <c:pt idx="756">
                  <c:v>West</c:v>
                </c:pt>
                <c:pt idx="757">
                  <c:v>East</c:v>
                </c:pt>
                <c:pt idx="758">
                  <c:v>South</c:v>
                </c:pt>
                <c:pt idx="759">
                  <c:v>North</c:v>
                </c:pt>
                <c:pt idx="760">
                  <c:v>West</c:v>
                </c:pt>
                <c:pt idx="761">
                  <c:v>North</c:v>
                </c:pt>
                <c:pt idx="762">
                  <c:v>West</c:v>
                </c:pt>
                <c:pt idx="763">
                  <c:v>North</c:v>
                </c:pt>
                <c:pt idx="764">
                  <c:v>West</c:v>
                </c:pt>
                <c:pt idx="765">
                  <c:v>South</c:v>
                </c:pt>
                <c:pt idx="766">
                  <c:v>South</c:v>
                </c:pt>
                <c:pt idx="767">
                  <c:v>East</c:v>
                </c:pt>
                <c:pt idx="768">
                  <c:v>Central</c:v>
                </c:pt>
                <c:pt idx="769">
                  <c:v>South</c:v>
                </c:pt>
                <c:pt idx="770">
                  <c:v>South</c:v>
                </c:pt>
                <c:pt idx="771">
                  <c:v>North</c:v>
                </c:pt>
                <c:pt idx="772">
                  <c:v>South</c:v>
                </c:pt>
                <c:pt idx="773">
                  <c:v>West</c:v>
                </c:pt>
                <c:pt idx="774">
                  <c:v>South</c:v>
                </c:pt>
                <c:pt idx="775">
                  <c:v>West</c:v>
                </c:pt>
                <c:pt idx="776">
                  <c:v>South</c:v>
                </c:pt>
                <c:pt idx="777">
                  <c:v>West</c:v>
                </c:pt>
                <c:pt idx="778">
                  <c:v>Central</c:v>
                </c:pt>
                <c:pt idx="779">
                  <c:v>Central</c:v>
                </c:pt>
                <c:pt idx="780">
                  <c:v>East</c:v>
                </c:pt>
                <c:pt idx="781">
                  <c:v>Central</c:v>
                </c:pt>
                <c:pt idx="782">
                  <c:v>West</c:v>
                </c:pt>
                <c:pt idx="783">
                  <c:v>East</c:v>
                </c:pt>
                <c:pt idx="784">
                  <c:v>Central</c:v>
                </c:pt>
                <c:pt idx="785">
                  <c:v>South</c:v>
                </c:pt>
                <c:pt idx="786">
                  <c:v>East</c:v>
                </c:pt>
                <c:pt idx="787">
                  <c:v>North</c:v>
                </c:pt>
                <c:pt idx="788">
                  <c:v>West</c:v>
                </c:pt>
                <c:pt idx="789">
                  <c:v>South</c:v>
                </c:pt>
                <c:pt idx="790">
                  <c:v>Central</c:v>
                </c:pt>
                <c:pt idx="791">
                  <c:v>South</c:v>
                </c:pt>
                <c:pt idx="792">
                  <c:v>East</c:v>
                </c:pt>
                <c:pt idx="793">
                  <c:v>North</c:v>
                </c:pt>
                <c:pt idx="794">
                  <c:v>Central</c:v>
                </c:pt>
                <c:pt idx="795">
                  <c:v>North</c:v>
                </c:pt>
                <c:pt idx="796">
                  <c:v>North</c:v>
                </c:pt>
                <c:pt idx="797">
                  <c:v>South</c:v>
                </c:pt>
                <c:pt idx="798">
                  <c:v>North</c:v>
                </c:pt>
                <c:pt idx="799">
                  <c:v>South</c:v>
                </c:pt>
                <c:pt idx="800">
                  <c:v>Central</c:v>
                </c:pt>
                <c:pt idx="801">
                  <c:v>North</c:v>
                </c:pt>
                <c:pt idx="802">
                  <c:v>West</c:v>
                </c:pt>
                <c:pt idx="803">
                  <c:v>North</c:v>
                </c:pt>
                <c:pt idx="804">
                  <c:v>South</c:v>
                </c:pt>
                <c:pt idx="805">
                  <c:v>South</c:v>
                </c:pt>
                <c:pt idx="806">
                  <c:v>North</c:v>
                </c:pt>
                <c:pt idx="807">
                  <c:v>East</c:v>
                </c:pt>
                <c:pt idx="808">
                  <c:v>West</c:v>
                </c:pt>
                <c:pt idx="809">
                  <c:v>Central</c:v>
                </c:pt>
                <c:pt idx="810">
                  <c:v>Central</c:v>
                </c:pt>
                <c:pt idx="811">
                  <c:v>West</c:v>
                </c:pt>
                <c:pt idx="812">
                  <c:v>Central</c:v>
                </c:pt>
                <c:pt idx="813">
                  <c:v>East</c:v>
                </c:pt>
                <c:pt idx="814">
                  <c:v>South</c:v>
                </c:pt>
                <c:pt idx="815">
                  <c:v>North</c:v>
                </c:pt>
                <c:pt idx="816">
                  <c:v>North</c:v>
                </c:pt>
                <c:pt idx="817">
                  <c:v>West</c:v>
                </c:pt>
                <c:pt idx="818">
                  <c:v>North</c:v>
                </c:pt>
                <c:pt idx="819">
                  <c:v>South</c:v>
                </c:pt>
                <c:pt idx="820">
                  <c:v>North</c:v>
                </c:pt>
                <c:pt idx="821">
                  <c:v>West</c:v>
                </c:pt>
                <c:pt idx="822">
                  <c:v>South</c:v>
                </c:pt>
                <c:pt idx="823">
                  <c:v>North</c:v>
                </c:pt>
                <c:pt idx="824">
                  <c:v>East</c:v>
                </c:pt>
                <c:pt idx="825">
                  <c:v>South</c:v>
                </c:pt>
                <c:pt idx="826">
                  <c:v>West</c:v>
                </c:pt>
                <c:pt idx="827">
                  <c:v>Central</c:v>
                </c:pt>
                <c:pt idx="828">
                  <c:v>East</c:v>
                </c:pt>
                <c:pt idx="829">
                  <c:v>East</c:v>
                </c:pt>
                <c:pt idx="830">
                  <c:v>Central</c:v>
                </c:pt>
                <c:pt idx="831">
                  <c:v>North</c:v>
                </c:pt>
                <c:pt idx="832">
                  <c:v>South</c:v>
                </c:pt>
                <c:pt idx="833">
                  <c:v>Central</c:v>
                </c:pt>
                <c:pt idx="834">
                  <c:v>East</c:v>
                </c:pt>
                <c:pt idx="835">
                  <c:v>Central</c:v>
                </c:pt>
                <c:pt idx="836">
                  <c:v>South</c:v>
                </c:pt>
                <c:pt idx="837">
                  <c:v>South</c:v>
                </c:pt>
                <c:pt idx="838">
                  <c:v>Central</c:v>
                </c:pt>
                <c:pt idx="839">
                  <c:v>West</c:v>
                </c:pt>
                <c:pt idx="840">
                  <c:v>South</c:v>
                </c:pt>
                <c:pt idx="841">
                  <c:v>East</c:v>
                </c:pt>
                <c:pt idx="842">
                  <c:v>East</c:v>
                </c:pt>
                <c:pt idx="843">
                  <c:v>South</c:v>
                </c:pt>
                <c:pt idx="844">
                  <c:v>West</c:v>
                </c:pt>
                <c:pt idx="845">
                  <c:v>Central</c:v>
                </c:pt>
                <c:pt idx="846">
                  <c:v>West</c:v>
                </c:pt>
                <c:pt idx="847">
                  <c:v>South</c:v>
                </c:pt>
                <c:pt idx="848">
                  <c:v>East</c:v>
                </c:pt>
                <c:pt idx="849">
                  <c:v>North</c:v>
                </c:pt>
                <c:pt idx="850">
                  <c:v>West</c:v>
                </c:pt>
                <c:pt idx="851">
                  <c:v>South</c:v>
                </c:pt>
                <c:pt idx="852">
                  <c:v>North</c:v>
                </c:pt>
                <c:pt idx="853">
                  <c:v>Central</c:v>
                </c:pt>
                <c:pt idx="854">
                  <c:v>North</c:v>
                </c:pt>
                <c:pt idx="855">
                  <c:v>East</c:v>
                </c:pt>
                <c:pt idx="856">
                  <c:v>Central</c:v>
                </c:pt>
                <c:pt idx="857">
                  <c:v>South</c:v>
                </c:pt>
                <c:pt idx="858">
                  <c:v>East</c:v>
                </c:pt>
                <c:pt idx="859">
                  <c:v>South</c:v>
                </c:pt>
                <c:pt idx="860">
                  <c:v>East</c:v>
                </c:pt>
                <c:pt idx="861">
                  <c:v>Central</c:v>
                </c:pt>
                <c:pt idx="862">
                  <c:v>South</c:v>
                </c:pt>
                <c:pt idx="863">
                  <c:v>West</c:v>
                </c:pt>
                <c:pt idx="864">
                  <c:v>Central</c:v>
                </c:pt>
                <c:pt idx="865">
                  <c:v>East</c:v>
                </c:pt>
                <c:pt idx="866">
                  <c:v>Central</c:v>
                </c:pt>
                <c:pt idx="867">
                  <c:v>West</c:v>
                </c:pt>
                <c:pt idx="868">
                  <c:v>West</c:v>
                </c:pt>
                <c:pt idx="869">
                  <c:v>West</c:v>
                </c:pt>
                <c:pt idx="870">
                  <c:v>Central</c:v>
                </c:pt>
                <c:pt idx="871">
                  <c:v>North</c:v>
                </c:pt>
                <c:pt idx="872">
                  <c:v>North</c:v>
                </c:pt>
                <c:pt idx="873">
                  <c:v>North</c:v>
                </c:pt>
                <c:pt idx="874">
                  <c:v>North</c:v>
                </c:pt>
                <c:pt idx="875">
                  <c:v>Central</c:v>
                </c:pt>
                <c:pt idx="876">
                  <c:v>East</c:v>
                </c:pt>
                <c:pt idx="877">
                  <c:v>Central</c:v>
                </c:pt>
                <c:pt idx="878">
                  <c:v>East</c:v>
                </c:pt>
                <c:pt idx="879">
                  <c:v>North</c:v>
                </c:pt>
                <c:pt idx="880">
                  <c:v>Central</c:v>
                </c:pt>
                <c:pt idx="881">
                  <c:v>East</c:v>
                </c:pt>
                <c:pt idx="882">
                  <c:v>South</c:v>
                </c:pt>
                <c:pt idx="883">
                  <c:v>South</c:v>
                </c:pt>
                <c:pt idx="884">
                  <c:v>East</c:v>
                </c:pt>
                <c:pt idx="885">
                  <c:v>East</c:v>
                </c:pt>
                <c:pt idx="886">
                  <c:v>East</c:v>
                </c:pt>
                <c:pt idx="887">
                  <c:v>Central</c:v>
                </c:pt>
                <c:pt idx="888">
                  <c:v>Central</c:v>
                </c:pt>
                <c:pt idx="889">
                  <c:v>East</c:v>
                </c:pt>
                <c:pt idx="890">
                  <c:v>North</c:v>
                </c:pt>
                <c:pt idx="891">
                  <c:v>West</c:v>
                </c:pt>
                <c:pt idx="892">
                  <c:v>West</c:v>
                </c:pt>
                <c:pt idx="893">
                  <c:v>South</c:v>
                </c:pt>
                <c:pt idx="894">
                  <c:v>Central</c:v>
                </c:pt>
                <c:pt idx="895">
                  <c:v>Central</c:v>
                </c:pt>
                <c:pt idx="896">
                  <c:v>North</c:v>
                </c:pt>
                <c:pt idx="897">
                  <c:v>Central</c:v>
                </c:pt>
                <c:pt idx="898">
                  <c:v>West</c:v>
                </c:pt>
                <c:pt idx="899">
                  <c:v>Central</c:v>
                </c:pt>
                <c:pt idx="900">
                  <c:v>North</c:v>
                </c:pt>
                <c:pt idx="901">
                  <c:v>East</c:v>
                </c:pt>
                <c:pt idx="902">
                  <c:v>West</c:v>
                </c:pt>
                <c:pt idx="903">
                  <c:v>South</c:v>
                </c:pt>
                <c:pt idx="904">
                  <c:v>West</c:v>
                </c:pt>
                <c:pt idx="905">
                  <c:v>Central</c:v>
                </c:pt>
                <c:pt idx="906">
                  <c:v>North</c:v>
                </c:pt>
                <c:pt idx="907">
                  <c:v>East</c:v>
                </c:pt>
                <c:pt idx="908">
                  <c:v>East</c:v>
                </c:pt>
                <c:pt idx="909">
                  <c:v>North</c:v>
                </c:pt>
                <c:pt idx="910">
                  <c:v>Central</c:v>
                </c:pt>
                <c:pt idx="911">
                  <c:v>North</c:v>
                </c:pt>
                <c:pt idx="912">
                  <c:v>West</c:v>
                </c:pt>
                <c:pt idx="913">
                  <c:v>South</c:v>
                </c:pt>
                <c:pt idx="914">
                  <c:v>North</c:v>
                </c:pt>
                <c:pt idx="915">
                  <c:v>North</c:v>
                </c:pt>
                <c:pt idx="916">
                  <c:v>South</c:v>
                </c:pt>
                <c:pt idx="917">
                  <c:v>North</c:v>
                </c:pt>
                <c:pt idx="918">
                  <c:v>North</c:v>
                </c:pt>
                <c:pt idx="919">
                  <c:v>East</c:v>
                </c:pt>
                <c:pt idx="920">
                  <c:v>South</c:v>
                </c:pt>
                <c:pt idx="921">
                  <c:v>South</c:v>
                </c:pt>
                <c:pt idx="922">
                  <c:v>North</c:v>
                </c:pt>
                <c:pt idx="923">
                  <c:v>East</c:v>
                </c:pt>
                <c:pt idx="924">
                  <c:v>Central</c:v>
                </c:pt>
                <c:pt idx="925">
                  <c:v>South</c:v>
                </c:pt>
                <c:pt idx="926">
                  <c:v>Central</c:v>
                </c:pt>
                <c:pt idx="927">
                  <c:v>East</c:v>
                </c:pt>
                <c:pt idx="928">
                  <c:v>East</c:v>
                </c:pt>
                <c:pt idx="929">
                  <c:v>South</c:v>
                </c:pt>
                <c:pt idx="930">
                  <c:v>North</c:v>
                </c:pt>
                <c:pt idx="931">
                  <c:v>West</c:v>
                </c:pt>
                <c:pt idx="932">
                  <c:v>South</c:v>
                </c:pt>
                <c:pt idx="933">
                  <c:v>Central</c:v>
                </c:pt>
                <c:pt idx="934">
                  <c:v>Central</c:v>
                </c:pt>
                <c:pt idx="935">
                  <c:v>West</c:v>
                </c:pt>
                <c:pt idx="936">
                  <c:v>East</c:v>
                </c:pt>
                <c:pt idx="937">
                  <c:v>East</c:v>
                </c:pt>
                <c:pt idx="938">
                  <c:v>North</c:v>
                </c:pt>
                <c:pt idx="939">
                  <c:v>Central</c:v>
                </c:pt>
                <c:pt idx="940">
                  <c:v>South</c:v>
                </c:pt>
                <c:pt idx="941">
                  <c:v>South</c:v>
                </c:pt>
                <c:pt idx="942">
                  <c:v>Central</c:v>
                </c:pt>
                <c:pt idx="943">
                  <c:v>West</c:v>
                </c:pt>
                <c:pt idx="944">
                  <c:v>South</c:v>
                </c:pt>
                <c:pt idx="945">
                  <c:v>West</c:v>
                </c:pt>
                <c:pt idx="946">
                  <c:v>East</c:v>
                </c:pt>
                <c:pt idx="947">
                  <c:v>North</c:v>
                </c:pt>
                <c:pt idx="948">
                  <c:v>South</c:v>
                </c:pt>
                <c:pt idx="949">
                  <c:v>East</c:v>
                </c:pt>
                <c:pt idx="950">
                  <c:v>West</c:v>
                </c:pt>
                <c:pt idx="951">
                  <c:v>West</c:v>
                </c:pt>
                <c:pt idx="952">
                  <c:v>West</c:v>
                </c:pt>
                <c:pt idx="953">
                  <c:v>North</c:v>
                </c:pt>
                <c:pt idx="954">
                  <c:v>East</c:v>
                </c:pt>
                <c:pt idx="955">
                  <c:v>South</c:v>
                </c:pt>
                <c:pt idx="956">
                  <c:v>East</c:v>
                </c:pt>
                <c:pt idx="957">
                  <c:v>North</c:v>
                </c:pt>
                <c:pt idx="958">
                  <c:v>South</c:v>
                </c:pt>
                <c:pt idx="959">
                  <c:v>South</c:v>
                </c:pt>
                <c:pt idx="960">
                  <c:v>East</c:v>
                </c:pt>
                <c:pt idx="961">
                  <c:v>West</c:v>
                </c:pt>
                <c:pt idx="962">
                  <c:v>South</c:v>
                </c:pt>
                <c:pt idx="963">
                  <c:v>West</c:v>
                </c:pt>
                <c:pt idx="964">
                  <c:v>West</c:v>
                </c:pt>
                <c:pt idx="965">
                  <c:v>West</c:v>
                </c:pt>
                <c:pt idx="966">
                  <c:v>Central</c:v>
                </c:pt>
                <c:pt idx="967">
                  <c:v>South</c:v>
                </c:pt>
                <c:pt idx="968">
                  <c:v>Central</c:v>
                </c:pt>
                <c:pt idx="969">
                  <c:v>East</c:v>
                </c:pt>
                <c:pt idx="970">
                  <c:v>East</c:v>
                </c:pt>
                <c:pt idx="971">
                  <c:v>North</c:v>
                </c:pt>
                <c:pt idx="972">
                  <c:v>West</c:v>
                </c:pt>
                <c:pt idx="973">
                  <c:v>West</c:v>
                </c:pt>
                <c:pt idx="974">
                  <c:v>West</c:v>
                </c:pt>
                <c:pt idx="975">
                  <c:v>Central</c:v>
                </c:pt>
                <c:pt idx="976">
                  <c:v>West</c:v>
                </c:pt>
                <c:pt idx="977">
                  <c:v>North</c:v>
                </c:pt>
                <c:pt idx="978">
                  <c:v>North</c:v>
                </c:pt>
                <c:pt idx="979">
                  <c:v>North</c:v>
                </c:pt>
                <c:pt idx="980">
                  <c:v>West</c:v>
                </c:pt>
                <c:pt idx="981">
                  <c:v>South</c:v>
                </c:pt>
                <c:pt idx="982">
                  <c:v>West</c:v>
                </c:pt>
                <c:pt idx="983">
                  <c:v>East</c:v>
                </c:pt>
                <c:pt idx="984">
                  <c:v>Central</c:v>
                </c:pt>
                <c:pt idx="985">
                  <c:v>West</c:v>
                </c:pt>
                <c:pt idx="986">
                  <c:v>Central</c:v>
                </c:pt>
                <c:pt idx="987">
                  <c:v>West</c:v>
                </c:pt>
                <c:pt idx="988">
                  <c:v>East</c:v>
                </c:pt>
                <c:pt idx="989">
                  <c:v>East</c:v>
                </c:pt>
                <c:pt idx="990">
                  <c:v>West</c:v>
                </c:pt>
                <c:pt idx="991">
                  <c:v>North</c:v>
                </c:pt>
                <c:pt idx="992">
                  <c:v>West</c:v>
                </c:pt>
                <c:pt idx="993">
                  <c:v>West</c:v>
                </c:pt>
                <c:pt idx="994">
                  <c:v>West</c:v>
                </c:pt>
                <c:pt idx="995">
                  <c:v>South</c:v>
                </c:pt>
                <c:pt idx="996">
                  <c:v>South</c:v>
                </c:pt>
                <c:pt idx="997">
                  <c:v>South</c:v>
                </c:pt>
                <c:pt idx="998">
                  <c:v>Central</c:v>
                </c:pt>
                <c:pt idx="999">
                  <c:v>East</c:v>
                </c:pt>
                <c:pt idx="1000">
                  <c:v>East</c:v>
                </c:pt>
                <c:pt idx="1001">
                  <c:v>Central</c:v>
                </c:pt>
                <c:pt idx="1002">
                  <c:v>South</c:v>
                </c:pt>
                <c:pt idx="1003">
                  <c:v>East</c:v>
                </c:pt>
                <c:pt idx="1004">
                  <c:v>East</c:v>
                </c:pt>
                <c:pt idx="1005">
                  <c:v>Central</c:v>
                </c:pt>
                <c:pt idx="1006">
                  <c:v>East</c:v>
                </c:pt>
                <c:pt idx="1007">
                  <c:v>East</c:v>
                </c:pt>
                <c:pt idx="1008">
                  <c:v>West</c:v>
                </c:pt>
                <c:pt idx="1009">
                  <c:v>South</c:v>
                </c:pt>
                <c:pt idx="1010">
                  <c:v>South</c:v>
                </c:pt>
                <c:pt idx="1011">
                  <c:v>Central</c:v>
                </c:pt>
                <c:pt idx="1012">
                  <c:v>South</c:v>
                </c:pt>
                <c:pt idx="1013">
                  <c:v>West</c:v>
                </c:pt>
                <c:pt idx="1014">
                  <c:v>South</c:v>
                </c:pt>
                <c:pt idx="1015">
                  <c:v>North</c:v>
                </c:pt>
                <c:pt idx="1016">
                  <c:v>West</c:v>
                </c:pt>
                <c:pt idx="1017">
                  <c:v>South</c:v>
                </c:pt>
                <c:pt idx="1018">
                  <c:v>North</c:v>
                </c:pt>
                <c:pt idx="1019">
                  <c:v>Central</c:v>
                </c:pt>
                <c:pt idx="1020">
                  <c:v>North</c:v>
                </c:pt>
                <c:pt idx="1021">
                  <c:v>North</c:v>
                </c:pt>
                <c:pt idx="1022">
                  <c:v>Central</c:v>
                </c:pt>
                <c:pt idx="1023">
                  <c:v>West</c:v>
                </c:pt>
                <c:pt idx="1024">
                  <c:v>East</c:v>
                </c:pt>
                <c:pt idx="1025">
                  <c:v>South</c:v>
                </c:pt>
                <c:pt idx="1026">
                  <c:v>Central</c:v>
                </c:pt>
                <c:pt idx="1027">
                  <c:v>North</c:v>
                </c:pt>
                <c:pt idx="1028">
                  <c:v>Central</c:v>
                </c:pt>
                <c:pt idx="1029">
                  <c:v>Central</c:v>
                </c:pt>
                <c:pt idx="1030">
                  <c:v>North</c:v>
                </c:pt>
                <c:pt idx="1031">
                  <c:v>North</c:v>
                </c:pt>
                <c:pt idx="1032">
                  <c:v>Central</c:v>
                </c:pt>
                <c:pt idx="1033">
                  <c:v>East</c:v>
                </c:pt>
                <c:pt idx="1034">
                  <c:v>West</c:v>
                </c:pt>
                <c:pt idx="1035">
                  <c:v>West</c:v>
                </c:pt>
                <c:pt idx="1036">
                  <c:v>North</c:v>
                </c:pt>
                <c:pt idx="1037">
                  <c:v>Central</c:v>
                </c:pt>
                <c:pt idx="1038">
                  <c:v>Central</c:v>
                </c:pt>
                <c:pt idx="1039">
                  <c:v>North</c:v>
                </c:pt>
                <c:pt idx="1040">
                  <c:v>South</c:v>
                </c:pt>
                <c:pt idx="1041">
                  <c:v>East</c:v>
                </c:pt>
                <c:pt idx="1042">
                  <c:v>Central</c:v>
                </c:pt>
                <c:pt idx="1043">
                  <c:v>North</c:v>
                </c:pt>
                <c:pt idx="1044">
                  <c:v>Central</c:v>
                </c:pt>
                <c:pt idx="1045">
                  <c:v>West</c:v>
                </c:pt>
                <c:pt idx="1046">
                  <c:v>Central</c:v>
                </c:pt>
                <c:pt idx="1047">
                  <c:v>South</c:v>
                </c:pt>
                <c:pt idx="1048">
                  <c:v>East</c:v>
                </c:pt>
                <c:pt idx="1049">
                  <c:v>South</c:v>
                </c:pt>
              </c:strCache>
            </c:strRef>
          </c:cat>
          <c:val>
            <c:numRef>
              <c:f>'Sales_Data_Analysis '!$F$2:$F$1051</c:f>
              <c:numCache>
                <c:formatCode>General</c:formatCode>
                <c:ptCount val="1050"/>
                <c:pt idx="0">
                  <c:v>303.77</c:v>
                </c:pt>
                <c:pt idx="1">
                  <c:v>6013.09</c:v>
                </c:pt>
                <c:pt idx="2">
                  <c:v>6624.07</c:v>
                </c:pt>
                <c:pt idx="3">
                  <c:v>5070.9399999999996</c:v>
                </c:pt>
                <c:pt idx="4">
                  <c:v>636.66</c:v>
                </c:pt>
                <c:pt idx="5">
                  <c:v>1580.15</c:v>
                </c:pt>
                <c:pt idx="6">
                  <c:v>15209.62</c:v>
                </c:pt>
                <c:pt idx="7">
                  <c:v>13193.63</c:v>
                </c:pt>
                <c:pt idx="8">
                  <c:v>110.13</c:v>
                </c:pt>
                <c:pt idx="9">
                  <c:v>6864.39</c:v>
                </c:pt>
                <c:pt idx="10">
                  <c:v>1569.33</c:v>
                </c:pt>
                <c:pt idx="11">
                  <c:v>8359.64</c:v>
                </c:pt>
                <c:pt idx="12">
                  <c:v>14714.79</c:v>
                </c:pt>
                <c:pt idx="13">
                  <c:v>1461.73</c:v>
                </c:pt>
                <c:pt idx="14">
                  <c:v>1329.49</c:v>
                </c:pt>
                <c:pt idx="15">
                  <c:v>21247.65</c:v>
                </c:pt>
                <c:pt idx="16">
                  <c:v>4456.75</c:v>
                </c:pt>
                <c:pt idx="17">
                  <c:v>16676.78</c:v>
                </c:pt>
                <c:pt idx="18">
                  <c:v>402.01</c:v>
                </c:pt>
                <c:pt idx="19">
                  <c:v>13263.6</c:v>
                </c:pt>
                <c:pt idx="20">
                  <c:v>17553.77</c:v>
                </c:pt>
                <c:pt idx="21">
                  <c:v>4062.79</c:v>
                </c:pt>
                <c:pt idx="22">
                  <c:v>6341.06</c:v>
                </c:pt>
                <c:pt idx="23">
                  <c:v>4856.2700000000004</c:v>
                </c:pt>
                <c:pt idx="24">
                  <c:v>1105.44</c:v>
                </c:pt>
                <c:pt idx="25">
                  <c:v>16956.189999999999</c:v>
                </c:pt>
                <c:pt idx="26">
                  <c:v>2172.36</c:v>
                </c:pt>
                <c:pt idx="27">
                  <c:v>2151.14</c:v>
                </c:pt>
                <c:pt idx="28">
                  <c:v>13374.57</c:v>
                </c:pt>
                <c:pt idx="29">
                  <c:v>3195.52</c:v>
                </c:pt>
                <c:pt idx="30">
                  <c:v>4798.42</c:v>
                </c:pt>
                <c:pt idx="31">
                  <c:v>7018.52</c:v>
                </c:pt>
                <c:pt idx="32">
                  <c:v>2960.56</c:v>
                </c:pt>
                <c:pt idx="33">
                  <c:v>2678.87</c:v>
                </c:pt>
                <c:pt idx="34">
                  <c:v>5467.02</c:v>
                </c:pt>
                <c:pt idx="35">
                  <c:v>1473.79</c:v>
                </c:pt>
                <c:pt idx="36">
                  <c:v>5963.14</c:v>
                </c:pt>
                <c:pt idx="37">
                  <c:v>16212.42</c:v>
                </c:pt>
                <c:pt idx="38">
                  <c:v>3452.74</c:v>
                </c:pt>
                <c:pt idx="39">
                  <c:v>9765.86</c:v>
                </c:pt>
                <c:pt idx="40">
                  <c:v>254.37</c:v>
                </c:pt>
                <c:pt idx="41">
                  <c:v>823.88</c:v>
                </c:pt>
                <c:pt idx="42">
                  <c:v>8375.6</c:v>
                </c:pt>
                <c:pt idx="43">
                  <c:v>6601.03</c:v>
                </c:pt>
                <c:pt idx="44">
                  <c:v>2383.04</c:v>
                </c:pt>
                <c:pt idx="45">
                  <c:v>4321.34</c:v>
                </c:pt>
                <c:pt idx="46">
                  <c:v>2877.76</c:v>
                </c:pt>
                <c:pt idx="47">
                  <c:v>4279.21</c:v>
                </c:pt>
                <c:pt idx="48">
                  <c:v>2685.04</c:v>
                </c:pt>
                <c:pt idx="49">
                  <c:v>3552.51</c:v>
                </c:pt>
                <c:pt idx="50">
                  <c:v>17358.37</c:v>
                </c:pt>
                <c:pt idx="51">
                  <c:v>882.83</c:v>
                </c:pt>
                <c:pt idx="52">
                  <c:v>18468.5</c:v>
                </c:pt>
                <c:pt idx="53">
                  <c:v>13953.83</c:v>
                </c:pt>
                <c:pt idx="54">
                  <c:v>2541.92</c:v>
                </c:pt>
                <c:pt idx="55">
                  <c:v>372.52</c:v>
                </c:pt>
                <c:pt idx="56">
                  <c:v>9687.4</c:v>
                </c:pt>
                <c:pt idx="57">
                  <c:v>4457.95</c:v>
                </c:pt>
                <c:pt idx="58">
                  <c:v>1296.2</c:v>
                </c:pt>
                <c:pt idx="59">
                  <c:v>21116.34</c:v>
                </c:pt>
                <c:pt idx="60">
                  <c:v>5236.74</c:v>
                </c:pt>
                <c:pt idx="61">
                  <c:v>4295.16</c:v>
                </c:pt>
                <c:pt idx="62">
                  <c:v>2603.2399999999998</c:v>
                </c:pt>
                <c:pt idx="63">
                  <c:v>11852.59</c:v>
                </c:pt>
                <c:pt idx="64">
                  <c:v>8416.1</c:v>
                </c:pt>
                <c:pt idx="65">
                  <c:v>3154</c:v>
                </c:pt>
                <c:pt idx="66">
                  <c:v>5683.65</c:v>
                </c:pt>
                <c:pt idx="67">
                  <c:v>1629.56</c:v>
                </c:pt>
                <c:pt idx="68">
                  <c:v>3616.95</c:v>
                </c:pt>
                <c:pt idx="69">
                  <c:v>5038.96</c:v>
                </c:pt>
                <c:pt idx="70">
                  <c:v>1820.46</c:v>
                </c:pt>
                <c:pt idx="71">
                  <c:v>302.02</c:v>
                </c:pt>
                <c:pt idx="72">
                  <c:v>4863.6400000000003</c:v>
                </c:pt>
                <c:pt idx="73">
                  <c:v>3297.56</c:v>
                </c:pt>
                <c:pt idx="74">
                  <c:v>1947</c:v>
                </c:pt>
                <c:pt idx="75">
                  <c:v>14895.16</c:v>
                </c:pt>
                <c:pt idx="76">
                  <c:v>3347.8</c:v>
                </c:pt>
                <c:pt idx="77">
                  <c:v>12722.38</c:v>
                </c:pt>
                <c:pt idx="78">
                  <c:v>1700.5</c:v>
                </c:pt>
                <c:pt idx="79">
                  <c:v>2852.92</c:v>
                </c:pt>
                <c:pt idx="80">
                  <c:v>5228.1899999999996</c:v>
                </c:pt>
                <c:pt idx="81">
                  <c:v>4499.3</c:v>
                </c:pt>
                <c:pt idx="82">
                  <c:v>4340.41</c:v>
                </c:pt>
                <c:pt idx="83">
                  <c:v>2776.21</c:v>
                </c:pt>
                <c:pt idx="84">
                  <c:v>4676.42</c:v>
                </c:pt>
                <c:pt idx="85">
                  <c:v>6035.57</c:v>
                </c:pt>
                <c:pt idx="86">
                  <c:v>4967.71</c:v>
                </c:pt>
                <c:pt idx="87">
                  <c:v>664.14</c:v>
                </c:pt>
                <c:pt idx="88">
                  <c:v>2078.04</c:v>
                </c:pt>
                <c:pt idx="89">
                  <c:v>13017.37</c:v>
                </c:pt>
                <c:pt idx="90">
                  <c:v>11185.72</c:v>
                </c:pt>
                <c:pt idx="91">
                  <c:v>12086.68</c:v>
                </c:pt>
                <c:pt idx="92">
                  <c:v>4546.1499999999996</c:v>
                </c:pt>
                <c:pt idx="93">
                  <c:v>2193.4299999999998</c:v>
                </c:pt>
                <c:pt idx="94">
                  <c:v>7218.59</c:v>
                </c:pt>
                <c:pt idx="95">
                  <c:v>14038.37</c:v>
                </c:pt>
                <c:pt idx="96">
                  <c:v>492.57</c:v>
                </c:pt>
                <c:pt idx="97">
                  <c:v>2571.37</c:v>
                </c:pt>
                <c:pt idx="98">
                  <c:v>14916.13</c:v>
                </c:pt>
                <c:pt idx="99">
                  <c:v>1266.51</c:v>
                </c:pt>
                <c:pt idx="100">
                  <c:v>5602.64</c:v>
                </c:pt>
                <c:pt idx="101">
                  <c:v>2818.14</c:v>
                </c:pt>
                <c:pt idx="102">
                  <c:v>1668.03</c:v>
                </c:pt>
                <c:pt idx="103">
                  <c:v>1205.75</c:v>
                </c:pt>
                <c:pt idx="104">
                  <c:v>90.8</c:v>
                </c:pt>
                <c:pt idx="105">
                  <c:v>14151.28</c:v>
                </c:pt>
                <c:pt idx="106">
                  <c:v>2921.32</c:v>
                </c:pt>
                <c:pt idx="107">
                  <c:v>7240.05</c:v>
                </c:pt>
                <c:pt idx="108">
                  <c:v>8301.52</c:v>
                </c:pt>
                <c:pt idx="109">
                  <c:v>7159.67</c:v>
                </c:pt>
                <c:pt idx="110">
                  <c:v>1174.32</c:v>
                </c:pt>
                <c:pt idx="111">
                  <c:v>1759.75</c:v>
                </c:pt>
                <c:pt idx="112">
                  <c:v>11188.18</c:v>
                </c:pt>
                <c:pt idx="113">
                  <c:v>5118.13</c:v>
                </c:pt>
                <c:pt idx="114">
                  <c:v>222.51</c:v>
                </c:pt>
                <c:pt idx="115">
                  <c:v>5395.07</c:v>
                </c:pt>
                <c:pt idx="116">
                  <c:v>630.92999999999995</c:v>
                </c:pt>
                <c:pt idx="117">
                  <c:v>3457.27</c:v>
                </c:pt>
                <c:pt idx="118">
                  <c:v>2376.31</c:v>
                </c:pt>
                <c:pt idx="119">
                  <c:v>5383.81</c:v>
                </c:pt>
                <c:pt idx="120">
                  <c:v>4893.25</c:v>
                </c:pt>
                <c:pt idx="121">
                  <c:v>128.44</c:v>
                </c:pt>
                <c:pt idx="122">
                  <c:v>4564.18</c:v>
                </c:pt>
                <c:pt idx="123">
                  <c:v>13086.66</c:v>
                </c:pt>
                <c:pt idx="124">
                  <c:v>12014.19</c:v>
                </c:pt>
                <c:pt idx="125">
                  <c:v>22622.79</c:v>
                </c:pt>
                <c:pt idx="126">
                  <c:v>103.48</c:v>
                </c:pt>
                <c:pt idx="127">
                  <c:v>4950.1899999999996</c:v>
                </c:pt>
                <c:pt idx="128">
                  <c:v>4975.3100000000004</c:v>
                </c:pt>
                <c:pt idx="129">
                  <c:v>3442.4</c:v>
                </c:pt>
                <c:pt idx="130">
                  <c:v>7290.26</c:v>
                </c:pt>
                <c:pt idx="131">
                  <c:v>3906.7</c:v>
                </c:pt>
                <c:pt idx="132">
                  <c:v>12938.7</c:v>
                </c:pt>
                <c:pt idx="133">
                  <c:v>2644.13</c:v>
                </c:pt>
                <c:pt idx="134">
                  <c:v>1947.37</c:v>
                </c:pt>
                <c:pt idx="135">
                  <c:v>3153.33</c:v>
                </c:pt>
                <c:pt idx="136">
                  <c:v>5539.81</c:v>
                </c:pt>
                <c:pt idx="137">
                  <c:v>834.5</c:v>
                </c:pt>
                <c:pt idx="138">
                  <c:v>986.36</c:v>
                </c:pt>
                <c:pt idx="139">
                  <c:v>390.21</c:v>
                </c:pt>
                <c:pt idx="140">
                  <c:v>20220.849999999999</c:v>
                </c:pt>
                <c:pt idx="141">
                  <c:v>1592.7</c:v>
                </c:pt>
                <c:pt idx="142">
                  <c:v>1414.97</c:v>
                </c:pt>
                <c:pt idx="143">
                  <c:v>1348.9</c:v>
                </c:pt>
                <c:pt idx="144">
                  <c:v>5094.12</c:v>
                </c:pt>
                <c:pt idx="145">
                  <c:v>8712.65</c:v>
                </c:pt>
                <c:pt idx="146">
                  <c:v>2378.25</c:v>
                </c:pt>
                <c:pt idx="147">
                  <c:v>14703.62</c:v>
                </c:pt>
                <c:pt idx="148">
                  <c:v>5125.6400000000003</c:v>
                </c:pt>
                <c:pt idx="149">
                  <c:v>7729.4</c:v>
                </c:pt>
                <c:pt idx="150">
                  <c:v>1706.27</c:v>
                </c:pt>
                <c:pt idx="151">
                  <c:v>12100.39</c:v>
                </c:pt>
                <c:pt idx="152">
                  <c:v>20444.23</c:v>
                </c:pt>
                <c:pt idx="153">
                  <c:v>6936.27</c:v>
                </c:pt>
                <c:pt idx="154">
                  <c:v>7163.09</c:v>
                </c:pt>
                <c:pt idx="155">
                  <c:v>12517.51</c:v>
                </c:pt>
                <c:pt idx="156">
                  <c:v>210.4</c:v>
                </c:pt>
                <c:pt idx="157">
                  <c:v>8827.44</c:v>
                </c:pt>
                <c:pt idx="158">
                  <c:v>1034.9000000000001</c:v>
                </c:pt>
                <c:pt idx="159">
                  <c:v>1750.19</c:v>
                </c:pt>
                <c:pt idx="160">
                  <c:v>628.30999999999995</c:v>
                </c:pt>
                <c:pt idx="161">
                  <c:v>2528.84</c:v>
                </c:pt>
                <c:pt idx="162">
                  <c:v>11992.06</c:v>
                </c:pt>
                <c:pt idx="163">
                  <c:v>1388.57</c:v>
                </c:pt>
                <c:pt idx="164">
                  <c:v>11682.36</c:v>
                </c:pt>
                <c:pt idx="165">
                  <c:v>1599.61</c:v>
                </c:pt>
                <c:pt idx="166">
                  <c:v>21137.9</c:v>
                </c:pt>
                <c:pt idx="167">
                  <c:v>5716.47</c:v>
                </c:pt>
                <c:pt idx="168">
                  <c:v>15766.06</c:v>
                </c:pt>
                <c:pt idx="169">
                  <c:v>6922.87</c:v>
                </c:pt>
                <c:pt idx="170">
                  <c:v>9381.77</c:v>
                </c:pt>
                <c:pt idx="171">
                  <c:v>14630.71</c:v>
                </c:pt>
                <c:pt idx="172">
                  <c:v>7663.47</c:v>
                </c:pt>
                <c:pt idx="173">
                  <c:v>4295.24</c:v>
                </c:pt>
                <c:pt idx="174">
                  <c:v>601.9</c:v>
                </c:pt>
                <c:pt idx="175">
                  <c:v>10018.43</c:v>
                </c:pt>
                <c:pt idx="176">
                  <c:v>10685.43</c:v>
                </c:pt>
                <c:pt idx="177">
                  <c:v>5724.09</c:v>
                </c:pt>
                <c:pt idx="178">
                  <c:v>979.36</c:v>
                </c:pt>
                <c:pt idx="179">
                  <c:v>656.47</c:v>
                </c:pt>
                <c:pt idx="180">
                  <c:v>743.49</c:v>
                </c:pt>
                <c:pt idx="181">
                  <c:v>1019.29</c:v>
                </c:pt>
                <c:pt idx="182">
                  <c:v>7097.62</c:v>
                </c:pt>
                <c:pt idx="183">
                  <c:v>1861.94</c:v>
                </c:pt>
                <c:pt idx="184">
                  <c:v>1722.51</c:v>
                </c:pt>
                <c:pt idx="185">
                  <c:v>16648.830000000002</c:v>
                </c:pt>
                <c:pt idx="186">
                  <c:v>22291.82</c:v>
                </c:pt>
                <c:pt idx="187">
                  <c:v>8629.34</c:v>
                </c:pt>
                <c:pt idx="188">
                  <c:v>2191.92</c:v>
                </c:pt>
                <c:pt idx="189">
                  <c:v>20885.71</c:v>
                </c:pt>
                <c:pt idx="190">
                  <c:v>809.16</c:v>
                </c:pt>
                <c:pt idx="191">
                  <c:v>4988.41</c:v>
                </c:pt>
                <c:pt idx="192">
                  <c:v>3048.02</c:v>
                </c:pt>
                <c:pt idx="193">
                  <c:v>10878.06</c:v>
                </c:pt>
                <c:pt idx="194">
                  <c:v>1785.75</c:v>
                </c:pt>
                <c:pt idx="195">
                  <c:v>1811.92</c:v>
                </c:pt>
                <c:pt idx="196">
                  <c:v>894.18</c:v>
                </c:pt>
                <c:pt idx="197">
                  <c:v>13375.67</c:v>
                </c:pt>
                <c:pt idx="198">
                  <c:v>10746.96</c:v>
                </c:pt>
                <c:pt idx="199">
                  <c:v>6784.15</c:v>
                </c:pt>
                <c:pt idx="200">
                  <c:v>594.35</c:v>
                </c:pt>
                <c:pt idx="201">
                  <c:v>641.79999999999995</c:v>
                </c:pt>
                <c:pt idx="202">
                  <c:v>4781.95</c:v>
                </c:pt>
                <c:pt idx="203">
                  <c:v>125</c:v>
                </c:pt>
                <c:pt idx="204">
                  <c:v>5309.43</c:v>
                </c:pt>
                <c:pt idx="205">
                  <c:v>1107.29</c:v>
                </c:pt>
                <c:pt idx="206">
                  <c:v>17757.37</c:v>
                </c:pt>
                <c:pt idx="207">
                  <c:v>11259.88</c:v>
                </c:pt>
                <c:pt idx="208">
                  <c:v>1672.36</c:v>
                </c:pt>
                <c:pt idx="209">
                  <c:v>1232.2</c:v>
                </c:pt>
                <c:pt idx="210">
                  <c:v>2774.43</c:v>
                </c:pt>
                <c:pt idx="211">
                  <c:v>2318.21</c:v>
                </c:pt>
                <c:pt idx="212">
                  <c:v>10981.95</c:v>
                </c:pt>
                <c:pt idx="213">
                  <c:v>470.39</c:v>
                </c:pt>
                <c:pt idx="214">
                  <c:v>3144.65</c:v>
                </c:pt>
                <c:pt idx="215">
                  <c:v>5458.09</c:v>
                </c:pt>
                <c:pt idx="216">
                  <c:v>2163.61</c:v>
                </c:pt>
                <c:pt idx="217">
                  <c:v>4503.17</c:v>
                </c:pt>
                <c:pt idx="218">
                  <c:v>445.83</c:v>
                </c:pt>
                <c:pt idx="219">
                  <c:v>419.81</c:v>
                </c:pt>
                <c:pt idx="220">
                  <c:v>13219.18</c:v>
                </c:pt>
                <c:pt idx="221">
                  <c:v>1525.73</c:v>
                </c:pt>
                <c:pt idx="222">
                  <c:v>1197.0899999999999</c:v>
                </c:pt>
                <c:pt idx="223">
                  <c:v>4874.17</c:v>
                </c:pt>
                <c:pt idx="224">
                  <c:v>19120.07</c:v>
                </c:pt>
                <c:pt idx="225">
                  <c:v>2124.25</c:v>
                </c:pt>
                <c:pt idx="226">
                  <c:v>15245.3</c:v>
                </c:pt>
                <c:pt idx="227">
                  <c:v>8468.09</c:v>
                </c:pt>
                <c:pt idx="228">
                  <c:v>3278.07</c:v>
                </c:pt>
                <c:pt idx="229">
                  <c:v>13936.06</c:v>
                </c:pt>
                <c:pt idx="230">
                  <c:v>7548.04</c:v>
                </c:pt>
                <c:pt idx="231">
                  <c:v>5052.33</c:v>
                </c:pt>
                <c:pt idx="232">
                  <c:v>2911.7</c:v>
                </c:pt>
                <c:pt idx="233">
                  <c:v>15766.43</c:v>
                </c:pt>
                <c:pt idx="234">
                  <c:v>13641.95</c:v>
                </c:pt>
                <c:pt idx="235">
                  <c:v>5674.09</c:v>
                </c:pt>
                <c:pt idx="236">
                  <c:v>13046.77</c:v>
                </c:pt>
                <c:pt idx="237">
                  <c:v>8756.34</c:v>
                </c:pt>
                <c:pt idx="238">
                  <c:v>647.48</c:v>
                </c:pt>
                <c:pt idx="239">
                  <c:v>346.9</c:v>
                </c:pt>
                <c:pt idx="240">
                  <c:v>8491.59</c:v>
                </c:pt>
                <c:pt idx="241">
                  <c:v>747.33</c:v>
                </c:pt>
                <c:pt idx="242">
                  <c:v>8862.4599999999991</c:v>
                </c:pt>
                <c:pt idx="243">
                  <c:v>4314.74</c:v>
                </c:pt>
                <c:pt idx="244">
                  <c:v>13083.23</c:v>
                </c:pt>
                <c:pt idx="245">
                  <c:v>2267.37</c:v>
                </c:pt>
                <c:pt idx="246">
                  <c:v>10853.44</c:v>
                </c:pt>
                <c:pt idx="247">
                  <c:v>8416.02</c:v>
                </c:pt>
                <c:pt idx="248">
                  <c:v>2899.92</c:v>
                </c:pt>
                <c:pt idx="249">
                  <c:v>1229.82</c:v>
                </c:pt>
                <c:pt idx="250">
                  <c:v>2939.89</c:v>
                </c:pt>
                <c:pt idx="251">
                  <c:v>2569.27</c:v>
                </c:pt>
                <c:pt idx="252">
                  <c:v>17878.88</c:v>
                </c:pt>
                <c:pt idx="253">
                  <c:v>303.24</c:v>
                </c:pt>
                <c:pt idx="254">
                  <c:v>14894.34</c:v>
                </c:pt>
                <c:pt idx="255">
                  <c:v>1043.08</c:v>
                </c:pt>
                <c:pt idx="256">
                  <c:v>850.26</c:v>
                </c:pt>
                <c:pt idx="257">
                  <c:v>15779.46</c:v>
                </c:pt>
                <c:pt idx="258">
                  <c:v>1460.26</c:v>
                </c:pt>
                <c:pt idx="259">
                  <c:v>3927.93</c:v>
                </c:pt>
                <c:pt idx="260">
                  <c:v>4671.83</c:v>
                </c:pt>
                <c:pt idx="261">
                  <c:v>3329.25</c:v>
                </c:pt>
                <c:pt idx="262">
                  <c:v>554.71</c:v>
                </c:pt>
                <c:pt idx="263">
                  <c:v>2086.4</c:v>
                </c:pt>
                <c:pt idx="264">
                  <c:v>1878.05</c:v>
                </c:pt>
                <c:pt idx="265">
                  <c:v>6674.26</c:v>
                </c:pt>
                <c:pt idx="266">
                  <c:v>21935.279999999999</c:v>
                </c:pt>
                <c:pt idx="267">
                  <c:v>2357.9899999999998</c:v>
                </c:pt>
                <c:pt idx="268">
                  <c:v>13226</c:v>
                </c:pt>
                <c:pt idx="269">
                  <c:v>3645.81</c:v>
                </c:pt>
                <c:pt idx="270">
                  <c:v>5334.75</c:v>
                </c:pt>
                <c:pt idx="271">
                  <c:v>11811.55</c:v>
                </c:pt>
                <c:pt idx="272">
                  <c:v>8585.89</c:v>
                </c:pt>
                <c:pt idx="273">
                  <c:v>8023.19</c:v>
                </c:pt>
                <c:pt idx="274">
                  <c:v>7222.84</c:v>
                </c:pt>
                <c:pt idx="275">
                  <c:v>1904.43</c:v>
                </c:pt>
                <c:pt idx="276">
                  <c:v>19216</c:v>
                </c:pt>
                <c:pt idx="277">
                  <c:v>19053.34</c:v>
                </c:pt>
                <c:pt idx="278">
                  <c:v>418.45</c:v>
                </c:pt>
                <c:pt idx="279">
                  <c:v>7786.8</c:v>
                </c:pt>
                <c:pt idx="280">
                  <c:v>4068.24</c:v>
                </c:pt>
                <c:pt idx="281">
                  <c:v>2730.93</c:v>
                </c:pt>
                <c:pt idx="282">
                  <c:v>9168.01</c:v>
                </c:pt>
                <c:pt idx="283">
                  <c:v>3155.34</c:v>
                </c:pt>
                <c:pt idx="284">
                  <c:v>4481.79</c:v>
                </c:pt>
                <c:pt idx="285">
                  <c:v>1516.23</c:v>
                </c:pt>
                <c:pt idx="286">
                  <c:v>1031.49</c:v>
                </c:pt>
                <c:pt idx="287">
                  <c:v>9836.4699999999993</c:v>
                </c:pt>
                <c:pt idx="288">
                  <c:v>5020.7299999999996</c:v>
                </c:pt>
                <c:pt idx="289">
                  <c:v>197.11</c:v>
                </c:pt>
                <c:pt idx="290">
                  <c:v>13850</c:v>
                </c:pt>
                <c:pt idx="291">
                  <c:v>2702.1</c:v>
                </c:pt>
                <c:pt idx="292">
                  <c:v>9598.61</c:v>
                </c:pt>
                <c:pt idx="293">
                  <c:v>12688.15</c:v>
                </c:pt>
                <c:pt idx="294">
                  <c:v>9189.91</c:v>
                </c:pt>
                <c:pt idx="295">
                  <c:v>2720.03</c:v>
                </c:pt>
                <c:pt idx="296">
                  <c:v>8568.5</c:v>
                </c:pt>
                <c:pt idx="297">
                  <c:v>523.55999999999995</c:v>
                </c:pt>
                <c:pt idx="298">
                  <c:v>1170.3</c:v>
                </c:pt>
                <c:pt idx="299">
                  <c:v>1497.51</c:v>
                </c:pt>
                <c:pt idx="300">
                  <c:v>8247.2999999999993</c:v>
                </c:pt>
                <c:pt idx="301">
                  <c:v>95.71</c:v>
                </c:pt>
                <c:pt idx="302">
                  <c:v>15585.86</c:v>
                </c:pt>
                <c:pt idx="303">
                  <c:v>8007.5</c:v>
                </c:pt>
                <c:pt idx="304">
                  <c:v>11394.72</c:v>
                </c:pt>
                <c:pt idx="305">
                  <c:v>21074.83</c:v>
                </c:pt>
                <c:pt idx="306">
                  <c:v>1964.61</c:v>
                </c:pt>
                <c:pt idx="307">
                  <c:v>15158.99</c:v>
                </c:pt>
                <c:pt idx="308">
                  <c:v>5605.58</c:v>
                </c:pt>
                <c:pt idx="309">
                  <c:v>2392.39</c:v>
                </c:pt>
                <c:pt idx="310">
                  <c:v>8234.39</c:v>
                </c:pt>
                <c:pt idx="311">
                  <c:v>2810.17</c:v>
                </c:pt>
                <c:pt idx="312">
                  <c:v>786.95</c:v>
                </c:pt>
                <c:pt idx="313">
                  <c:v>18261.68</c:v>
                </c:pt>
                <c:pt idx="314">
                  <c:v>331.27</c:v>
                </c:pt>
                <c:pt idx="315">
                  <c:v>920.67</c:v>
                </c:pt>
                <c:pt idx="316">
                  <c:v>9307.27</c:v>
                </c:pt>
                <c:pt idx="317">
                  <c:v>18697.21</c:v>
                </c:pt>
                <c:pt idx="318">
                  <c:v>10409.33</c:v>
                </c:pt>
                <c:pt idx="319">
                  <c:v>4999.5600000000004</c:v>
                </c:pt>
                <c:pt idx="320">
                  <c:v>7772.9</c:v>
                </c:pt>
                <c:pt idx="321">
                  <c:v>14841.19</c:v>
                </c:pt>
                <c:pt idx="322">
                  <c:v>18310.849999999999</c:v>
                </c:pt>
                <c:pt idx="323">
                  <c:v>6611.75</c:v>
                </c:pt>
                <c:pt idx="324">
                  <c:v>16896.38</c:v>
                </c:pt>
                <c:pt idx="325">
                  <c:v>5838.88</c:v>
                </c:pt>
                <c:pt idx="326">
                  <c:v>1939.17</c:v>
                </c:pt>
                <c:pt idx="327">
                  <c:v>6154.39</c:v>
                </c:pt>
                <c:pt idx="328">
                  <c:v>8346.75</c:v>
                </c:pt>
                <c:pt idx="329">
                  <c:v>810.1</c:v>
                </c:pt>
                <c:pt idx="330">
                  <c:v>9457.94</c:v>
                </c:pt>
                <c:pt idx="331">
                  <c:v>12805.76</c:v>
                </c:pt>
                <c:pt idx="332">
                  <c:v>62.4</c:v>
                </c:pt>
                <c:pt idx="333">
                  <c:v>6083.9</c:v>
                </c:pt>
                <c:pt idx="334">
                  <c:v>2228.06</c:v>
                </c:pt>
                <c:pt idx="335">
                  <c:v>14155.02</c:v>
                </c:pt>
                <c:pt idx="336">
                  <c:v>7071.32</c:v>
                </c:pt>
                <c:pt idx="337">
                  <c:v>6614.07</c:v>
                </c:pt>
                <c:pt idx="338">
                  <c:v>531.97</c:v>
                </c:pt>
                <c:pt idx="339">
                  <c:v>3819.25</c:v>
                </c:pt>
                <c:pt idx="340">
                  <c:v>6545.6</c:v>
                </c:pt>
                <c:pt idx="341">
                  <c:v>21547.26</c:v>
                </c:pt>
                <c:pt idx="342">
                  <c:v>179.93</c:v>
                </c:pt>
                <c:pt idx="343">
                  <c:v>2968.27</c:v>
                </c:pt>
                <c:pt idx="344">
                  <c:v>5371.71</c:v>
                </c:pt>
                <c:pt idx="345">
                  <c:v>17697.169999999998</c:v>
                </c:pt>
                <c:pt idx="346">
                  <c:v>12910.8</c:v>
                </c:pt>
                <c:pt idx="347">
                  <c:v>696.24</c:v>
                </c:pt>
                <c:pt idx="348">
                  <c:v>412.42</c:v>
                </c:pt>
                <c:pt idx="349">
                  <c:v>5793.04</c:v>
                </c:pt>
                <c:pt idx="350">
                  <c:v>8357.02</c:v>
                </c:pt>
                <c:pt idx="351">
                  <c:v>382.38</c:v>
                </c:pt>
                <c:pt idx="352">
                  <c:v>2251.04</c:v>
                </c:pt>
                <c:pt idx="353">
                  <c:v>7265.78</c:v>
                </c:pt>
                <c:pt idx="354">
                  <c:v>9768.7199999999993</c:v>
                </c:pt>
                <c:pt idx="355">
                  <c:v>18773.87</c:v>
                </c:pt>
                <c:pt idx="356">
                  <c:v>11689.44</c:v>
                </c:pt>
                <c:pt idx="357">
                  <c:v>17583.650000000001</c:v>
                </c:pt>
                <c:pt idx="358">
                  <c:v>4844.7299999999996</c:v>
                </c:pt>
                <c:pt idx="359">
                  <c:v>5878.76</c:v>
                </c:pt>
                <c:pt idx="360">
                  <c:v>1805.91</c:v>
                </c:pt>
                <c:pt idx="361">
                  <c:v>15855.99</c:v>
                </c:pt>
                <c:pt idx="362">
                  <c:v>13967.14</c:v>
                </c:pt>
                <c:pt idx="363">
                  <c:v>570.85</c:v>
                </c:pt>
                <c:pt idx="364">
                  <c:v>2486.08</c:v>
                </c:pt>
                <c:pt idx="365">
                  <c:v>531.45000000000005</c:v>
                </c:pt>
                <c:pt idx="366">
                  <c:v>8413.65</c:v>
                </c:pt>
                <c:pt idx="367">
                  <c:v>2857.47</c:v>
                </c:pt>
                <c:pt idx="368">
                  <c:v>17232.45</c:v>
                </c:pt>
                <c:pt idx="369">
                  <c:v>20514.66</c:v>
                </c:pt>
                <c:pt idx="370">
                  <c:v>14840.77</c:v>
                </c:pt>
                <c:pt idx="371">
                  <c:v>5192.7299999999996</c:v>
                </c:pt>
                <c:pt idx="372">
                  <c:v>19582.03</c:v>
                </c:pt>
                <c:pt idx="373">
                  <c:v>8658.7900000000009</c:v>
                </c:pt>
                <c:pt idx="374">
                  <c:v>210.42</c:v>
                </c:pt>
                <c:pt idx="375">
                  <c:v>1957.1</c:v>
                </c:pt>
                <c:pt idx="376">
                  <c:v>8455.3700000000008</c:v>
                </c:pt>
                <c:pt idx="377">
                  <c:v>2986.74</c:v>
                </c:pt>
                <c:pt idx="378">
                  <c:v>3489.36</c:v>
                </c:pt>
                <c:pt idx="379">
                  <c:v>14453.64</c:v>
                </c:pt>
                <c:pt idx="380">
                  <c:v>1409.28</c:v>
                </c:pt>
                <c:pt idx="381">
                  <c:v>461.44</c:v>
                </c:pt>
                <c:pt idx="382">
                  <c:v>11598.03</c:v>
                </c:pt>
                <c:pt idx="383">
                  <c:v>5997.51</c:v>
                </c:pt>
                <c:pt idx="384">
                  <c:v>4680.2700000000004</c:v>
                </c:pt>
                <c:pt idx="385">
                  <c:v>23032.400000000001</c:v>
                </c:pt>
                <c:pt idx="386">
                  <c:v>14222.06</c:v>
                </c:pt>
                <c:pt idx="387">
                  <c:v>4641.2299999999996</c:v>
                </c:pt>
                <c:pt idx="388">
                  <c:v>11007.55</c:v>
                </c:pt>
                <c:pt idx="389">
                  <c:v>2286.1999999999998</c:v>
                </c:pt>
                <c:pt idx="390">
                  <c:v>18746.27</c:v>
                </c:pt>
                <c:pt idx="391">
                  <c:v>7153.84</c:v>
                </c:pt>
                <c:pt idx="392">
                  <c:v>10889.27</c:v>
                </c:pt>
                <c:pt idx="393">
                  <c:v>72.78</c:v>
                </c:pt>
                <c:pt idx="394">
                  <c:v>5971.38</c:v>
                </c:pt>
                <c:pt idx="395">
                  <c:v>13312.4</c:v>
                </c:pt>
                <c:pt idx="396">
                  <c:v>4697.76</c:v>
                </c:pt>
                <c:pt idx="397">
                  <c:v>10726.19</c:v>
                </c:pt>
                <c:pt idx="398">
                  <c:v>1476.66</c:v>
                </c:pt>
                <c:pt idx="399">
                  <c:v>1537.34</c:v>
                </c:pt>
                <c:pt idx="400">
                  <c:v>3917.78</c:v>
                </c:pt>
                <c:pt idx="401">
                  <c:v>16696.03</c:v>
                </c:pt>
                <c:pt idx="402">
                  <c:v>13636.54</c:v>
                </c:pt>
                <c:pt idx="403">
                  <c:v>2131.21</c:v>
                </c:pt>
                <c:pt idx="404">
                  <c:v>9791.25</c:v>
                </c:pt>
                <c:pt idx="405">
                  <c:v>5473.25</c:v>
                </c:pt>
                <c:pt idx="406">
                  <c:v>11219.24</c:v>
                </c:pt>
                <c:pt idx="407">
                  <c:v>4100.8100000000004</c:v>
                </c:pt>
                <c:pt idx="408">
                  <c:v>5913.59</c:v>
                </c:pt>
                <c:pt idx="409">
                  <c:v>8568.1</c:v>
                </c:pt>
                <c:pt idx="410">
                  <c:v>3941.99</c:v>
                </c:pt>
                <c:pt idx="411">
                  <c:v>4351.8599999999997</c:v>
                </c:pt>
                <c:pt idx="412">
                  <c:v>3622.76</c:v>
                </c:pt>
                <c:pt idx="413">
                  <c:v>10966.05</c:v>
                </c:pt>
                <c:pt idx="414">
                  <c:v>2402.61</c:v>
                </c:pt>
                <c:pt idx="415">
                  <c:v>3876.68</c:v>
                </c:pt>
                <c:pt idx="416">
                  <c:v>1845.82</c:v>
                </c:pt>
                <c:pt idx="417">
                  <c:v>450.25</c:v>
                </c:pt>
                <c:pt idx="418">
                  <c:v>7274.42</c:v>
                </c:pt>
                <c:pt idx="419">
                  <c:v>6709.83</c:v>
                </c:pt>
                <c:pt idx="420">
                  <c:v>370.26</c:v>
                </c:pt>
                <c:pt idx="421">
                  <c:v>2916.65</c:v>
                </c:pt>
                <c:pt idx="422">
                  <c:v>8885.34</c:v>
                </c:pt>
                <c:pt idx="423">
                  <c:v>6268.52</c:v>
                </c:pt>
                <c:pt idx="424">
                  <c:v>3188.74</c:v>
                </c:pt>
                <c:pt idx="425">
                  <c:v>506.52</c:v>
                </c:pt>
                <c:pt idx="426">
                  <c:v>17522.77</c:v>
                </c:pt>
                <c:pt idx="427">
                  <c:v>7145.59</c:v>
                </c:pt>
                <c:pt idx="428">
                  <c:v>79.05</c:v>
                </c:pt>
                <c:pt idx="429">
                  <c:v>759.23</c:v>
                </c:pt>
                <c:pt idx="430">
                  <c:v>11180.46</c:v>
                </c:pt>
                <c:pt idx="431">
                  <c:v>20388.86</c:v>
                </c:pt>
                <c:pt idx="432">
                  <c:v>2817.91</c:v>
                </c:pt>
                <c:pt idx="433">
                  <c:v>13907.65</c:v>
                </c:pt>
                <c:pt idx="434">
                  <c:v>10043.77</c:v>
                </c:pt>
                <c:pt idx="435">
                  <c:v>6946.85</c:v>
                </c:pt>
                <c:pt idx="436">
                  <c:v>3523.86</c:v>
                </c:pt>
                <c:pt idx="437">
                  <c:v>4500.2</c:v>
                </c:pt>
                <c:pt idx="438">
                  <c:v>4956.16</c:v>
                </c:pt>
                <c:pt idx="439">
                  <c:v>440.53</c:v>
                </c:pt>
                <c:pt idx="440">
                  <c:v>12151.36</c:v>
                </c:pt>
                <c:pt idx="441">
                  <c:v>12404.55</c:v>
                </c:pt>
                <c:pt idx="442">
                  <c:v>579.41999999999996</c:v>
                </c:pt>
                <c:pt idx="443">
                  <c:v>13718.2</c:v>
                </c:pt>
                <c:pt idx="444">
                  <c:v>1448.93</c:v>
                </c:pt>
                <c:pt idx="445">
                  <c:v>2782.17</c:v>
                </c:pt>
                <c:pt idx="446">
                  <c:v>585.08000000000004</c:v>
                </c:pt>
                <c:pt idx="447">
                  <c:v>1910.01</c:v>
                </c:pt>
                <c:pt idx="448">
                  <c:v>3647.6</c:v>
                </c:pt>
                <c:pt idx="449">
                  <c:v>941.25</c:v>
                </c:pt>
                <c:pt idx="450">
                  <c:v>18326.61</c:v>
                </c:pt>
                <c:pt idx="451">
                  <c:v>148.19999999999999</c:v>
                </c:pt>
                <c:pt idx="452">
                  <c:v>1490.5</c:v>
                </c:pt>
                <c:pt idx="453">
                  <c:v>1718.77</c:v>
                </c:pt>
                <c:pt idx="454">
                  <c:v>381.13</c:v>
                </c:pt>
                <c:pt idx="455">
                  <c:v>16480.75</c:v>
                </c:pt>
                <c:pt idx="456">
                  <c:v>3343.31</c:v>
                </c:pt>
                <c:pt idx="457">
                  <c:v>9535.0499999999993</c:v>
                </c:pt>
                <c:pt idx="458">
                  <c:v>2498.54</c:v>
                </c:pt>
                <c:pt idx="459">
                  <c:v>2508.1799999999998</c:v>
                </c:pt>
                <c:pt idx="460">
                  <c:v>2954.67</c:v>
                </c:pt>
                <c:pt idx="461">
                  <c:v>10568.85</c:v>
                </c:pt>
                <c:pt idx="462">
                  <c:v>5658.07</c:v>
                </c:pt>
                <c:pt idx="463">
                  <c:v>8322.41</c:v>
                </c:pt>
                <c:pt idx="464">
                  <c:v>7339.99</c:v>
                </c:pt>
                <c:pt idx="465">
                  <c:v>1590.94</c:v>
                </c:pt>
                <c:pt idx="466">
                  <c:v>11263.52</c:v>
                </c:pt>
                <c:pt idx="467">
                  <c:v>2796.6</c:v>
                </c:pt>
                <c:pt idx="468">
                  <c:v>856.22</c:v>
                </c:pt>
                <c:pt idx="469">
                  <c:v>5503.13</c:v>
                </c:pt>
                <c:pt idx="470">
                  <c:v>13807.58</c:v>
                </c:pt>
                <c:pt idx="471">
                  <c:v>767.65</c:v>
                </c:pt>
                <c:pt idx="472">
                  <c:v>11830.81</c:v>
                </c:pt>
                <c:pt idx="473">
                  <c:v>5008.9399999999996</c:v>
                </c:pt>
                <c:pt idx="474">
                  <c:v>722.63</c:v>
                </c:pt>
                <c:pt idx="475">
                  <c:v>2334.44</c:v>
                </c:pt>
                <c:pt idx="476">
                  <c:v>2716.21</c:v>
                </c:pt>
                <c:pt idx="477">
                  <c:v>508.86</c:v>
                </c:pt>
                <c:pt idx="478">
                  <c:v>10133.14</c:v>
                </c:pt>
                <c:pt idx="479">
                  <c:v>11349.27</c:v>
                </c:pt>
                <c:pt idx="480">
                  <c:v>1611.29</c:v>
                </c:pt>
                <c:pt idx="481">
                  <c:v>12956.18</c:v>
                </c:pt>
                <c:pt idx="482">
                  <c:v>14710.25</c:v>
                </c:pt>
                <c:pt idx="483">
                  <c:v>6120.62</c:v>
                </c:pt>
                <c:pt idx="484">
                  <c:v>12238.16</c:v>
                </c:pt>
                <c:pt idx="485">
                  <c:v>15878.38</c:v>
                </c:pt>
                <c:pt idx="486">
                  <c:v>11575.7</c:v>
                </c:pt>
                <c:pt idx="487">
                  <c:v>5056.49</c:v>
                </c:pt>
                <c:pt idx="488">
                  <c:v>5122.82</c:v>
                </c:pt>
                <c:pt idx="489">
                  <c:v>3010.29</c:v>
                </c:pt>
                <c:pt idx="490">
                  <c:v>21035.38</c:v>
                </c:pt>
                <c:pt idx="491">
                  <c:v>9868.15</c:v>
                </c:pt>
                <c:pt idx="492">
                  <c:v>2426.27</c:v>
                </c:pt>
                <c:pt idx="493">
                  <c:v>12382.87</c:v>
                </c:pt>
                <c:pt idx="494">
                  <c:v>3304.56</c:v>
                </c:pt>
                <c:pt idx="495">
                  <c:v>660.58</c:v>
                </c:pt>
                <c:pt idx="496">
                  <c:v>14957.83</c:v>
                </c:pt>
                <c:pt idx="497">
                  <c:v>3427.58</c:v>
                </c:pt>
                <c:pt idx="498">
                  <c:v>2339.94</c:v>
                </c:pt>
                <c:pt idx="499">
                  <c:v>3609.29</c:v>
                </c:pt>
                <c:pt idx="500">
                  <c:v>86.89</c:v>
                </c:pt>
                <c:pt idx="501">
                  <c:v>9781.9599999999991</c:v>
                </c:pt>
                <c:pt idx="502">
                  <c:v>4713.5200000000004</c:v>
                </c:pt>
                <c:pt idx="503">
                  <c:v>5965.05</c:v>
                </c:pt>
                <c:pt idx="504">
                  <c:v>18009</c:v>
                </c:pt>
                <c:pt idx="505">
                  <c:v>13085.25</c:v>
                </c:pt>
                <c:pt idx="506">
                  <c:v>2771.56</c:v>
                </c:pt>
                <c:pt idx="507">
                  <c:v>7290.65</c:v>
                </c:pt>
                <c:pt idx="508">
                  <c:v>3993.48</c:v>
                </c:pt>
                <c:pt idx="509">
                  <c:v>6336.95</c:v>
                </c:pt>
                <c:pt idx="510">
                  <c:v>6257.77</c:v>
                </c:pt>
                <c:pt idx="511">
                  <c:v>16891.71</c:v>
                </c:pt>
                <c:pt idx="512">
                  <c:v>3439.33</c:v>
                </c:pt>
                <c:pt idx="513">
                  <c:v>1981</c:v>
                </c:pt>
                <c:pt idx="514">
                  <c:v>6554.41</c:v>
                </c:pt>
                <c:pt idx="515">
                  <c:v>402.02</c:v>
                </c:pt>
                <c:pt idx="516">
                  <c:v>509.77</c:v>
                </c:pt>
                <c:pt idx="517">
                  <c:v>393.56</c:v>
                </c:pt>
                <c:pt idx="518">
                  <c:v>13597.97</c:v>
                </c:pt>
                <c:pt idx="519">
                  <c:v>2729.07</c:v>
                </c:pt>
                <c:pt idx="520">
                  <c:v>988.2</c:v>
                </c:pt>
                <c:pt idx="521">
                  <c:v>9326.5499999999993</c:v>
                </c:pt>
                <c:pt idx="522">
                  <c:v>13323.15</c:v>
                </c:pt>
                <c:pt idx="523">
                  <c:v>11267.92</c:v>
                </c:pt>
                <c:pt idx="524">
                  <c:v>10022.74</c:v>
                </c:pt>
                <c:pt idx="525">
                  <c:v>20710.12</c:v>
                </c:pt>
                <c:pt idx="526">
                  <c:v>11061.31</c:v>
                </c:pt>
                <c:pt idx="527">
                  <c:v>1332.45</c:v>
                </c:pt>
                <c:pt idx="528">
                  <c:v>9886.06</c:v>
                </c:pt>
                <c:pt idx="529">
                  <c:v>5358.84</c:v>
                </c:pt>
                <c:pt idx="530">
                  <c:v>2609.33</c:v>
                </c:pt>
                <c:pt idx="531">
                  <c:v>7038.29</c:v>
                </c:pt>
                <c:pt idx="532">
                  <c:v>4071.63</c:v>
                </c:pt>
                <c:pt idx="533">
                  <c:v>13462.43</c:v>
                </c:pt>
                <c:pt idx="534">
                  <c:v>2435.17</c:v>
                </c:pt>
                <c:pt idx="535">
                  <c:v>566.14</c:v>
                </c:pt>
                <c:pt idx="536">
                  <c:v>14806.1</c:v>
                </c:pt>
                <c:pt idx="537">
                  <c:v>711.95</c:v>
                </c:pt>
                <c:pt idx="538">
                  <c:v>14643.54</c:v>
                </c:pt>
                <c:pt idx="539">
                  <c:v>1508.22</c:v>
                </c:pt>
                <c:pt idx="540">
                  <c:v>3571.33</c:v>
                </c:pt>
                <c:pt idx="541">
                  <c:v>13702.55</c:v>
                </c:pt>
                <c:pt idx="542">
                  <c:v>356.27</c:v>
                </c:pt>
                <c:pt idx="543">
                  <c:v>12255.57</c:v>
                </c:pt>
                <c:pt idx="544">
                  <c:v>1624.64</c:v>
                </c:pt>
                <c:pt idx="545">
                  <c:v>4984.17</c:v>
                </c:pt>
                <c:pt idx="546">
                  <c:v>9728.39</c:v>
                </c:pt>
                <c:pt idx="547">
                  <c:v>7863.48</c:v>
                </c:pt>
                <c:pt idx="548">
                  <c:v>6103.41</c:v>
                </c:pt>
                <c:pt idx="549">
                  <c:v>987.45</c:v>
                </c:pt>
                <c:pt idx="550">
                  <c:v>9730.5400000000009</c:v>
                </c:pt>
                <c:pt idx="551">
                  <c:v>971.15</c:v>
                </c:pt>
                <c:pt idx="552">
                  <c:v>21862.26</c:v>
                </c:pt>
                <c:pt idx="553">
                  <c:v>2700.56</c:v>
                </c:pt>
                <c:pt idx="554">
                  <c:v>9881.43</c:v>
                </c:pt>
                <c:pt idx="555">
                  <c:v>1197.3499999999999</c:v>
                </c:pt>
                <c:pt idx="556">
                  <c:v>3757.52</c:v>
                </c:pt>
                <c:pt idx="557">
                  <c:v>2298.7399999999998</c:v>
                </c:pt>
                <c:pt idx="558">
                  <c:v>330.77</c:v>
                </c:pt>
                <c:pt idx="559">
                  <c:v>4050.84</c:v>
                </c:pt>
                <c:pt idx="560">
                  <c:v>11784.37</c:v>
                </c:pt>
                <c:pt idx="561">
                  <c:v>22208.65</c:v>
                </c:pt>
                <c:pt idx="562">
                  <c:v>7823.09</c:v>
                </c:pt>
                <c:pt idx="563">
                  <c:v>4917.9399999999996</c:v>
                </c:pt>
                <c:pt idx="564">
                  <c:v>2941.29</c:v>
                </c:pt>
                <c:pt idx="565">
                  <c:v>20284.099999999999</c:v>
                </c:pt>
                <c:pt idx="566">
                  <c:v>849.73</c:v>
                </c:pt>
                <c:pt idx="567">
                  <c:v>2037.82</c:v>
                </c:pt>
                <c:pt idx="568">
                  <c:v>3121.03</c:v>
                </c:pt>
                <c:pt idx="569">
                  <c:v>1664.36</c:v>
                </c:pt>
                <c:pt idx="570">
                  <c:v>5694.37</c:v>
                </c:pt>
                <c:pt idx="571">
                  <c:v>930.38</c:v>
                </c:pt>
                <c:pt idx="572">
                  <c:v>4160.54</c:v>
                </c:pt>
                <c:pt idx="573">
                  <c:v>5093.3100000000004</c:v>
                </c:pt>
                <c:pt idx="574">
                  <c:v>18112.36</c:v>
                </c:pt>
                <c:pt idx="575">
                  <c:v>971.88</c:v>
                </c:pt>
                <c:pt idx="576">
                  <c:v>5562.07</c:v>
                </c:pt>
                <c:pt idx="577">
                  <c:v>5972.55</c:v>
                </c:pt>
                <c:pt idx="578">
                  <c:v>11662.84</c:v>
                </c:pt>
                <c:pt idx="579">
                  <c:v>11796.11</c:v>
                </c:pt>
                <c:pt idx="580">
                  <c:v>3443.25</c:v>
                </c:pt>
                <c:pt idx="581">
                  <c:v>4165.67</c:v>
                </c:pt>
                <c:pt idx="582">
                  <c:v>10085.26</c:v>
                </c:pt>
                <c:pt idx="583">
                  <c:v>1873.73</c:v>
                </c:pt>
                <c:pt idx="584">
                  <c:v>1538.52</c:v>
                </c:pt>
                <c:pt idx="585">
                  <c:v>232.48</c:v>
                </c:pt>
                <c:pt idx="586">
                  <c:v>230.84</c:v>
                </c:pt>
                <c:pt idx="587">
                  <c:v>5054.42</c:v>
                </c:pt>
                <c:pt idx="588">
                  <c:v>4662.7700000000004</c:v>
                </c:pt>
                <c:pt idx="589">
                  <c:v>624.41</c:v>
                </c:pt>
                <c:pt idx="590">
                  <c:v>14749.72</c:v>
                </c:pt>
                <c:pt idx="591">
                  <c:v>13098.96</c:v>
                </c:pt>
                <c:pt idx="592">
                  <c:v>3283.24</c:v>
                </c:pt>
                <c:pt idx="593">
                  <c:v>1034.99</c:v>
                </c:pt>
                <c:pt idx="594">
                  <c:v>1645.74</c:v>
                </c:pt>
                <c:pt idx="595">
                  <c:v>13465.91</c:v>
                </c:pt>
                <c:pt idx="596">
                  <c:v>1462.89</c:v>
                </c:pt>
                <c:pt idx="597">
                  <c:v>1487.91</c:v>
                </c:pt>
                <c:pt idx="598">
                  <c:v>6338.53</c:v>
                </c:pt>
                <c:pt idx="599">
                  <c:v>8583.2800000000007</c:v>
                </c:pt>
                <c:pt idx="600">
                  <c:v>4432.3</c:v>
                </c:pt>
                <c:pt idx="601">
                  <c:v>3066.27</c:v>
                </c:pt>
                <c:pt idx="602">
                  <c:v>8979.24</c:v>
                </c:pt>
                <c:pt idx="603">
                  <c:v>13901.74</c:v>
                </c:pt>
                <c:pt idx="604">
                  <c:v>8886.74</c:v>
                </c:pt>
                <c:pt idx="605">
                  <c:v>16606.25</c:v>
                </c:pt>
                <c:pt idx="606">
                  <c:v>2090.17</c:v>
                </c:pt>
                <c:pt idx="607">
                  <c:v>15182.68</c:v>
                </c:pt>
                <c:pt idx="608">
                  <c:v>6592</c:v>
                </c:pt>
                <c:pt idx="609">
                  <c:v>6649.41</c:v>
                </c:pt>
                <c:pt idx="610">
                  <c:v>12095.54</c:v>
                </c:pt>
                <c:pt idx="611">
                  <c:v>3183.44</c:v>
                </c:pt>
                <c:pt idx="612">
                  <c:v>4646.59</c:v>
                </c:pt>
                <c:pt idx="613">
                  <c:v>616.47</c:v>
                </c:pt>
                <c:pt idx="614">
                  <c:v>6951.06</c:v>
                </c:pt>
                <c:pt idx="615">
                  <c:v>8140.37</c:v>
                </c:pt>
                <c:pt idx="616">
                  <c:v>1813.18</c:v>
                </c:pt>
                <c:pt idx="617">
                  <c:v>327.7</c:v>
                </c:pt>
                <c:pt idx="618">
                  <c:v>4104.29</c:v>
                </c:pt>
                <c:pt idx="619">
                  <c:v>2365.9499999999998</c:v>
                </c:pt>
                <c:pt idx="620">
                  <c:v>6960.25</c:v>
                </c:pt>
                <c:pt idx="621">
                  <c:v>3721.09</c:v>
                </c:pt>
                <c:pt idx="622">
                  <c:v>14277.75</c:v>
                </c:pt>
                <c:pt idx="623">
                  <c:v>14800.23</c:v>
                </c:pt>
                <c:pt idx="624">
                  <c:v>8227.52</c:v>
                </c:pt>
                <c:pt idx="625">
                  <c:v>8690.7099999999991</c:v>
                </c:pt>
                <c:pt idx="626">
                  <c:v>10391.02</c:v>
                </c:pt>
                <c:pt idx="627">
                  <c:v>1883.04</c:v>
                </c:pt>
                <c:pt idx="628">
                  <c:v>12799.01</c:v>
                </c:pt>
                <c:pt idx="629">
                  <c:v>2931</c:v>
                </c:pt>
                <c:pt idx="630">
                  <c:v>6064.36</c:v>
                </c:pt>
                <c:pt idx="631">
                  <c:v>2804.74</c:v>
                </c:pt>
                <c:pt idx="632">
                  <c:v>8737.6299999999992</c:v>
                </c:pt>
                <c:pt idx="633">
                  <c:v>341.82</c:v>
                </c:pt>
                <c:pt idx="634">
                  <c:v>10196.1</c:v>
                </c:pt>
                <c:pt idx="635">
                  <c:v>5410.28</c:v>
                </c:pt>
                <c:pt idx="636">
                  <c:v>13548.86</c:v>
                </c:pt>
                <c:pt idx="637">
                  <c:v>9334.93</c:v>
                </c:pt>
                <c:pt idx="638">
                  <c:v>6805.98</c:v>
                </c:pt>
                <c:pt idx="639">
                  <c:v>14974.48</c:v>
                </c:pt>
                <c:pt idx="640">
                  <c:v>473.22</c:v>
                </c:pt>
                <c:pt idx="641">
                  <c:v>6254.53</c:v>
                </c:pt>
                <c:pt idx="642">
                  <c:v>5208.91</c:v>
                </c:pt>
                <c:pt idx="643">
                  <c:v>5152.55</c:v>
                </c:pt>
                <c:pt idx="644">
                  <c:v>2404.2399999999998</c:v>
                </c:pt>
                <c:pt idx="645">
                  <c:v>5325.46</c:v>
                </c:pt>
                <c:pt idx="646">
                  <c:v>5030.46</c:v>
                </c:pt>
                <c:pt idx="647">
                  <c:v>20321.02</c:v>
                </c:pt>
                <c:pt idx="648">
                  <c:v>7358.74</c:v>
                </c:pt>
                <c:pt idx="649">
                  <c:v>4518.74</c:v>
                </c:pt>
                <c:pt idx="650">
                  <c:v>7501.52</c:v>
                </c:pt>
                <c:pt idx="651">
                  <c:v>5224</c:v>
                </c:pt>
                <c:pt idx="652">
                  <c:v>10605.65</c:v>
                </c:pt>
                <c:pt idx="653">
                  <c:v>2817.42</c:v>
                </c:pt>
                <c:pt idx="654">
                  <c:v>3574.96</c:v>
                </c:pt>
                <c:pt idx="655">
                  <c:v>8149.93</c:v>
                </c:pt>
                <c:pt idx="656">
                  <c:v>12207.23</c:v>
                </c:pt>
                <c:pt idx="657">
                  <c:v>7062.28</c:v>
                </c:pt>
                <c:pt idx="658">
                  <c:v>8169.97</c:v>
                </c:pt>
                <c:pt idx="659">
                  <c:v>22188.7</c:v>
                </c:pt>
                <c:pt idx="660">
                  <c:v>1210.55</c:v>
                </c:pt>
                <c:pt idx="661">
                  <c:v>14105.36</c:v>
                </c:pt>
                <c:pt idx="662">
                  <c:v>3251.33</c:v>
                </c:pt>
                <c:pt idx="663">
                  <c:v>8870.85</c:v>
                </c:pt>
                <c:pt idx="664">
                  <c:v>1118.33</c:v>
                </c:pt>
                <c:pt idx="665">
                  <c:v>5584.11</c:v>
                </c:pt>
                <c:pt idx="666">
                  <c:v>9292.0499999999993</c:v>
                </c:pt>
                <c:pt idx="667">
                  <c:v>641.91999999999996</c:v>
                </c:pt>
                <c:pt idx="668">
                  <c:v>6475.4</c:v>
                </c:pt>
                <c:pt idx="669">
                  <c:v>9075.7900000000009</c:v>
                </c:pt>
                <c:pt idx="670">
                  <c:v>3562.66</c:v>
                </c:pt>
                <c:pt idx="671">
                  <c:v>767.78</c:v>
                </c:pt>
                <c:pt idx="672">
                  <c:v>197.66</c:v>
                </c:pt>
                <c:pt idx="673">
                  <c:v>16956.66</c:v>
                </c:pt>
                <c:pt idx="674">
                  <c:v>5315.32</c:v>
                </c:pt>
                <c:pt idx="675">
                  <c:v>14255.9</c:v>
                </c:pt>
                <c:pt idx="676">
                  <c:v>8647.3799999999992</c:v>
                </c:pt>
                <c:pt idx="677">
                  <c:v>5526.46</c:v>
                </c:pt>
                <c:pt idx="678">
                  <c:v>8623.44</c:v>
                </c:pt>
                <c:pt idx="679">
                  <c:v>741.49</c:v>
                </c:pt>
                <c:pt idx="680">
                  <c:v>10706.53</c:v>
                </c:pt>
                <c:pt idx="681">
                  <c:v>13079.72</c:v>
                </c:pt>
                <c:pt idx="682">
                  <c:v>8185.88</c:v>
                </c:pt>
                <c:pt idx="683">
                  <c:v>5839.13</c:v>
                </c:pt>
                <c:pt idx="684">
                  <c:v>212.26</c:v>
                </c:pt>
                <c:pt idx="685">
                  <c:v>1665.39</c:v>
                </c:pt>
                <c:pt idx="686">
                  <c:v>7225.27</c:v>
                </c:pt>
                <c:pt idx="687">
                  <c:v>5765.24</c:v>
                </c:pt>
                <c:pt idx="688">
                  <c:v>2374.6799999999998</c:v>
                </c:pt>
                <c:pt idx="689">
                  <c:v>1490.92</c:v>
                </c:pt>
                <c:pt idx="690">
                  <c:v>7199.97</c:v>
                </c:pt>
                <c:pt idx="691">
                  <c:v>7856.15</c:v>
                </c:pt>
                <c:pt idx="692">
                  <c:v>9964.4599999999991</c:v>
                </c:pt>
                <c:pt idx="693">
                  <c:v>2496.0700000000002</c:v>
                </c:pt>
                <c:pt idx="694">
                  <c:v>2395.42</c:v>
                </c:pt>
                <c:pt idx="695">
                  <c:v>13018.9</c:v>
                </c:pt>
                <c:pt idx="696">
                  <c:v>10796.88</c:v>
                </c:pt>
                <c:pt idx="697">
                  <c:v>8377.2099999999991</c:v>
                </c:pt>
                <c:pt idx="698">
                  <c:v>19912.77</c:v>
                </c:pt>
                <c:pt idx="699">
                  <c:v>3572.08</c:v>
                </c:pt>
                <c:pt idx="700">
                  <c:v>4542.09</c:v>
                </c:pt>
                <c:pt idx="701">
                  <c:v>4333.3</c:v>
                </c:pt>
                <c:pt idx="702">
                  <c:v>3272.36</c:v>
                </c:pt>
                <c:pt idx="703">
                  <c:v>17246.21</c:v>
                </c:pt>
                <c:pt idx="704">
                  <c:v>6372.66</c:v>
                </c:pt>
                <c:pt idx="705">
                  <c:v>23130.78</c:v>
                </c:pt>
                <c:pt idx="706">
                  <c:v>6167.03</c:v>
                </c:pt>
                <c:pt idx="707">
                  <c:v>7384.05</c:v>
                </c:pt>
                <c:pt idx="708">
                  <c:v>766.28</c:v>
                </c:pt>
                <c:pt idx="709">
                  <c:v>641.33000000000004</c:v>
                </c:pt>
                <c:pt idx="710">
                  <c:v>15698.68</c:v>
                </c:pt>
                <c:pt idx="711">
                  <c:v>3417.2</c:v>
                </c:pt>
                <c:pt idx="712">
                  <c:v>7911.73</c:v>
                </c:pt>
                <c:pt idx="713">
                  <c:v>2549.46</c:v>
                </c:pt>
                <c:pt idx="714">
                  <c:v>9531.73</c:v>
                </c:pt>
                <c:pt idx="715">
                  <c:v>1071.25</c:v>
                </c:pt>
                <c:pt idx="716">
                  <c:v>6835.99</c:v>
                </c:pt>
                <c:pt idx="717">
                  <c:v>2921</c:v>
                </c:pt>
                <c:pt idx="718">
                  <c:v>4070.52</c:v>
                </c:pt>
                <c:pt idx="719">
                  <c:v>9780.7000000000007</c:v>
                </c:pt>
                <c:pt idx="720">
                  <c:v>3015.63</c:v>
                </c:pt>
                <c:pt idx="721">
                  <c:v>560.33000000000004</c:v>
                </c:pt>
                <c:pt idx="722">
                  <c:v>21391.87</c:v>
                </c:pt>
                <c:pt idx="723">
                  <c:v>10033.91</c:v>
                </c:pt>
                <c:pt idx="724">
                  <c:v>18134.490000000002</c:v>
                </c:pt>
                <c:pt idx="725">
                  <c:v>514.03</c:v>
                </c:pt>
                <c:pt idx="726">
                  <c:v>10885.92</c:v>
                </c:pt>
                <c:pt idx="727">
                  <c:v>13766.18</c:v>
                </c:pt>
                <c:pt idx="728">
                  <c:v>2064.64</c:v>
                </c:pt>
                <c:pt idx="729">
                  <c:v>7465.54</c:v>
                </c:pt>
                <c:pt idx="730">
                  <c:v>5370.02</c:v>
                </c:pt>
                <c:pt idx="731">
                  <c:v>418.36</c:v>
                </c:pt>
                <c:pt idx="732">
                  <c:v>1881.67</c:v>
                </c:pt>
                <c:pt idx="733">
                  <c:v>17439.509999999998</c:v>
                </c:pt>
                <c:pt idx="734">
                  <c:v>293.22000000000003</c:v>
                </c:pt>
                <c:pt idx="735">
                  <c:v>12598.33</c:v>
                </c:pt>
                <c:pt idx="736">
                  <c:v>805.36</c:v>
                </c:pt>
                <c:pt idx="737">
                  <c:v>6104.09</c:v>
                </c:pt>
                <c:pt idx="738">
                  <c:v>2748.76</c:v>
                </c:pt>
                <c:pt idx="739">
                  <c:v>14911.37</c:v>
                </c:pt>
                <c:pt idx="740">
                  <c:v>118.91</c:v>
                </c:pt>
                <c:pt idx="741">
                  <c:v>2336.66</c:v>
                </c:pt>
                <c:pt idx="742">
                  <c:v>1284.3499999999999</c:v>
                </c:pt>
                <c:pt idx="743">
                  <c:v>1144.51</c:v>
                </c:pt>
                <c:pt idx="744">
                  <c:v>16892.509999999998</c:v>
                </c:pt>
                <c:pt idx="745">
                  <c:v>10946.02</c:v>
                </c:pt>
                <c:pt idx="746">
                  <c:v>7182.93</c:v>
                </c:pt>
                <c:pt idx="747">
                  <c:v>13023.01</c:v>
                </c:pt>
                <c:pt idx="748">
                  <c:v>18064.490000000002</c:v>
                </c:pt>
                <c:pt idx="749">
                  <c:v>1255.78</c:v>
                </c:pt>
                <c:pt idx="750">
                  <c:v>5955.63</c:v>
                </c:pt>
                <c:pt idx="751">
                  <c:v>1518.41</c:v>
                </c:pt>
                <c:pt idx="752">
                  <c:v>6876.35</c:v>
                </c:pt>
                <c:pt idx="753">
                  <c:v>10964.35</c:v>
                </c:pt>
                <c:pt idx="754">
                  <c:v>19933.34</c:v>
                </c:pt>
                <c:pt idx="755">
                  <c:v>4450.3599999999997</c:v>
                </c:pt>
                <c:pt idx="756">
                  <c:v>7372.62</c:v>
                </c:pt>
                <c:pt idx="757">
                  <c:v>1800.46</c:v>
                </c:pt>
                <c:pt idx="758">
                  <c:v>9310.02</c:v>
                </c:pt>
                <c:pt idx="759">
                  <c:v>10852.34</c:v>
                </c:pt>
                <c:pt idx="760">
                  <c:v>2341.34</c:v>
                </c:pt>
                <c:pt idx="761">
                  <c:v>17297.86</c:v>
                </c:pt>
                <c:pt idx="762">
                  <c:v>391.87</c:v>
                </c:pt>
                <c:pt idx="763">
                  <c:v>11929.28</c:v>
                </c:pt>
                <c:pt idx="764">
                  <c:v>5280.12</c:v>
                </c:pt>
                <c:pt idx="765">
                  <c:v>3442.14</c:v>
                </c:pt>
                <c:pt idx="766">
                  <c:v>5426.86</c:v>
                </c:pt>
                <c:pt idx="767">
                  <c:v>9215.7199999999993</c:v>
                </c:pt>
                <c:pt idx="768">
                  <c:v>14183.1</c:v>
                </c:pt>
                <c:pt idx="769">
                  <c:v>9608.2999999999993</c:v>
                </c:pt>
                <c:pt idx="770">
                  <c:v>14360.52</c:v>
                </c:pt>
                <c:pt idx="771">
                  <c:v>6037.45</c:v>
                </c:pt>
                <c:pt idx="772">
                  <c:v>4772.37</c:v>
                </c:pt>
                <c:pt idx="773">
                  <c:v>4239.01</c:v>
                </c:pt>
                <c:pt idx="774">
                  <c:v>550.85</c:v>
                </c:pt>
                <c:pt idx="775">
                  <c:v>1404.42</c:v>
                </c:pt>
                <c:pt idx="776">
                  <c:v>3084.47</c:v>
                </c:pt>
                <c:pt idx="777">
                  <c:v>2378.0700000000002</c:v>
                </c:pt>
                <c:pt idx="778">
                  <c:v>4842.26</c:v>
                </c:pt>
                <c:pt idx="779">
                  <c:v>11958.58</c:v>
                </c:pt>
                <c:pt idx="780">
                  <c:v>8406.23</c:v>
                </c:pt>
                <c:pt idx="781">
                  <c:v>8110.77</c:v>
                </c:pt>
                <c:pt idx="782">
                  <c:v>6234.72</c:v>
                </c:pt>
                <c:pt idx="783">
                  <c:v>1664.07</c:v>
                </c:pt>
                <c:pt idx="784">
                  <c:v>2953.35</c:v>
                </c:pt>
                <c:pt idx="785">
                  <c:v>1490.56</c:v>
                </c:pt>
                <c:pt idx="786">
                  <c:v>6481.44</c:v>
                </c:pt>
                <c:pt idx="787">
                  <c:v>6245.45</c:v>
                </c:pt>
                <c:pt idx="788">
                  <c:v>8149.81</c:v>
                </c:pt>
                <c:pt idx="789">
                  <c:v>5707.46</c:v>
                </c:pt>
                <c:pt idx="790">
                  <c:v>5474.4</c:v>
                </c:pt>
                <c:pt idx="791">
                  <c:v>8853.9</c:v>
                </c:pt>
                <c:pt idx="792">
                  <c:v>2487.59</c:v>
                </c:pt>
                <c:pt idx="793">
                  <c:v>9359.94</c:v>
                </c:pt>
                <c:pt idx="794">
                  <c:v>10604.72</c:v>
                </c:pt>
                <c:pt idx="795">
                  <c:v>7208.78</c:v>
                </c:pt>
                <c:pt idx="796">
                  <c:v>9383.07</c:v>
                </c:pt>
                <c:pt idx="797">
                  <c:v>2658.8</c:v>
                </c:pt>
                <c:pt idx="798">
                  <c:v>2418.9499999999998</c:v>
                </c:pt>
                <c:pt idx="799">
                  <c:v>6024.93</c:v>
                </c:pt>
                <c:pt idx="800">
                  <c:v>16492.46</c:v>
                </c:pt>
                <c:pt idx="801">
                  <c:v>12468.59</c:v>
                </c:pt>
                <c:pt idx="802">
                  <c:v>3252.39</c:v>
                </c:pt>
                <c:pt idx="803">
                  <c:v>5704.6</c:v>
                </c:pt>
                <c:pt idx="804">
                  <c:v>2836.6</c:v>
                </c:pt>
                <c:pt idx="805">
                  <c:v>12805.84</c:v>
                </c:pt>
                <c:pt idx="806">
                  <c:v>1502.17</c:v>
                </c:pt>
                <c:pt idx="807">
                  <c:v>14525.44</c:v>
                </c:pt>
                <c:pt idx="808">
                  <c:v>23697.95</c:v>
                </c:pt>
                <c:pt idx="809">
                  <c:v>21568.99</c:v>
                </c:pt>
                <c:pt idx="810">
                  <c:v>11441.83</c:v>
                </c:pt>
                <c:pt idx="811">
                  <c:v>10172.02</c:v>
                </c:pt>
                <c:pt idx="812">
                  <c:v>11596.06</c:v>
                </c:pt>
                <c:pt idx="813">
                  <c:v>1822.46</c:v>
                </c:pt>
                <c:pt idx="814">
                  <c:v>5387.8</c:v>
                </c:pt>
                <c:pt idx="815">
                  <c:v>5257.08</c:v>
                </c:pt>
                <c:pt idx="816">
                  <c:v>16296.06</c:v>
                </c:pt>
                <c:pt idx="817">
                  <c:v>803.24</c:v>
                </c:pt>
                <c:pt idx="818">
                  <c:v>41.69</c:v>
                </c:pt>
                <c:pt idx="819">
                  <c:v>13332.51</c:v>
                </c:pt>
                <c:pt idx="820">
                  <c:v>4072.45</c:v>
                </c:pt>
                <c:pt idx="821">
                  <c:v>5288.36</c:v>
                </c:pt>
                <c:pt idx="822">
                  <c:v>714.65</c:v>
                </c:pt>
                <c:pt idx="823">
                  <c:v>1956.97</c:v>
                </c:pt>
                <c:pt idx="824">
                  <c:v>881.56</c:v>
                </c:pt>
                <c:pt idx="825">
                  <c:v>437.17</c:v>
                </c:pt>
                <c:pt idx="826">
                  <c:v>1027</c:v>
                </c:pt>
                <c:pt idx="827">
                  <c:v>4118.1499999999996</c:v>
                </c:pt>
                <c:pt idx="828">
                  <c:v>17485.32</c:v>
                </c:pt>
                <c:pt idx="829">
                  <c:v>4916.0200000000004</c:v>
                </c:pt>
                <c:pt idx="830">
                  <c:v>12396.69</c:v>
                </c:pt>
                <c:pt idx="831">
                  <c:v>60.2</c:v>
                </c:pt>
                <c:pt idx="832">
                  <c:v>4254.0200000000004</c:v>
                </c:pt>
                <c:pt idx="833">
                  <c:v>3836.59</c:v>
                </c:pt>
                <c:pt idx="834">
                  <c:v>1169.3699999999999</c:v>
                </c:pt>
                <c:pt idx="835">
                  <c:v>15782.09</c:v>
                </c:pt>
                <c:pt idx="836">
                  <c:v>691.09</c:v>
                </c:pt>
                <c:pt idx="837">
                  <c:v>6988.41</c:v>
                </c:pt>
                <c:pt idx="838">
                  <c:v>16500.599999999999</c:v>
                </c:pt>
                <c:pt idx="839">
                  <c:v>10902.31</c:v>
                </c:pt>
                <c:pt idx="840">
                  <c:v>1473.57</c:v>
                </c:pt>
                <c:pt idx="841">
                  <c:v>3639.02</c:v>
                </c:pt>
                <c:pt idx="842">
                  <c:v>6110.42</c:v>
                </c:pt>
                <c:pt idx="843">
                  <c:v>23388.31</c:v>
                </c:pt>
                <c:pt idx="844">
                  <c:v>17189.72</c:v>
                </c:pt>
                <c:pt idx="845">
                  <c:v>12711.29</c:v>
                </c:pt>
                <c:pt idx="846">
                  <c:v>10663.3</c:v>
                </c:pt>
                <c:pt idx="847">
                  <c:v>15587.57</c:v>
                </c:pt>
                <c:pt idx="848">
                  <c:v>12143.34</c:v>
                </c:pt>
                <c:pt idx="849">
                  <c:v>3383.9</c:v>
                </c:pt>
                <c:pt idx="850">
                  <c:v>963.63</c:v>
                </c:pt>
                <c:pt idx="851">
                  <c:v>7509.05</c:v>
                </c:pt>
                <c:pt idx="852">
                  <c:v>15697.03</c:v>
                </c:pt>
                <c:pt idx="853">
                  <c:v>5179.43</c:v>
                </c:pt>
                <c:pt idx="854">
                  <c:v>5996.68</c:v>
                </c:pt>
                <c:pt idx="855">
                  <c:v>6963.89</c:v>
                </c:pt>
                <c:pt idx="856">
                  <c:v>1325.04</c:v>
                </c:pt>
                <c:pt idx="857">
                  <c:v>10838.8</c:v>
                </c:pt>
                <c:pt idx="858">
                  <c:v>2616.3000000000002</c:v>
                </c:pt>
                <c:pt idx="859">
                  <c:v>14356.85</c:v>
                </c:pt>
                <c:pt idx="860">
                  <c:v>18716.36</c:v>
                </c:pt>
                <c:pt idx="861">
                  <c:v>1873.16</c:v>
                </c:pt>
                <c:pt idx="862">
                  <c:v>351.15</c:v>
                </c:pt>
                <c:pt idx="863">
                  <c:v>12296.44</c:v>
                </c:pt>
                <c:pt idx="864">
                  <c:v>17471.28</c:v>
                </c:pt>
                <c:pt idx="865">
                  <c:v>58</c:v>
                </c:pt>
                <c:pt idx="866">
                  <c:v>3848.35</c:v>
                </c:pt>
                <c:pt idx="867">
                  <c:v>3003.7</c:v>
                </c:pt>
                <c:pt idx="868">
                  <c:v>17001.62</c:v>
                </c:pt>
                <c:pt idx="869">
                  <c:v>16038.24</c:v>
                </c:pt>
                <c:pt idx="870">
                  <c:v>237.25</c:v>
                </c:pt>
                <c:pt idx="871">
                  <c:v>3116.14</c:v>
                </c:pt>
                <c:pt idx="872">
                  <c:v>828.68</c:v>
                </c:pt>
                <c:pt idx="873">
                  <c:v>13493.16</c:v>
                </c:pt>
                <c:pt idx="874">
                  <c:v>4538.43</c:v>
                </c:pt>
                <c:pt idx="875">
                  <c:v>12880.26</c:v>
                </c:pt>
                <c:pt idx="876">
                  <c:v>12804.71</c:v>
                </c:pt>
                <c:pt idx="877">
                  <c:v>11870.68</c:v>
                </c:pt>
                <c:pt idx="878">
                  <c:v>16697.86</c:v>
                </c:pt>
                <c:pt idx="879">
                  <c:v>12716.96</c:v>
                </c:pt>
                <c:pt idx="880">
                  <c:v>8424.09</c:v>
                </c:pt>
                <c:pt idx="881">
                  <c:v>18616.48</c:v>
                </c:pt>
                <c:pt idx="882">
                  <c:v>2380.92</c:v>
                </c:pt>
                <c:pt idx="883">
                  <c:v>838.25</c:v>
                </c:pt>
                <c:pt idx="884">
                  <c:v>10163.61</c:v>
                </c:pt>
                <c:pt idx="885">
                  <c:v>14640.5</c:v>
                </c:pt>
                <c:pt idx="886">
                  <c:v>8062.7</c:v>
                </c:pt>
                <c:pt idx="887">
                  <c:v>916.38</c:v>
                </c:pt>
                <c:pt idx="888">
                  <c:v>16533.09</c:v>
                </c:pt>
                <c:pt idx="889">
                  <c:v>8745.2199999999993</c:v>
                </c:pt>
                <c:pt idx="890">
                  <c:v>13260.85</c:v>
                </c:pt>
                <c:pt idx="891">
                  <c:v>12957.12</c:v>
                </c:pt>
                <c:pt idx="892">
                  <c:v>2036.86</c:v>
                </c:pt>
                <c:pt idx="893">
                  <c:v>13564.36</c:v>
                </c:pt>
                <c:pt idx="894">
                  <c:v>3788.2</c:v>
                </c:pt>
                <c:pt idx="895">
                  <c:v>8435.67</c:v>
                </c:pt>
                <c:pt idx="896">
                  <c:v>14152.35</c:v>
                </c:pt>
                <c:pt idx="897">
                  <c:v>4672.4399999999996</c:v>
                </c:pt>
                <c:pt idx="898">
                  <c:v>209.72</c:v>
                </c:pt>
                <c:pt idx="899">
                  <c:v>10342.56</c:v>
                </c:pt>
                <c:pt idx="900">
                  <c:v>10630.78</c:v>
                </c:pt>
                <c:pt idx="901">
                  <c:v>8635.42</c:v>
                </c:pt>
                <c:pt idx="902">
                  <c:v>6690.67</c:v>
                </c:pt>
                <c:pt idx="903">
                  <c:v>502.68</c:v>
                </c:pt>
                <c:pt idx="904">
                  <c:v>22687.119999999999</c:v>
                </c:pt>
                <c:pt idx="905">
                  <c:v>9266.41</c:v>
                </c:pt>
                <c:pt idx="906">
                  <c:v>9528.52</c:v>
                </c:pt>
                <c:pt idx="907">
                  <c:v>1135.6400000000001</c:v>
                </c:pt>
                <c:pt idx="908">
                  <c:v>11861.21</c:v>
                </c:pt>
                <c:pt idx="909">
                  <c:v>3557.57</c:v>
                </c:pt>
                <c:pt idx="910">
                  <c:v>3294.2</c:v>
                </c:pt>
                <c:pt idx="911">
                  <c:v>1451.26</c:v>
                </c:pt>
                <c:pt idx="912">
                  <c:v>2402.13</c:v>
                </c:pt>
                <c:pt idx="913">
                  <c:v>22271.31</c:v>
                </c:pt>
                <c:pt idx="914">
                  <c:v>15984.63</c:v>
                </c:pt>
                <c:pt idx="915">
                  <c:v>8645.9</c:v>
                </c:pt>
                <c:pt idx="916">
                  <c:v>609.76</c:v>
                </c:pt>
                <c:pt idx="917">
                  <c:v>18454.88</c:v>
                </c:pt>
                <c:pt idx="918">
                  <c:v>3153.43</c:v>
                </c:pt>
                <c:pt idx="919">
                  <c:v>11280.76</c:v>
                </c:pt>
                <c:pt idx="920">
                  <c:v>2894.24</c:v>
                </c:pt>
                <c:pt idx="921">
                  <c:v>2986.36</c:v>
                </c:pt>
                <c:pt idx="922">
                  <c:v>5278.83</c:v>
                </c:pt>
                <c:pt idx="923">
                  <c:v>12558.43</c:v>
                </c:pt>
                <c:pt idx="924">
                  <c:v>3511.5</c:v>
                </c:pt>
                <c:pt idx="925">
                  <c:v>1300.31</c:v>
                </c:pt>
                <c:pt idx="926">
                  <c:v>10203.01</c:v>
                </c:pt>
                <c:pt idx="927">
                  <c:v>9472.16</c:v>
                </c:pt>
                <c:pt idx="928">
                  <c:v>1690.93</c:v>
                </c:pt>
                <c:pt idx="929">
                  <c:v>2351.42</c:v>
                </c:pt>
                <c:pt idx="930">
                  <c:v>10218.36</c:v>
                </c:pt>
                <c:pt idx="931">
                  <c:v>13717.5</c:v>
                </c:pt>
                <c:pt idx="932">
                  <c:v>7040.83</c:v>
                </c:pt>
                <c:pt idx="933">
                  <c:v>1227.6600000000001</c:v>
                </c:pt>
                <c:pt idx="934">
                  <c:v>5123.91</c:v>
                </c:pt>
                <c:pt idx="935">
                  <c:v>4967.92</c:v>
                </c:pt>
                <c:pt idx="936">
                  <c:v>14582.35</c:v>
                </c:pt>
                <c:pt idx="937">
                  <c:v>16144.75</c:v>
                </c:pt>
                <c:pt idx="938">
                  <c:v>16227.88</c:v>
                </c:pt>
                <c:pt idx="939">
                  <c:v>18531.939999999999</c:v>
                </c:pt>
                <c:pt idx="940">
                  <c:v>289.76</c:v>
                </c:pt>
                <c:pt idx="941">
                  <c:v>3500.77</c:v>
                </c:pt>
                <c:pt idx="942">
                  <c:v>11838.27</c:v>
                </c:pt>
                <c:pt idx="943">
                  <c:v>10984.7</c:v>
                </c:pt>
                <c:pt idx="944">
                  <c:v>2127.59</c:v>
                </c:pt>
                <c:pt idx="945">
                  <c:v>4859.24</c:v>
                </c:pt>
                <c:pt idx="946">
                  <c:v>8031.07</c:v>
                </c:pt>
                <c:pt idx="947">
                  <c:v>18721.560000000001</c:v>
                </c:pt>
                <c:pt idx="948">
                  <c:v>3457.66</c:v>
                </c:pt>
                <c:pt idx="949">
                  <c:v>2705.41</c:v>
                </c:pt>
                <c:pt idx="950">
                  <c:v>361.63</c:v>
                </c:pt>
                <c:pt idx="951">
                  <c:v>799.14</c:v>
                </c:pt>
                <c:pt idx="952">
                  <c:v>8911.2999999999993</c:v>
                </c:pt>
                <c:pt idx="953">
                  <c:v>12174.62</c:v>
                </c:pt>
                <c:pt idx="954">
                  <c:v>7173.66</c:v>
                </c:pt>
                <c:pt idx="955">
                  <c:v>3054.92</c:v>
                </c:pt>
                <c:pt idx="956">
                  <c:v>1811.89</c:v>
                </c:pt>
                <c:pt idx="957">
                  <c:v>14788.91</c:v>
                </c:pt>
                <c:pt idx="958">
                  <c:v>4863.8900000000003</c:v>
                </c:pt>
                <c:pt idx="959">
                  <c:v>138.47999999999999</c:v>
                </c:pt>
                <c:pt idx="960">
                  <c:v>721.01</c:v>
                </c:pt>
                <c:pt idx="961">
                  <c:v>3910.25</c:v>
                </c:pt>
                <c:pt idx="962">
                  <c:v>6697.08</c:v>
                </c:pt>
                <c:pt idx="963">
                  <c:v>10356.08</c:v>
                </c:pt>
                <c:pt idx="964">
                  <c:v>5627.53</c:v>
                </c:pt>
                <c:pt idx="965">
                  <c:v>3498.41</c:v>
                </c:pt>
                <c:pt idx="966">
                  <c:v>4267.21</c:v>
                </c:pt>
                <c:pt idx="967">
                  <c:v>14753.36</c:v>
                </c:pt>
                <c:pt idx="968">
                  <c:v>19058.66</c:v>
                </c:pt>
                <c:pt idx="969">
                  <c:v>13350.77</c:v>
                </c:pt>
                <c:pt idx="970">
                  <c:v>4442.4399999999996</c:v>
                </c:pt>
                <c:pt idx="971">
                  <c:v>23633.39</c:v>
                </c:pt>
                <c:pt idx="972">
                  <c:v>82.07</c:v>
                </c:pt>
                <c:pt idx="973">
                  <c:v>7702.07</c:v>
                </c:pt>
                <c:pt idx="974">
                  <c:v>1268.6500000000001</c:v>
                </c:pt>
                <c:pt idx="975">
                  <c:v>5752.08</c:v>
                </c:pt>
                <c:pt idx="976">
                  <c:v>6549.89</c:v>
                </c:pt>
                <c:pt idx="977">
                  <c:v>10397.34</c:v>
                </c:pt>
                <c:pt idx="978">
                  <c:v>11714.86</c:v>
                </c:pt>
                <c:pt idx="979">
                  <c:v>7868.81</c:v>
                </c:pt>
                <c:pt idx="980">
                  <c:v>7308.82</c:v>
                </c:pt>
                <c:pt idx="981">
                  <c:v>2489.7199999999998</c:v>
                </c:pt>
                <c:pt idx="982">
                  <c:v>11721.75</c:v>
                </c:pt>
                <c:pt idx="983">
                  <c:v>7175.33</c:v>
                </c:pt>
                <c:pt idx="984">
                  <c:v>111.56</c:v>
                </c:pt>
                <c:pt idx="985">
                  <c:v>15792.22</c:v>
                </c:pt>
                <c:pt idx="986">
                  <c:v>9805.51</c:v>
                </c:pt>
                <c:pt idx="987">
                  <c:v>1089.02</c:v>
                </c:pt>
                <c:pt idx="988">
                  <c:v>5042.28</c:v>
                </c:pt>
                <c:pt idx="989">
                  <c:v>6883.35</c:v>
                </c:pt>
                <c:pt idx="990">
                  <c:v>1173.3399999999999</c:v>
                </c:pt>
                <c:pt idx="991">
                  <c:v>510.51</c:v>
                </c:pt>
                <c:pt idx="992">
                  <c:v>15609.57</c:v>
                </c:pt>
                <c:pt idx="993">
                  <c:v>11717.47</c:v>
                </c:pt>
                <c:pt idx="994">
                  <c:v>5477.62</c:v>
                </c:pt>
                <c:pt idx="995">
                  <c:v>7006.51</c:v>
                </c:pt>
                <c:pt idx="996">
                  <c:v>7045.2</c:v>
                </c:pt>
                <c:pt idx="997">
                  <c:v>14350.41</c:v>
                </c:pt>
                <c:pt idx="998">
                  <c:v>1359.3</c:v>
                </c:pt>
                <c:pt idx="999">
                  <c:v>4114.22</c:v>
                </c:pt>
                <c:pt idx="1000">
                  <c:v>15402.72</c:v>
                </c:pt>
                <c:pt idx="1001">
                  <c:v>824.54</c:v>
                </c:pt>
                <c:pt idx="1002">
                  <c:v>5087.3999999999996</c:v>
                </c:pt>
                <c:pt idx="1003">
                  <c:v>7974.36</c:v>
                </c:pt>
                <c:pt idx="1004">
                  <c:v>7516.37</c:v>
                </c:pt>
                <c:pt idx="1005">
                  <c:v>454.83</c:v>
                </c:pt>
                <c:pt idx="1006">
                  <c:v>12987.09</c:v>
                </c:pt>
                <c:pt idx="1007">
                  <c:v>17920.830000000002</c:v>
                </c:pt>
                <c:pt idx="1008">
                  <c:v>12225.24</c:v>
                </c:pt>
                <c:pt idx="1009">
                  <c:v>6117.88</c:v>
                </c:pt>
                <c:pt idx="1010">
                  <c:v>3125.23</c:v>
                </c:pt>
                <c:pt idx="1011">
                  <c:v>6188.69</c:v>
                </c:pt>
                <c:pt idx="1012">
                  <c:v>2850.4</c:v>
                </c:pt>
                <c:pt idx="1013">
                  <c:v>531.72</c:v>
                </c:pt>
                <c:pt idx="1014">
                  <c:v>1032.76</c:v>
                </c:pt>
                <c:pt idx="1015">
                  <c:v>11367.02</c:v>
                </c:pt>
                <c:pt idx="1016">
                  <c:v>11784.26</c:v>
                </c:pt>
                <c:pt idx="1017">
                  <c:v>5966.9</c:v>
                </c:pt>
                <c:pt idx="1018">
                  <c:v>2410.52</c:v>
                </c:pt>
                <c:pt idx="1019">
                  <c:v>8774.7199999999993</c:v>
                </c:pt>
                <c:pt idx="1020">
                  <c:v>12943.02</c:v>
                </c:pt>
                <c:pt idx="1021">
                  <c:v>23632.07</c:v>
                </c:pt>
                <c:pt idx="1022">
                  <c:v>358.99</c:v>
                </c:pt>
                <c:pt idx="1023">
                  <c:v>13776.56</c:v>
                </c:pt>
                <c:pt idx="1024">
                  <c:v>8695.9500000000007</c:v>
                </c:pt>
                <c:pt idx="1025">
                  <c:v>8545.09</c:v>
                </c:pt>
                <c:pt idx="1026">
                  <c:v>5853.05</c:v>
                </c:pt>
                <c:pt idx="1027">
                  <c:v>1663.47</c:v>
                </c:pt>
                <c:pt idx="1028">
                  <c:v>1611.85</c:v>
                </c:pt>
                <c:pt idx="1029">
                  <c:v>1265.42</c:v>
                </c:pt>
                <c:pt idx="1030">
                  <c:v>4571.01</c:v>
                </c:pt>
                <c:pt idx="1031">
                  <c:v>16799.560000000001</c:v>
                </c:pt>
                <c:pt idx="1032">
                  <c:v>2276.17</c:v>
                </c:pt>
                <c:pt idx="1033">
                  <c:v>6605.61</c:v>
                </c:pt>
                <c:pt idx="1034">
                  <c:v>13180.49</c:v>
                </c:pt>
                <c:pt idx="1035">
                  <c:v>20641.73</c:v>
                </c:pt>
                <c:pt idx="1036">
                  <c:v>1414.24</c:v>
                </c:pt>
                <c:pt idx="1037">
                  <c:v>17441.099999999999</c:v>
                </c:pt>
                <c:pt idx="1038">
                  <c:v>2848.03</c:v>
                </c:pt>
                <c:pt idx="1039">
                  <c:v>5464.82</c:v>
                </c:pt>
                <c:pt idx="1040">
                  <c:v>13184.63</c:v>
                </c:pt>
                <c:pt idx="1041">
                  <c:v>4005.76</c:v>
                </c:pt>
                <c:pt idx="1042">
                  <c:v>933.79</c:v>
                </c:pt>
                <c:pt idx="1043">
                  <c:v>3427.33</c:v>
                </c:pt>
                <c:pt idx="1044">
                  <c:v>4982.3500000000004</c:v>
                </c:pt>
                <c:pt idx="1045">
                  <c:v>2061.34</c:v>
                </c:pt>
                <c:pt idx="1046">
                  <c:v>6691.56</c:v>
                </c:pt>
                <c:pt idx="1047">
                  <c:v>2000.91</c:v>
                </c:pt>
                <c:pt idx="1048">
                  <c:v>2655.51</c:v>
                </c:pt>
                <c:pt idx="1049">
                  <c:v>2802.45</c:v>
                </c:pt>
              </c:numCache>
            </c:numRef>
          </c:val>
          <c:smooth val="0"/>
          <c:extLst>
            <c:ext xmlns:c16="http://schemas.microsoft.com/office/drawing/2014/chart" uri="{C3380CC4-5D6E-409C-BE32-E72D297353CC}">
              <c16:uniqueId val="{00000000-8DEF-4A43-8003-C67FE80605C9}"/>
            </c:ext>
          </c:extLst>
        </c:ser>
        <c:dLbls>
          <c:showLegendKey val="0"/>
          <c:showVal val="0"/>
          <c:showCatName val="0"/>
          <c:showSerName val="0"/>
          <c:showPercent val="0"/>
          <c:showBubbleSize val="0"/>
        </c:dLbls>
        <c:smooth val="0"/>
        <c:axId val="1479415216"/>
        <c:axId val="1479416176"/>
      </c:lineChart>
      <c:catAx>
        <c:axId val="14794152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9416176"/>
        <c:crosses val="autoZero"/>
        <c:auto val="1"/>
        <c:lblAlgn val="ctr"/>
        <c:lblOffset val="100"/>
        <c:noMultiLvlLbl val="0"/>
      </c:catAx>
      <c:valAx>
        <c:axId val="14794161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941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 project.csv.xlsx]Total Sales by Month!PivotTable31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'Total Sales by Month'!$B$3</c:f>
              <c:strCache>
                <c:ptCount val="1"/>
                <c:pt idx="0">
                  <c:v>Total</c:v>
                </c:pt>
              </c:strCache>
            </c:strRef>
          </c:tx>
          <c:spPr>
            <a:solidFill>
              <a:schemeClr val="accent1"/>
            </a:solidFill>
            <a:ln>
              <a:noFill/>
            </a:ln>
            <a:effectLst/>
          </c:spPr>
          <c:invertIfNegative val="0"/>
          <c:cat>
            <c:strRef>
              <c:f>'Total Sales by Month'!$A$4:$A$15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Sales by Month'!$B$4:$B$15</c:f>
              <c:numCache>
                <c:formatCode>General</c:formatCode>
                <c:ptCount val="12"/>
                <c:pt idx="0">
                  <c:v>585013.77</c:v>
                </c:pt>
                <c:pt idx="1">
                  <c:v>578041.71999999986</c:v>
                </c:pt>
                <c:pt idx="2">
                  <c:v>612037.6599999998</c:v>
                </c:pt>
                <c:pt idx="3">
                  <c:v>573713.81999999983</c:v>
                </c:pt>
                <c:pt idx="4">
                  <c:v>535050.13000000012</c:v>
                </c:pt>
                <c:pt idx="5">
                  <c:v>736587.87</c:v>
                </c:pt>
                <c:pt idx="6">
                  <c:v>533611.84</c:v>
                </c:pt>
                <c:pt idx="7">
                  <c:v>566669.27000000025</c:v>
                </c:pt>
                <c:pt idx="8">
                  <c:v>656172.1100000001</c:v>
                </c:pt>
                <c:pt idx="9">
                  <c:v>692095.52</c:v>
                </c:pt>
                <c:pt idx="10">
                  <c:v>658799.74999999988</c:v>
                </c:pt>
                <c:pt idx="11">
                  <c:v>531963.80999999994</c:v>
                </c:pt>
              </c:numCache>
            </c:numRef>
          </c:val>
          <c:extLst>
            <c:ext xmlns:c16="http://schemas.microsoft.com/office/drawing/2014/chart" uri="{C3380CC4-5D6E-409C-BE32-E72D297353CC}">
              <c16:uniqueId val="{00000000-CDB2-40F5-9A14-E005E9045146}"/>
            </c:ext>
          </c:extLst>
        </c:ser>
        <c:dLbls>
          <c:showLegendKey val="0"/>
          <c:showVal val="0"/>
          <c:showCatName val="0"/>
          <c:showSerName val="0"/>
          <c:showPercent val="0"/>
          <c:showBubbleSize val="0"/>
        </c:dLbls>
        <c:gapWidth val="150"/>
        <c:axId val="400476080"/>
        <c:axId val="400475120"/>
      </c:barChart>
      <c:catAx>
        <c:axId val="4004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5120"/>
        <c:crosses val="autoZero"/>
        <c:auto val="1"/>
        <c:lblAlgn val="ctr"/>
        <c:lblOffset val="100"/>
        <c:noMultiLvlLbl val="0"/>
      </c:catAx>
      <c:valAx>
        <c:axId val="40047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6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Region-wise Sales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Region-wise Sales Distribution</a:t>
          </a:r>
        </a:p>
      </cx:txPr>
    </cx:title>
    <cx:plotArea>
      <cx:plotAreaRegion>
        <cx:series layoutId="clusteredColumn" uniqueId="{29B19E2B-E10B-4732-B939-78108CFE2D64}">
          <cx:tx>
            <cx:txData>
              <cx:f>_xlchart.v1.1</cx:f>
              <cx:v>Sales</cx:v>
            </cx:txData>
          </cx:tx>
          <cx:dataId val="0"/>
          <cx:layoutPr>
            <cx:aggregation/>
          </cx:layoutPr>
          <cx:axisId val="1"/>
        </cx:series>
        <cx:series layoutId="paretoLine" ownerIdx="0" uniqueId="{09A1CD6C-F6E9-4FA2-84B0-C7793453F306}">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9.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6</xdr:col>
      <xdr:colOff>76200</xdr:colOff>
      <xdr:row>2</xdr:row>
      <xdr:rowOff>31750</xdr:rowOff>
    </xdr:from>
    <xdr:to>
      <xdr:col>9</xdr:col>
      <xdr:colOff>247650</xdr:colOff>
      <xdr:row>11</xdr:row>
      <xdr:rowOff>82550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CF167F7-C329-1C3F-67BB-E4C593B176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94400" y="400050"/>
              <a:ext cx="2000250" cy="170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425450</xdr:colOff>
      <xdr:row>1</xdr:row>
      <xdr:rowOff>171450</xdr:rowOff>
    </xdr:from>
    <xdr:to>
      <xdr:col>14</xdr:col>
      <xdr:colOff>273050</xdr:colOff>
      <xdr:row>11</xdr:row>
      <xdr:rowOff>82550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8AE2DEDF-AE41-5735-FDA0-EB6471AB63C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72450" y="355600"/>
              <a:ext cx="28956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511175</xdr:colOff>
      <xdr:row>1</xdr:row>
      <xdr:rowOff>120650</xdr:rowOff>
    </xdr:from>
    <xdr:to>
      <xdr:col>11</xdr:col>
      <xdr:colOff>206375</xdr:colOff>
      <xdr:row>16</xdr:row>
      <xdr:rowOff>101600</xdr:rowOff>
    </xdr:to>
    <xdr:graphicFrame macro="">
      <xdr:nvGraphicFramePr>
        <xdr:cNvPr id="2" name="Chart 1">
          <a:extLst>
            <a:ext uri="{FF2B5EF4-FFF2-40B4-BE49-F238E27FC236}">
              <a16:creationId xmlns:a16="http://schemas.microsoft.com/office/drawing/2014/main" id="{B2387975-CABF-0EB1-56D0-1C484EFFC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485367</xdr:colOff>
      <xdr:row>0</xdr:row>
      <xdr:rowOff>100027</xdr:rowOff>
    </xdr:from>
    <xdr:to>
      <xdr:col>11</xdr:col>
      <xdr:colOff>180567</xdr:colOff>
      <xdr:row>15</xdr:row>
      <xdr:rowOff>80977</xdr:rowOff>
    </xdr:to>
    <xdr:graphicFrame macro="">
      <xdr:nvGraphicFramePr>
        <xdr:cNvPr id="2" name="Chart 1">
          <a:extLst>
            <a:ext uri="{FF2B5EF4-FFF2-40B4-BE49-F238E27FC236}">
              <a16:creationId xmlns:a16="http://schemas.microsoft.com/office/drawing/2014/main" id="{57455F1B-C7CD-95E8-7296-FB06A0D72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556936</xdr:colOff>
      <xdr:row>24</xdr:row>
      <xdr:rowOff>44042</xdr:rowOff>
    </xdr:from>
    <xdr:to>
      <xdr:col>11</xdr:col>
      <xdr:colOff>235358</xdr:colOff>
      <xdr:row>38</xdr:row>
      <xdr:rowOff>177333</xdr:rowOff>
    </xdr:to>
    <xdr:graphicFrame macro="">
      <xdr:nvGraphicFramePr>
        <xdr:cNvPr id="4" name="Chart 3">
          <a:extLst>
            <a:ext uri="{FF2B5EF4-FFF2-40B4-BE49-F238E27FC236}">
              <a16:creationId xmlns:a16="http://schemas.microsoft.com/office/drawing/2014/main" id="{FCD68E78-4617-332D-7D7D-E8DB336D1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496</xdr:row>
      <xdr:rowOff>82550</xdr:rowOff>
    </xdr:from>
    <xdr:to>
      <xdr:col>9</xdr:col>
      <xdr:colOff>533400</xdr:colOff>
      <xdr:row>511</xdr:row>
      <xdr:rowOff>63500</xdr:rowOff>
    </xdr:to>
    <xdr:graphicFrame macro="">
      <xdr:nvGraphicFramePr>
        <xdr:cNvPr id="2" name="Chart 1">
          <a:extLst>
            <a:ext uri="{FF2B5EF4-FFF2-40B4-BE49-F238E27FC236}">
              <a16:creationId xmlns:a16="http://schemas.microsoft.com/office/drawing/2014/main" id="{AC5EEE4F-99CF-CEB6-594B-919D8CF89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251309</xdr:colOff>
      <xdr:row>0</xdr:row>
      <xdr:rowOff>116345</xdr:rowOff>
    </xdr:from>
    <xdr:to>
      <xdr:col>12</xdr:col>
      <xdr:colOff>528988</xdr:colOff>
      <xdr:row>15</xdr:row>
      <xdr:rowOff>115053</xdr:rowOff>
    </xdr:to>
    <xdr:graphicFrame macro="">
      <xdr:nvGraphicFramePr>
        <xdr:cNvPr id="4" name="Chart 3">
          <a:extLst>
            <a:ext uri="{FF2B5EF4-FFF2-40B4-BE49-F238E27FC236}">
              <a16:creationId xmlns:a16="http://schemas.microsoft.com/office/drawing/2014/main" id="{A74FF9E6-2036-6139-025E-3EDCA67F0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228600</xdr:colOff>
      <xdr:row>2</xdr:row>
      <xdr:rowOff>19050</xdr:rowOff>
    </xdr:from>
    <xdr:to>
      <xdr:col>8</xdr:col>
      <xdr:colOff>533400</xdr:colOff>
      <xdr:row>17</xdr:row>
      <xdr:rowOff>0</xdr:rowOff>
    </xdr:to>
    <xdr:graphicFrame macro="">
      <xdr:nvGraphicFramePr>
        <xdr:cNvPr id="3" name="Chart 2">
          <a:extLst>
            <a:ext uri="{FF2B5EF4-FFF2-40B4-BE49-F238E27FC236}">
              <a16:creationId xmlns:a16="http://schemas.microsoft.com/office/drawing/2014/main" id="{7414F27D-7F85-FB0C-2453-F1974D3B5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41275</xdr:colOff>
      <xdr:row>2</xdr:row>
      <xdr:rowOff>152400</xdr:rowOff>
    </xdr:from>
    <xdr:to>
      <xdr:col>19</xdr:col>
      <xdr:colOff>346075</xdr:colOff>
      <xdr:row>17</xdr:row>
      <xdr:rowOff>133350</xdr:rowOff>
    </xdr:to>
    <xdr:graphicFrame macro="">
      <xdr:nvGraphicFramePr>
        <xdr:cNvPr id="4" name="Chart 3">
          <a:extLst>
            <a:ext uri="{FF2B5EF4-FFF2-40B4-BE49-F238E27FC236}">
              <a16:creationId xmlns:a16="http://schemas.microsoft.com/office/drawing/2014/main" id="{FE5666CC-A70B-75D3-7FF7-6AF89D679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225425</xdr:colOff>
      <xdr:row>22</xdr:row>
      <xdr:rowOff>147637</xdr:rowOff>
    </xdr:from>
    <xdr:to>
      <xdr:col>8</xdr:col>
      <xdr:colOff>528638</xdr:colOff>
      <xdr:row>37</xdr:row>
      <xdr:rowOff>128587</xdr:rowOff>
    </xdr:to>
    <xdr:graphicFrame macro="">
      <xdr:nvGraphicFramePr>
        <xdr:cNvPr id="5" name="Chart 4">
          <a:extLst>
            <a:ext uri="{FF2B5EF4-FFF2-40B4-BE49-F238E27FC236}">
              <a16:creationId xmlns:a16="http://schemas.microsoft.com/office/drawing/2014/main" id="{7157242A-FE0D-4E6C-AB63-C0750C51B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95249</xdr:colOff>
      <xdr:row>22</xdr:row>
      <xdr:rowOff>47625</xdr:rowOff>
    </xdr:from>
    <xdr:to>
      <xdr:col>19</xdr:col>
      <xdr:colOff>382587</xdr:colOff>
      <xdr:row>37</xdr:row>
      <xdr:rowOff>31750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54B4E07-39DB-4E73-84ED-928A66B605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768589" y="4070985"/>
              <a:ext cx="4554538" cy="2727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400050</xdr:colOff>
      <xdr:row>2</xdr:row>
      <xdr:rowOff>104775</xdr:rowOff>
    </xdr:from>
    <xdr:to>
      <xdr:col>28</xdr:col>
      <xdr:colOff>109427</xdr:colOff>
      <xdr:row>17</xdr:row>
      <xdr:rowOff>162146</xdr:rowOff>
    </xdr:to>
    <xdr:graphicFrame macro="">
      <xdr:nvGraphicFramePr>
        <xdr:cNvPr id="7" name="Chart 6">
          <a:extLst>
            <a:ext uri="{FF2B5EF4-FFF2-40B4-BE49-F238E27FC236}">
              <a16:creationId xmlns:a16="http://schemas.microsoft.com/office/drawing/2014/main" id="{E6D878CD-084B-4892-9BF8-FD115BE42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I" refreshedDate="45893.76860949074" createdVersion="8" refreshedVersion="8" minRefreshableVersion="3" recordCount="1051" xr:uid="{6FA194CC-DEFC-4E17-B8F4-1B4D60E5122A}">
  <cacheSource type="worksheet">
    <worksheetSource ref="A1:N1048576" sheet="Sales_Data_Analysis "/>
  </cacheSource>
  <cacheFields count="17">
    <cacheField name="Date" numFmtId="0">
      <sharedItems containsNonDate="0" containsDate="1" containsString="0" containsBlank="1" minDate="2022-01-01T00:00:00" maxDate="2024-01-02T00:00:00" count="547">
        <d v="2022-06-26T00:00:00"/>
        <d v="2023-06-19T00:00:00"/>
        <d v="2022-03-01T00:00:00"/>
        <d v="2023-02-25T00:00:00"/>
        <d v="2022-04-21T00:00:00"/>
        <d v="2023-05-16T00:00:00"/>
        <d v="2022-03-22T00:00:00"/>
        <d v="2022-05-23T00:00:00"/>
        <d v="2023-01-02T00:00:00"/>
        <d v="2023-12-02T00:00:00"/>
        <d v="2022-06-08T00:00:00"/>
        <d v="2023-05-09T00:00:00"/>
        <d v="2023-05-12T00:00:00"/>
        <d v="2023-09-17T00:00:00"/>
        <d v="2023-03-10T00:00:00"/>
        <d v="2023-12-31T00:00:00"/>
        <d v="2023-04-29T00:00:00"/>
        <d v="2023-12-06T00:00:00"/>
        <d v="2022-09-08T00:00:00"/>
        <d v="2023-03-29T00:00:00"/>
        <d v="2022-05-03T00:00:00"/>
        <d v="2023-06-29T00:00:00"/>
        <d v="2023-06-01T00:00:00"/>
        <d v="2022-10-05T00:00:00"/>
        <d v="2022-10-22T00:00:00"/>
        <d v="2022-04-03T00:00:00"/>
        <d v="2022-07-06T00:00:00"/>
        <d v="2023-12-07T00:00:00"/>
        <d v="2022-08-10T00:00:00"/>
        <d v="2023-07-13T00:00:00"/>
        <d v="2023-05-11T00:00:00"/>
        <d v="2023-10-07T00:00:00"/>
        <d v="2023-05-03T00:00:00"/>
        <d v="2023-12-16T00:00:00"/>
        <d v="2022-08-29T00:00:00"/>
        <d v="2023-01-14T00:00:00"/>
        <d v="2023-07-26T00:00:00"/>
        <d v="2022-07-21T00:00:00"/>
        <d v="2022-09-20T00:00:00"/>
        <d v="2022-09-01T00:00:00"/>
        <d v="2023-11-28T00:00:00"/>
        <d v="2022-07-02T00:00:00"/>
        <d v="2022-06-09T00:00:00"/>
        <d v="2022-07-29T00:00:00"/>
        <d v="2022-09-19T00:00:00"/>
        <d v="2023-08-04T00:00:00"/>
        <d v="2023-02-06T00:00:00"/>
        <d v="2023-03-21T00:00:00"/>
        <d v="2023-10-18T00:00:00"/>
        <d v="2023-08-15T00:00:00"/>
        <d v="2022-03-13T00:00:00"/>
        <d v="2022-06-12T00:00:00"/>
        <d v="2023-12-22T00:00:00"/>
        <d v="2022-09-27T00:00:00"/>
        <d v="2022-07-30T00:00:00"/>
        <d v="2023-01-15T00:00:00"/>
        <d v="2022-09-26T00:00:00"/>
        <d v="2023-02-27T00:00:00"/>
        <d v="2023-11-26T00:00:00"/>
        <d v="2023-09-02T00:00:00"/>
        <d v="2022-04-16T00:00:00"/>
        <d v="2022-06-10T00:00:00"/>
        <d v="2022-08-07T00:00:00"/>
        <d v="2023-08-13T00:00:00"/>
        <d v="2022-05-18T00:00:00"/>
        <d v="2022-11-05T00:00:00"/>
        <d v="2023-07-30T00:00:00"/>
        <d v="2022-10-02T00:00:00"/>
        <d v="2023-07-04T00:00:00"/>
        <d v="2023-04-09T00:00:00"/>
        <d v="2023-12-25T00:00:00"/>
        <d v="2022-08-08T00:00:00"/>
        <d v="2022-03-09T00:00:00"/>
        <d v="2023-04-16T00:00:00"/>
        <d v="2022-07-09T00:00:00"/>
        <d v="2023-10-03T00:00:00"/>
        <d v="2022-05-27T00:00:00"/>
        <d v="2023-03-19T00:00:00"/>
        <d v="2022-04-28T00:00:00"/>
        <d v="2022-07-01T00:00:00"/>
        <d v="2023-05-17T00:00:00"/>
        <d v="2023-04-11T00:00:00"/>
        <d v="2022-10-15T00:00:00"/>
        <d v="2023-07-17T00:00:00"/>
        <d v="2022-10-29T00:00:00"/>
        <d v="2022-02-04T00:00:00"/>
        <d v="2022-09-16T00:00:00"/>
        <d v="2023-07-12T00:00:00"/>
        <d v="2022-07-24T00:00:00"/>
        <d v="2022-10-30T00:00:00"/>
        <d v="2023-04-02T00:00:00"/>
        <d v="2022-10-27T00:00:00"/>
        <d v="2022-09-11T00:00:00"/>
        <d v="2022-12-25T00:00:00"/>
        <d v="2023-11-24T00:00:00"/>
        <d v="2022-05-24T00:00:00"/>
        <d v="2023-11-23T00:00:00"/>
        <d v="2023-06-17T00:00:00"/>
        <d v="2022-10-11T00:00:00"/>
        <d v="2022-09-29T00:00:00"/>
        <d v="2022-09-06T00:00:00"/>
        <d v="2022-08-02T00:00:00"/>
        <d v="2023-11-17T00:00:00"/>
        <d v="2023-06-11T00:00:00"/>
        <d v="2022-09-04T00:00:00"/>
        <d v="2022-10-09T00:00:00"/>
        <d v="2022-08-28T00:00:00"/>
        <d v="2022-11-21T00:00:00"/>
        <d v="2022-12-23T00:00:00"/>
        <d v="2022-08-27T00:00:00"/>
        <d v="2022-05-25T00:00:00"/>
        <d v="2022-04-14T00:00:00"/>
        <d v="2023-08-06T00:00:00"/>
        <d v="2023-01-24T00:00:00"/>
        <d v="2023-11-30T00:00:00"/>
        <d v="2022-06-15T00:00:00"/>
        <d v="2022-07-17T00:00:00"/>
        <d v="2022-08-03T00:00:00"/>
        <d v="2023-03-15T00:00:00"/>
        <d v="2022-05-31T00:00:00"/>
        <d v="2023-04-13T00:00:00"/>
        <d v="2023-02-17T00:00:00"/>
        <d v="2022-07-19T00:00:00"/>
        <d v="2023-11-02T00:00:00"/>
        <d v="2023-09-13T00:00:00"/>
        <d v="2022-03-24T00:00:00"/>
        <d v="2023-03-03T00:00:00"/>
        <d v="2023-10-27T00:00:00"/>
        <d v="2023-10-31T00:00:00"/>
        <d v="2022-08-19T00:00:00"/>
        <d v="2023-08-05T00:00:00"/>
        <d v="2022-02-08T00:00:00"/>
        <d v="2023-02-07T00:00:00"/>
        <d v="2023-09-28T00:00:00"/>
        <d v="2023-08-19T00:00:00"/>
        <d v="2022-01-22T00:00:00"/>
        <d v="2023-08-02T00:00:00"/>
        <d v="2023-03-27T00:00:00"/>
        <d v="2022-06-03T00:00:00"/>
        <d v="2023-05-23T00:00:00"/>
        <d v="2022-05-06T00:00:00"/>
        <d v="2022-12-24T00:00:00"/>
        <d v="2023-05-21T00:00:00"/>
        <d v="2023-07-14T00:00:00"/>
        <d v="2022-06-28T00:00:00"/>
        <d v="2022-09-02T00:00:00"/>
        <d v="2023-05-15T00:00:00"/>
        <d v="2023-02-11T00:00:00"/>
        <d v="2022-10-23T00:00:00"/>
        <d v="2023-02-28T00:00:00"/>
        <d v="2023-09-14T00:00:00"/>
        <d v="2022-12-16T00:00:00"/>
        <d v="2022-06-29T00:00:00"/>
        <d v="2023-06-05T00:00:00"/>
        <d v="2023-08-03T00:00:00"/>
        <d v="2022-12-06T00:00:00"/>
        <d v="2023-12-19T00:00:00"/>
        <d v="2022-07-25T00:00:00"/>
        <d v="2023-05-31T00:00:00"/>
        <d v="2022-04-02T00:00:00"/>
        <d v="2022-10-18T00:00:00"/>
        <d v="2022-11-20T00:00:00"/>
        <d v="2023-12-29T00:00:00"/>
        <d v="2022-03-28T00:00:00"/>
        <d v="2022-07-23T00:00:00"/>
        <d v="2022-06-30T00:00:00"/>
        <d v="2022-12-27T00:00:00"/>
        <d v="2022-09-07T00:00:00"/>
        <d v="2022-08-05T00:00:00"/>
        <d v="2022-09-13T00:00:00"/>
        <d v="2022-04-07T00:00:00"/>
        <d v="2023-09-08T00:00:00"/>
        <d v="2023-06-04T00:00:00"/>
        <d v="2022-06-23T00:00:00"/>
        <d v="2022-07-22T00:00:00"/>
        <d v="2023-02-18T00:00:00"/>
        <d v="2022-11-12T00:00:00"/>
        <d v="2023-01-26T00:00:00"/>
        <d v="2022-06-18T00:00:00"/>
        <d v="2022-04-08T00:00:00"/>
        <d v="2023-10-09T00:00:00"/>
        <d v="2022-08-23T00:00:00"/>
        <d v="2023-10-25T00:00:00"/>
        <d v="2023-04-26T00:00:00"/>
        <d v="2023-03-04T00:00:00"/>
        <d v="2023-05-27T00:00:00"/>
        <d v="2022-12-26T00:00:00"/>
        <d v="2022-01-04T00:00:00"/>
        <d v="2023-02-16T00:00:00"/>
        <d v="2022-09-21T00:00:00"/>
        <d v="2023-08-09T00:00:00"/>
        <d v="2022-07-15T00:00:00"/>
        <d v="2022-06-01T00:00:00"/>
        <d v="2023-04-30T00:00:00"/>
        <d v="2022-12-03T00:00:00"/>
        <d v="2023-04-24T00:00:00"/>
        <d v="2022-03-14T00:00:00"/>
        <d v="2022-07-05T00:00:00"/>
        <d v="2022-04-12T00:00:00"/>
        <d v="2023-05-25T00:00:00"/>
        <d v="2022-01-15T00:00:00"/>
        <d v="2023-01-22T00:00:00"/>
        <d v="2022-10-24T00:00:00"/>
        <d v="2023-11-12T00:00:00"/>
        <d v="2022-10-13T00:00:00"/>
        <d v="2023-04-23T00:00:00"/>
        <d v="2023-07-10T00:00:00"/>
        <d v="2023-06-23T00:00:00"/>
        <d v="2023-01-03T00:00:00"/>
        <d v="2022-08-04T00:00:00"/>
        <d v="2023-03-01T00:00:00"/>
        <d v="2022-08-12T00:00:00"/>
        <d v="2022-03-23T00:00:00"/>
        <d v="2022-10-26T00:00:00"/>
        <d v="2022-08-15T00:00:00"/>
        <d v="2023-05-06T00:00:00"/>
        <d v="2023-06-27T00:00:00"/>
        <d v="2022-11-25T00:00:00"/>
        <d v="2022-04-06T00:00:00"/>
        <d v="2023-12-12T00:00:00"/>
        <d v="2023-09-24T00:00:00"/>
        <d v="2023-04-06T00:00:00"/>
        <d v="2023-01-10T00:00:00"/>
        <d v="2022-10-03T00:00:00"/>
        <d v="2023-04-07T00:00:00"/>
        <d v="2023-07-11T00:00:00"/>
        <d v="2022-07-18T00:00:00"/>
        <d v="2023-08-07T00:00:00"/>
        <d v="2022-09-09T00:00:00"/>
        <d v="2023-10-30T00:00:00"/>
        <d v="2022-08-01T00:00:00"/>
        <d v="2022-07-08T00:00:00"/>
        <d v="2023-11-13T00:00:00"/>
        <d v="2023-04-04T00:00:00"/>
        <d v="2023-04-17T00:00:00"/>
        <d v="2023-08-18T00:00:00"/>
        <d v="2022-10-04T00:00:00"/>
        <d v="2023-09-11T00:00:00"/>
        <d v="2022-12-21T00:00:00"/>
        <d v="2023-12-05T00:00:00"/>
        <d v="2022-04-29T00:00:00"/>
        <d v="2023-12-11T00:00:00"/>
        <d v="2022-05-16T00:00:00"/>
        <d v="2022-10-01T00:00:00"/>
        <d v="2022-07-26T00:00:00"/>
        <d v="2023-02-20T00:00:00"/>
        <d v="2022-11-13T00:00:00"/>
        <d v="2023-03-18T00:00:00"/>
        <d v="2022-07-07T00:00:00"/>
        <d v="2023-04-10T00:00:00"/>
        <d v="2023-10-19T00:00:00"/>
        <d v="2023-01-11T00:00:00"/>
        <d v="2022-02-25T00:00:00"/>
        <d v="2022-01-13T00:00:00"/>
        <d v="2022-03-18T00:00:00"/>
        <d v="2022-01-05T00:00:00"/>
        <d v="2023-04-22T00:00:00"/>
        <d v="2023-11-25T00:00:00"/>
        <d v="2023-01-19T00:00:00"/>
        <d v="2023-11-01T00:00:00"/>
        <d v="2023-12-17T00:00:00"/>
        <d v="2022-12-31T00:00:00"/>
        <d v="2022-02-06T00:00:00"/>
        <d v="2023-10-22T00:00:00"/>
        <d v="2022-05-11T00:00:00"/>
        <d v="2022-01-03T00:00:00"/>
        <d v="2023-07-20T00:00:00"/>
        <d v="2023-01-05T00:00:00"/>
        <d v="2022-11-26T00:00:00"/>
        <d v="2022-04-09T00:00:00"/>
        <d v="2022-11-15T00:00:00"/>
        <d v="2023-11-06T00:00:00"/>
        <d v="2023-08-28T00:00:00"/>
        <d v="2022-10-06T00:00:00"/>
        <d v="2023-09-29T00:00:00"/>
        <d v="2022-07-10T00:00:00"/>
        <d v="2023-06-12T00:00:00"/>
        <d v="2023-03-24T00:00:00"/>
        <d v="2023-02-04T00:00:00"/>
        <d v="2023-12-27T00:00:00"/>
        <d v="2023-11-19T00:00:00"/>
        <d v="2023-01-13T00:00:00"/>
        <d v="2023-01-30T00:00:00"/>
        <d v="2022-01-23T00:00:00"/>
        <d v="2023-08-16T00:00:00"/>
        <d v="2023-06-20T00:00:00"/>
        <d v="2022-03-06T00:00:00"/>
        <d v="2023-10-23T00:00:00"/>
        <d v="2022-11-16T00:00:00"/>
        <d v="2023-07-28T00:00:00"/>
        <d v="2023-01-01T00:00:00"/>
        <d v="2022-10-28T00:00:00"/>
        <d v="2022-11-30T00:00:00"/>
        <d v="2022-02-09T00:00:00"/>
        <d v="2023-09-15T00:00:00"/>
        <d v="2023-08-22T00:00:00"/>
        <d v="2023-01-06T00:00:00"/>
        <d v="2022-02-01T00:00:00"/>
        <d v="2023-10-11T00:00:00"/>
        <d v="2022-02-15T00:00:00"/>
        <d v="2023-06-24T00:00:00"/>
        <d v="2023-01-18T00:00:00"/>
        <d v="2022-02-26T00:00:00"/>
        <d v="2022-04-01T00:00:00"/>
        <d v="2022-12-28T00:00:00"/>
        <d v="2022-11-28T00:00:00"/>
        <d v="2022-03-07T00:00:00"/>
        <d v="2023-10-24T00:00:00"/>
        <d v="2022-01-01T00:00:00"/>
        <d v="2022-01-10T00:00:00"/>
        <d v="2022-05-17T00:00:00"/>
        <d v="2023-08-10T00:00:00"/>
        <d v="2023-03-05T00:00:00"/>
        <d v="2022-12-02T00:00:00"/>
        <d v="2022-08-31T00:00:00"/>
        <d v="2023-11-14T00:00:00"/>
        <d v="2022-03-27T00:00:00"/>
        <d v="2022-05-08T00:00:00"/>
        <d v="2022-08-06T00:00:00"/>
        <d v="2022-10-16T00:00:00"/>
        <d v="2022-06-02T00:00:00"/>
        <d v="2023-08-30T00:00:00"/>
        <d v="2022-11-19T00:00:00"/>
        <d v="2023-09-10T00:00:00"/>
        <d v="2023-05-28T00:00:00"/>
        <d v="2023-06-03T00:00:00"/>
        <d v="2023-09-27T00:00:00"/>
        <d v="2023-07-21T00:00:00"/>
        <d v="2022-08-13T00:00:00"/>
        <d v="2022-04-30T00:00:00"/>
        <d v="2022-06-24T00:00:00"/>
        <d v="2022-10-14T00:00:00"/>
        <d v="2023-12-15T00:00:00"/>
        <d v="2023-06-06T00:00:00"/>
        <d v="2023-09-23T00:00:00"/>
        <d v="2022-11-24T00:00:00"/>
        <d v="2023-04-15T00:00:00"/>
        <d v="2023-06-22T00:00:00"/>
        <d v="2022-05-20T00:00:00"/>
        <d v="2022-07-14T00:00:00"/>
        <d v="2022-01-12T00:00:00"/>
        <d v="2023-01-31T00:00:00"/>
        <d v="2022-09-03T00:00:00"/>
        <d v="2022-04-17T00:00:00"/>
        <d v="2023-09-18T00:00:00"/>
        <d v="2023-05-24T00:00:00"/>
        <d v="2023-07-24T00:00:00"/>
        <d v="2022-04-05T00:00:00"/>
        <d v="2022-12-30T00:00:00"/>
        <d v="2022-02-05T00:00:00"/>
        <d v="2023-12-24T00:00:00"/>
        <d v="2022-11-04T00:00:00"/>
        <d v="2023-07-22T00:00:00"/>
        <d v="2022-08-21T00:00:00"/>
        <d v="2023-10-01T00:00:00"/>
        <d v="2023-10-06T00:00:00"/>
        <d v="2022-01-17T00:00:00"/>
        <d v="2023-05-01T00:00:00"/>
        <d v="2023-09-20T00:00:00"/>
        <d v="2023-08-20T00:00:00"/>
        <d v="2022-07-16T00:00:00"/>
        <d v="2023-10-29T00:00:00"/>
        <d v="2023-04-25T00:00:00"/>
        <d v="2023-06-13T00:00:00"/>
        <d v="2023-06-15T00:00:00"/>
        <d v="2023-01-08T00:00:00"/>
        <d v="2022-03-02T00:00:00"/>
        <d v="2022-08-14T00:00:00"/>
        <d v="2022-02-16T00:00:00"/>
        <d v="2023-03-12T00:00:00"/>
        <d v="2022-05-10T00:00:00"/>
        <d v="2023-12-20T00:00:00"/>
        <d v="2023-11-16T00:00:00"/>
        <d v="2023-06-18T00:00:00"/>
        <d v="2022-10-25T00:00:00"/>
        <d v="2022-03-29T00:00:00"/>
        <d v="2022-05-21T00:00:00"/>
        <d v="2022-10-08T00:00:00"/>
        <d v="2023-01-09T00:00:00"/>
        <d v="2023-08-08T00:00:00"/>
        <d v="2023-08-29T00:00:00"/>
        <d v="2023-03-02T00:00:00"/>
        <d v="2023-07-02T00:00:00"/>
        <d v="2022-10-19T00:00:00"/>
        <d v="2022-07-13T00:00:00"/>
        <d v="2023-06-25T00:00:00"/>
        <d v="2022-01-07T00:00:00"/>
        <d v="2022-02-22T00:00:00"/>
        <d v="2023-05-26T00:00:00"/>
        <d v="2023-02-22T00:00:00"/>
        <d v="2023-07-15T00:00:00"/>
        <d v="2022-11-17T00:00:00"/>
        <d v="2023-05-08T00:00:00"/>
        <d v="2023-08-01T00:00:00"/>
        <d v="2022-11-10T00:00:00"/>
        <d v="2023-11-29T00:00:00"/>
        <d v="2022-11-01T00:00:00"/>
        <d v="2022-03-16T00:00:00"/>
        <d v="2023-04-20T00:00:00"/>
        <d v="2022-04-25T00:00:00"/>
        <d v="2022-06-19T00:00:00"/>
        <d v="2022-03-12T00:00:00"/>
        <d v="2022-04-20T00:00:00"/>
        <d v="2022-06-11T00:00:00"/>
        <d v="2022-05-04T00:00:00"/>
        <d v="2022-11-02T00:00:00"/>
        <d v="2022-12-11T00:00:00"/>
        <d v="2022-01-27T00:00:00"/>
        <d v="2022-05-01T00:00:00"/>
        <d v="2022-02-14T00:00:00"/>
        <d v="2023-09-21T00:00:00"/>
        <d v="2022-01-30T00:00:00"/>
        <d v="2022-01-26T00:00:00"/>
        <d v="2023-01-12T00:00:00"/>
        <d v="2022-12-19T00:00:00"/>
        <d v="2022-12-05T00:00:00"/>
        <d v="2022-02-28T00:00:00"/>
        <d v="2022-08-26T00:00:00"/>
        <d v="2022-12-14T00:00:00"/>
        <d v="2023-12-08T00:00:00"/>
        <d v="2023-05-14T00:00:00"/>
        <d v="2022-11-08T00:00:00"/>
        <d v="2022-05-14T00:00:00"/>
        <d v="2023-09-03T00:00:00"/>
        <d v="2022-02-21T00:00:00"/>
        <d v="2022-11-23T00:00:00"/>
        <d v="2023-04-05T00:00:00"/>
        <d v="2022-01-08T00:00:00"/>
        <d v="2022-05-05T00:00:00"/>
        <d v="2022-06-20T00:00:00"/>
        <d v="2023-01-27T00:00:00"/>
        <d v="2022-12-29T00:00:00"/>
        <d v="2023-09-22T00:00:00"/>
        <d v="2022-01-09T00:00:00"/>
        <d v="2023-09-09T00:00:00"/>
        <d v="2022-10-31T00:00:00"/>
        <d v="2024-01-01T00:00:00"/>
        <d v="2023-04-03T00:00:00"/>
        <d v="2022-01-29T00:00:00"/>
        <d v="2022-02-02T00:00:00"/>
        <d v="2023-11-05T00:00:00"/>
        <d v="2022-10-21T00:00:00"/>
        <d v="2023-02-14T00:00:00"/>
        <d v="2022-12-13T00:00:00"/>
        <d v="2023-09-25T00:00:00"/>
        <d v="2023-05-10T00:00:00"/>
        <d v="2023-04-18T00:00:00"/>
        <d v="2023-06-08T00:00:00"/>
        <d v="2022-04-27T00:00:00"/>
        <d v="2023-12-14T00:00:00"/>
        <d v="2022-06-05T00:00:00"/>
        <d v="2022-05-15T00:00:00"/>
        <d v="2023-06-09T00:00:00"/>
        <d v="2022-07-28T00:00:00"/>
        <d v="2022-04-04T00:00:00"/>
        <d v="2022-03-31T00:00:00"/>
        <d v="2023-02-09T00:00:00"/>
        <d v="2022-06-22T00:00:00"/>
        <d v="2022-10-12T00:00:00"/>
        <d v="2022-10-07T00:00:00"/>
        <d v="2022-12-08T00:00:00"/>
        <d v="2023-06-30T00:00:00"/>
        <d v="2023-11-07T00:00:00"/>
        <d v="2023-01-23T00:00:00"/>
        <d v="2022-03-19T00:00:00"/>
        <d v="2022-02-03T00:00:00"/>
        <d v="2022-06-07T00:00:00"/>
        <d v="2022-07-12T00:00:00"/>
        <d v="2022-09-17T00:00:00"/>
        <d v="2023-06-21T00:00:00"/>
        <d v="2023-02-24T00:00:00"/>
        <d v="2022-09-18T00:00:00"/>
        <d v="2023-11-22T00:00:00"/>
        <d v="2023-10-17T00:00:00"/>
        <d v="2023-06-10T00:00:00"/>
        <d v="2023-05-18T00:00:00"/>
        <d v="2023-03-06T00:00:00"/>
        <d v="2022-11-06T00:00:00"/>
        <d v="2023-12-26T00:00:00"/>
        <d v="2023-01-25T00:00:00"/>
        <d v="2023-02-03T00:00:00"/>
        <d v="2022-01-21T00:00:00"/>
        <d v="2022-09-22T00:00:00"/>
        <d v="2022-06-25T00:00:00"/>
        <d v="2022-12-18T00:00:00"/>
        <d v="2022-02-19T00:00:00"/>
        <d v="2023-12-04T00:00:00"/>
        <d v="2023-02-21T00:00:00"/>
        <d v="2022-04-11T00:00:00"/>
        <d v="2022-05-07T00:00:00"/>
        <d v="2022-12-17T00:00:00"/>
        <d v="2022-01-06T00:00:00"/>
        <d v="2022-07-11T00:00:00"/>
        <d v="2022-12-12T00:00:00"/>
        <d v="2023-08-11T00:00:00"/>
        <d v="2023-03-28T00:00:00"/>
        <d v="2022-11-22T00:00:00"/>
        <d v="2023-01-17T00:00:00"/>
        <d v="2022-01-28T00:00:00"/>
        <d v="2022-02-18T00:00:00"/>
        <d v="2023-09-12T00:00:00"/>
        <d v="2022-02-27T00:00:00"/>
        <d v="2022-09-14T00:00:00"/>
        <d v="2023-08-27T00:00:00"/>
        <d v="2022-02-24T00:00:00"/>
        <d v="2023-02-13T00:00:00"/>
        <d v="2022-04-15T00:00:00"/>
        <d v="2023-02-15T00:00:00"/>
        <d v="2022-08-24T00:00:00"/>
        <d v="2022-12-04T00:00:00"/>
        <d v="2022-09-10T00:00:00"/>
        <d v="2023-04-14T00:00:00"/>
        <d v="2022-03-03T00:00:00"/>
        <d v="2023-01-04T00:00:00"/>
        <d v="2022-11-11T00:00:00"/>
        <d v="2023-06-07T00:00:00"/>
        <d v="2023-07-03T00:00:00"/>
        <d v="2023-02-19T00:00:00"/>
        <d v="2022-01-31T00:00:00"/>
        <d v="2023-08-21T00:00:00"/>
        <d v="2023-08-17T00:00:00"/>
        <d v="2023-03-08T00:00:00"/>
        <d v="2023-04-21T00:00:00"/>
        <d v="2023-03-07T00:00:00"/>
        <d v="2023-07-18T00:00:00"/>
        <d v="2023-03-11T00:00:00"/>
        <d v="2023-12-23T00:00:00"/>
        <d v="2022-06-06T00:00:00"/>
        <d v="2023-08-26T00:00:00"/>
        <d v="2023-09-07T00:00:00"/>
        <d v="2022-04-19T00:00:00"/>
        <d v="2023-11-10T00:00:00"/>
        <d v="2022-06-04T00:00:00"/>
        <d v="2022-12-09T00:00:00"/>
        <d v="2022-01-16T00:00:00"/>
        <d v="2023-08-31T00:00:00"/>
        <d v="2023-10-05T00:00:00"/>
        <d v="2022-09-28T00:00:00"/>
        <d v="2022-03-20T00:00:00"/>
        <d v="2022-12-22T00:00:00"/>
        <d v="2022-03-30T00:00:00"/>
        <d v="2023-02-12T00:00:00"/>
        <d v="2023-05-19T00:00:00"/>
        <d v="2023-06-26T00:00:00"/>
        <d v="2023-05-29T00:00:00"/>
        <d v="2023-12-13T00:00:00"/>
        <m/>
      </sharedItems>
      <fieldGroup par="16"/>
    </cacheField>
    <cacheField name="Region" numFmtId="0">
      <sharedItems containsBlank="1" count="6">
        <s v="West"/>
        <s v="East"/>
        <s v="Central"/>
        <s v="North"/>
        <s v="South"/>
        <m/>
      </sharedItems>
    </cacheField>
    <cacheField name="Product Category" numFmtId="0">
      <sharedItems containsBlank="1" count="6">
        <s v="Electronics"/>
        <s v="Clothing"/>
        <s v="Books"/>
        <s v="Home Goods"/>
        <s v="Food"/>
        <m/>
      </sharedItems>
    </cacheField>
    <cacheField name="Product Name" numFmtId="0">
      <sharedItems containsBlank="1" count="21">
        <s v="Headphones"/>
        <s v="Sweater"/>
        <s v="Sci-Fi"/>
        <s v="Dress"/>
        <s v="Rug"/>
        <s v="Mystery"/>
        <s v="Grains"/>
        <s v="Non-Fiction"/>
        <s v="Laptop"/>
        <s v="Jeans"/>
        <s v="Produce"/>
        <s v="Chair"/>
        <s v="Table"/>
        <s v="Smartphone"/>
        <s v="Tablet"/>
        <s v="Lamp"/>
        <s v="Fiction"/>
        <s v="Beverages"/>
        <s v="Snacks"/>
        <s v="T-Shirt"/>
        <m/>
      </sharedItems>
    </cacheField>
    <cacheField name="Units Sold" numFmtId="0">
      <sharedItems containsString="0" containsBlank="1" containsNumber="1" containsInteger="1" minValue="1" maxValue="50"/>
    </cacheField>
    <cacheField name="Sales" numFmtId="0">
      <sharedItems containsString="0" containsBlank="1" containsNumber="1" minValue="41.69" maxValue="23697.95"/>
    </cacheField>
    <cacheField name="Customer Gender" numFmtId="0">
      <sharedItems containsBlank="1"/>
    </cacheField>
    <cacheField name="Customer Satisfaction" numFmtId="0">
      <sharedItems containsString="0" containsBlank="1" containsNumber="1" containsInteger="1" minValue="1" maxValue="5"/>
    </cacheField>
    <cacheField name="Product Cost" numFmtId="0">
      <sharedItems containsString="0" containsBlank="1" containsNumber="1" minValue="8.82" maxValue="11796.37"/>
    </cacheField>
    <cacheField name="Profit" numFmtId="0">
      <sharedItems containsString="0" containsBlank="1" containsNumber="1" minValue="-8442.1299999999992" maxValue="23071.360000000001"/>
    </cacheField>
    <cacheField name="Month" numFmtId="0">
      <sharedItems containsBlank="1" count="13">
        <s v="June"/>
        <s v="March"/>
        <s v="February"/>
        <s v="April"/>
        <s v="May"/>
        <s v="January"/>
        <s v="December"/>
        <s v="September"/>
        <s v="October"/>
        <s v="July"/>
        <s v="August"/>
        <s v="November"/>
        <m/>
      </sharedItems>
    </cacheField>
    <cacheField name="Quarter" numFmtId="0">
      <sharedItems containsBlank="1"/>
    </cacheField>
    <cacheField name="Year" numFmtId="0">
      <sharedItems containsString="0" containsBlank="1" containsNumber="1" containsInteger="1" minValue="2022" maxValue="2024"/>
    </cacheField>
    <cacheField name="PaymentMode" numFmtId="0">
      <sharedItems containsBlank="1" count="6">
        <s v="Credit Card"/>
        <s v="COD"/>
        <s v="UPI"/>
        <s v="EMI"/>
        <s v="Debit Card"/>
        <m/>
      </sharedItems>
    </cacheField>
    <cacheField name="Months (Date)" numFmtId="0" databaseField="0">
      <fieldGroup base="0">
        <rangePr groupBy="months" startDate="2022-01-01T00:00:00" endDate="2024-01-02T00:00:00"/>
        <groupItems count="14">
          <s v="&lt;01-01-2022"/>
          <s v="Jan"/>
          <s v="Feb"/>
          <s v="Mar"/>
          <s v="Apr"/>
          <s v="May"/>
          <s v="Jun"/>
          <s v="Jul"/>
          <s v="Aug"/>
          <s v="Sep"/>
          <s v="Oct"/>
          <s v="Nov"/>
          <s v="Dec"/>
          <s v="&gt;02-01-2024"/>
        </groupItems>
      </fieldGroup>
    </cacheField>
    <cacheField name="Quarters (Date)" numFmtId="0" databaseField="0">
      <fieldGroup base="0">
        <rangePr groupBy="quarters" startDate="2022-01-01T00:00:00" endDate="2024-01-02T00:00:00"/>
        <groupItems count="6">
          <s v="&lt;01-01-2022"/>
          <s v="Qtr1"/>
          <s v="Qtr2"/>
          <s v="Qtr3"/>
          <s v="Qtr4"/>
          <s v="&gt;02-01-2024"/>
        </groupItems>
      </fieldGroup>
    </cacheField>
    <cacheField name="Years (Date)" numFmtId="0" databaseField="0">
      <fieldGroup base="0">
        <rangePr groupBy="years" startDate="2022-01-01T00:00:00" endDate="2024-01-02T00:00:00"/>
        <groupItems count="5">
          <s v="&lt;01-01-2022"/>
          <s v="2022"/>
          <s v="2023"/>
          <s v="2024"/>
          <s v="&gt;02-01-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I" refreshedDate="45893.788698958335" createdVersion="8" refreshedVersion="8" minRefreshableVersion="3" recordCount="1051" xr:uid="{E4196160-894B-4BC6-BA54-B9E96E8A2A8A}">
  <cacheSource type="worksheet">
    <worksheetSource ref="F1:F1048576" sheet="Sales_Data_Analysis "/>
  </cacheSource>
  <cacheFields count="1">
    <cacheField name="Sales" numFmtId="0">
      <sharedItems containsString="0" containsBlank="1" containsNumber="1" minValue="41.69" maxValue="23697.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I" refreshedDate="45893.789978703702" createdVersion="8" refreshedVersion="8" minRefreshableVersion="3" recordCount="1051" xr:uid="{B60A60AE-A19D-4CA1-9782-D724D92866EC}">
  <cacheSource type="worksheet">
    <worksheetSource ref="J1:J1048576" sheet="Sales_Data_Analysis "/>
  </cacheSource>
  <cacheFields count="1">
    <cacheField name="Profit" numFmtId="0">
      <sharedItems containsString="0" containsBlank="1" containsNumber="1" minValue="-8442.1299999999992" maxValue="23071.36000000000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I" refreshedDate="45893.79564502315" createdVersion="8" refreshedVersion="8" minRefreshableVersion="3" recordCount="1050" xr:uid="{88AA5413-2CEF-44C8-9A91-1B52217713C3}">
  <cacheSource type="worksheet">
    <worksheetSource name="Sales_Data_Analysis__3"/>
  </cacheSource>
  <cacheFields count="14">
    <cacheField name="Date" numFmtId="14">
      <sharedItems containsSemiMixedTypes="0" containsNonDate="0" containsDate="1" containsString="0" minDate="2022-01-01T00:00:00" maxDate="2024-01-02T00:00:00"/>
    </cacheField>
    <cacheField name="Region" numFmtId="0">
      <sharedItems count="5">
        <s v="West"/>
        <s v="East"/>
        <s v="Central"/>
        <s v="North"/>
        <s v="South"/>
      </sharedItems>
    </cacheField>
    <cacheField name="Product Category" numFmtId="0">
      <sharedItems count="5">
        <s v="Electronics"/>
        <s v="Clothing"/>
        <s v="Books"/>
        <s v="Home Goods"/>
        <s v="Food"/>
      </sharedItems>
    </cacheField>
    <cacheField name="Product Name" numFmtId="0">
      <sharedItems/>
    </cacheField>
    <cacheField name="Units Sold" numFmtId="0">
      <sharedItems containsSemiMixedTypes="0" containsString="0" containsNumber="1" containsInteger="1" minValue="1" maxValue="50"/>
    </cacheField>
    <cacheField name="Sales" numFmtId="0">
      <sharedItems containsSemiMixedTypes="0" containsString="0" containsNumber="1" minValue="41.69" maxValue="23697.95"/>
    </cacheField>
    <cacheField name="Customer Gender" numFmtId="0">
      <sharedItems/>
    </cacheField>
    <cacheField name="Customer Satisfaction" numFmtId="0">
      <sharedItems containsSemiMixedTypes="0" containsString="0" containsNumber="1" containsInteger="1" minValue="1" maxValue="5"/>
    </cacheField>
    <cacheField name="Product Cost" numFmtId="0">
      <sharedItems containsSemiMixedTypes="0" containsString="0" containsNumber="1" minValue="8.82" maxValue="11796.37"/>
    </cacheField>
    <cacheField name="Profit" numFmtId="0">
      <sharedItems containsSemiMixedTypes="0" containsString="0" containsNumber="1" minValue="-8442.1299999999992" maxValue="23071.360000000001"/>
    </cacheField>
    <cacheField name="Month" numFmtId="0">
      <sharedItems count="12">
        <s v="June"/>
        <s v="March"/>
        <s v="February"/>
        <s v="April"/>
        <s v="May"/>
        <s v="January"/>
        <s v="December"/>
        <s v="September"/>
        <s v="October"/>
        <s v="July"/>
        <s v="August"/>
        <s v="November"/>
      </sharedItems>
    </cacheField>
    <cacheField name="Quarter" numFmtId="0">
      <sharedItems/>
    </cacheField>
    <cacheField name="Year" numFmtId="0">
      <sharedItems containsSemiMixedTypes="0" containsString="0" containsNumber="1" containsInteger="1" minValue="2022" maxValue="2024"/>
    </cacheField>
    <cacheField name="PaymentMod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I" refreshedDate="45893.855903124997" createdVersion="8" refreshedVersion="8" minRefreshableVersion="3" recordCount="1050" xr:uid="{FEE0D08A-C61A-49B6-B7FD-8D5AC69FC071}">
  <cacheSource type="worksheet">
    <worksheetSource name="Sales_Data_Analysis__3"/>
  </cacheSource>
  <cacheFields count="17">
    <cacheField name="Date" numFmtId="14">
      <sharedItems containsSemiMixedTypes="0" containsNonDate="0" containsDate="1" containsString="0" minDate="2022-01-01T00:00:00" maxDate="2024-01-02T00:00:00" count="546">
        <d v="2022-06-26T00:00:00"/>
        <d v="2023-06-19T00:00:00"/>
        <d v="2022-03-01T00:00:00"/>
        <d v="2023-02-25T00:00:00"/>
        <d v="2022-04-21T00:00:00"/>
        <d v="2023-05-16T00:00:00"/>
        <d v="2022-03-22T00:00:00"/>
        <d v="2022-05-23T00:00:00"/>
        <d v="2023-01-02T00:00:00"/>
        <d v="2023-12-02T00:00:00"/>
        <d v="2022-06-08T00:00:00"/>
        <d v="2023-05-09T00:00:00"/>
        <d v="2023-05-12T00:00:00"/>
        <d v="2023-09-17T00:00:00"/>
        <d v="2023-03-10T00:00:00"/>
        <d v="2023-12-31T00:00:00"/>
        <d v="2023-04-29T00:00:00"/>
        <d v="2023-12-06T00:00:00"/>
        <d v="2022-09-08T00:00:00"/>
        <d v="2023-03-29T00:00:00"/>
        <d v="2022-05-03T00:00:00"/>
        <d v="2023-06-29T00:00:00"/>
        <d v="2023-06-01T00:00:00"/>
        <d v="2022-10-05T00:00:00"/>
        <d v="2022-10-22T00:00:00"/>
        <d v="2022-04-03T00:00:00"/>
        <d v="2022-07-06T00:00:00"/>
        <d v="2023-12-07T00:00:00"/>
        <d v="2022-08-10T00:00:00"/>
        <d v="2023-07-13T00:00:00"/>
        <d v="2023-05-11T00:00:00"/>
        <d v="2023-10-07T00:00:00"/>
        <d v="2023-05-03T00:00:00"/>
        <d v="2023-12-16T00:00:00"/>
        <d v="2022-08-29T00:00:00"/>
        <d v="2023-01-14T00:00:00"/>
        <d v="2023-07-26T00:00:00"/>
        <d v="2022-07-21T00:00:00"/>
        <d v="2022-09-20T00:00:00"/>
        <d v="2022-09-01T00:00:00"/>
        <d v="2023-11-28T00:00:00"/>
        <d v="2022-07-02T00:00:00"/>
        <d v="2022-06-09T00:00:00"/>
        <d v="2022-07-29T00:00:00"/>
        <d v="2022-09-19T00:00:00"/>
        <d v="2023-08-04T00:00:00"/>
        <d v="2023-02-06T00:00:00"/>
        <d v="2023-03-21T00:00:00"/>
        <d v="2023-10-18T00:00:00"/>
        <d v="2023-08-15T00:00:00"/>
        <d v="2022-03-13T00:00:00"/>
        <d v="2022-06-12T00:00:00"/>
        <d v="2023-12-22T00:00:00"/>
        <d v="2022-09-27T00:00:00"/>
        <d v="2022-07-30T00:00:00"/>
        <d v="2023-01-15T00:00:00"/>
        <d v="2022-09-26T00:00:00"/>
        <d v="2023-02-27T00:00:00"/>
        <d v="2023-11-26T00:00:00"/>
        <d v="2023-09-02T00:00:00"/>
        <d v="2022-04-16T00:00:00"/>
        <d v="2022-06-10T00:00:00"/>
        <d v="2022-08-07T00:00:00"/>
        <d v="2023-08-13T00:00:00"/>
        <d v="2022-05-18T00:00:00"/>
        <d v="2022-11-05T00:00:00"/>
        <d v="2023-07-30T00:00:00"/>
        <d v="2022-10-02T00:00:00"/>
        <d v="2023-07-04T00:00:00"/>
        <d v="2023-04-09T00:00:00"/>
        <d v="2023-12-25T00:00:00"/>
        <d v="2022-08-08T00:00:00"/>
        <d v="2022-03-09T00:00:00"/>
        <d v="2023-04-16T00:00:00"/>
        <d v="2022-07-09T00:00:00"/>
        <d v="2023-10-03T00:00:00"/>
        <d v="2022-05-27T00:00:00"/>
        <d v="2023-03-19T00:00:00"/>
        <d v="2022-04-28T00:00:00"/>
        <d v="2022-07-01T00:00:00"/>
        <d v="2023-05-17T00:00:00"/>
        <d v="2023-04-11T00:00:00"/>
        <d v="2022-10-15T00:00:00"/>
        <d v="2023-07-17T00:00:00"/>
        <d v="2022-10-29T00:00:00"/>
        <d v="2022-02-04T00:00:00"/>
        <d v="2022-09-16T00:00:00"/>
        <d v="2023-07-12T00:00:00"/>
        <d v="2022-07-24T00:00:00"/>
        <d v="2022-10-30T00:00:00"/>
        <d v="2023-04-02T00:00:00"/>
        <d v="2022-10-27T00:00:00"/>
        <d v="2022-09-11T00:00:00"/>
        <d v="2022-12-25T00:00:00"/>
        <d v="2023-11-24T00:00:00"/>
        <d v="2022-05-24T00:00:00"/>
        <d v="2023-11-23T00:00:00"/>
        <d v="2023-06-17T00:00:00"/>
        <d v="2022-10-11T00:00:00"/>
        <d v="2022-09-29T00:00:00"/>
        <d v="2022-09-06T00:00:00"/>
        <d v="2022-08-02T00:00:00"/>
        <d v="2023-11-17T00:00:00"/>
        <d v="2023-06-11T00:00:00"/>
        <d v="2022-09-04T00:00:00"/>
        <d v="2022-10-09T00:00:00"/>
        <d v="2022-08-28T00:00:00"/>
        <d v="2022-11-21T00:00:00"/>
        <d v="2022-12-23T00:00:00"/>
        <d v="2022-08-27T00:00:00"/>
        <d v="2022-05-25T00:00:00"/>
        <d v="2022-04-14T00:00:00"/>
        <d v="2023-08-06T00:00:00"/>
        <d v="2023-01-24T00:00:00"/>
        <d v="2023-11-30T00:00:00"/>
        <d v="2022-06-15T00:00:00"/>
        <d v="2022-07-17T00:00:00"/>
        <d v="2022-08-03T00:00:00"/>
        <d v="2023-03-15T00:00:00"/>
        <d v="2022-05-31T00:00:00"/>
        <d v="2023-04-13T00:00:00"/>
        <d v="2023-02-17T00:00:00"/>
        <d v="2022-07-19T00:00:00"/>
        <d v="2023-11-02T00:00:00"/>
        <d v="2023-09-13T00:00:00"/>
        <d v="2022-03-24T00:00:00"/>
        <d v="2023-03-03T00:00:00"/>
        <d v="2023-10-27T00:00:00"/>
        <d v="2023-10-31T00:00:00"/>
        <d v="2022-08-19T00:00:00"/>
        <d v="2023-08-05T00:00:00"/>
        <d v="2022-02-08T00:00:00"/>
        <d v="2023-02-07T00:00:00"/>
        <d v="2023-09-28T00:00:00"/>
        <d v="2023-08-19T00:00:00"/>
        <d v="2022-01-22T00:00:00"/>
        <d v="2023-08-02T00:00:00"/>
        <d v="2023-03-27T00:00:00"/>
        <d v="2022-06-03T00:00:00"/>
        <d v="2023-05-23T00:00:00"/>
        <d v="2022-05-06T00:00:00"/>
        <d v="2022-12-24T00:00:00"/>
        <d v="2023-05-21T00:00:00"/>
        <d v="2023-07-14T00:00:00"/>
        <d v="2022-06-28T00:00:00"/>
        <d v="2022-09-02T00:00:00"/>
        <d v="2023-05-15T00:00:00"/>
        <d v="2023-02-11T00:00:00"/>
        <d v="2022-10-23T00:00:00"/>
        <d v="2023-02-28T00:00:00"/>
        <d v="2023-09-14T00:00:00"/>
        <d v="2022-12-16T00:00:00"/>
        <d v="2022-06-29T00:00:00"/>
        <d v="2023-06-05T00:00:00"/>
        <d v="2023-08-03T00:00:00"/>
        <d v="2022-12-06T00:00:00"/>
        <d v="2023-12-19T00:00:00"/>
        <d v="2022-07-25T00:00:00"/>
        <d v="2023-05-31T00:00:00"/>
        <d v="2022-04-02T00:00:00"/>
        <d v="2022-10-18T00:00:00"/>
        <d v="2022-11-20T00:00:00"/>
        <d v="2023-12-29T00:00:00"/>
        <d v="2022-03-28T00:00:00"/>
        <d v="2022-07-23T00:00:00"/>
        <d v="2022-06-30T00:00:00"/>
        <d v="2022-12-27T00:00:00"/>
        <d v="2022-09-07T00:00:00"/>
        <d v="2022-08-05T00:00:00"/>
        <d v="2022-09-13T00:00:00"/>
        <d v="2022-04-07T00:00:00"/>
        <d v="2023-09-08T00:00:00"/>
        <d v="2023-06-04T00:00:00"/>
        <d v="2022-06-23T00:00:00"/>
        <d v="2022-07-22T00:00:00"/>
        <d v="2023-02-18T00:00:00"/>
        <d v="2022-11-12T00:00:00"/>
        <d v="2023-01-26T00:00:00"/>
        <d v="2022-06-18T00:00:00"/>
        <d v="2022-04-08T00:00:00"/>
        <d v="2023-10-09T00:00:00"/>
        <d v="2022-08-23T00:00:00"/>
        <d v="2023-10-25T00:00:00"/>
        <d v="2023-04-26T00:00:00"/>
        <d v="2023-03-04T00:00:00"/>
        <d v="2023-05-27T00:00:00"/>
        <d v="2022-12-26T00:00:00"/>
        <d v="2022-01-04T00:00:00"/>
        <d v="2023-02-16T00:00:00"/>
        <d v="2022-09-21T00:00:00"/>
        <d v="2023-08-09T00:00:00"/>
        <d v="2022-07-15T00:00:00"/>
        <d v="2022-06-01T00:00:00"/>
        <d v="2023-04-30T00:00:00"/>
        <d v="2022-12-03T00:00:00"/>
        <d v="2023-04-24T00:00:00"/>
        <d v="2022-03-14T00:00:00"/>
        <d v="2022-07-05T00:00:00"/>
        <d v="2022-04-12T00:00:00"/>
        <d v="2023-05-25T00:00:00"/>
        <d v="2022-01-15T00:00:00"/>
        <d v="2023-01-22T00:00:00"/>
        <d v="2022-10-24T00:00:00"/>
        <d v="2023-11-12T00:00:00"/>
        <d v="2022-10-13T00:00:00"/>
        <d v="2023-04-23T00:00:00"/>
        <d v="2023-07-10T00:00:00"/>
        <d v="2023-06-23T00:00:00"/>
        <d v="2023-01-03T00:00:00"/>
        <d v="2022-08-04T00:00:00"/>
        <d v="2023-03-01T00:00:00"/>
        <d v="2022-08-12T00:00:00"/>
        <d v="2022-03-23T00:00:00"/>
        <d v="2022-10-26T00:00:00"/>
        <d v="2022-08-15T00:00:00"/>
        <d v="2023-05-06T00:00:00"/>
        <d v="2023-06-27T00:00:00"/>
        <d v="2022-11-25T00:00:00"/>
        <d v="2022-04-06T00:00:00"/>
        <d v="2023-12-12T00:00:00"/>
        <d v="2023-09-24T00:00:00"/>
        <d v="2023-04-06T00:00:00"/>
        <d v="2023-01-10T00:00:00"/>
        <d v="2022-10-03T00:00:00"/>
        <d v="2023-04-07T00:00:00"/>
        <d v="2023-07-11T00:00:00"/>
        <d v="2022-07-18T00:00:00"/>
        <d v="2023-08-07T00:00:00"/>
        <d v="2022-09-09T00:00:00"/>
        <d v="2023-10-30T00:00:00"/>
        <d v="2022-08-01T00:00:00"/>
        <d v="2022-07-08T00:00:00"/>
        <d v="2023-11-13T00:00:00"/>
        <d v="2023-04-04T00:00:00"/>
        <d v="2023-04-17T00:00:00"/>
        <d v="2023-08-18T00:00:00"/>
        <d v="2022-10-04T00:00:00"/>
        <d v="2023-09-11T00:00:00"/>
        <d v="2022-12-21T00:00:00"/>
        <d v="2023-12-05T00:00:00"/>
        <d v="2022-04-29T00:00:00"/>
        <d v="2023-12-11T00:00:00"/>
        <d v="2022-05-16T00:00:00"/>
        <d v="2022-10-01T00:00:00"/>
        <d v="2022-07-26T00:00:00"/>
        <d v="2023-02-20T00:00:00"/>
        <d v="2022-11-13T00:00:00"/>
        <d v="2023-03-18T00:00:00"/>
        <d v="2022-07-07T00:00:00"/>
        <d v="2023-04-10T00:00:00"/>
        <d v="2023-10-19T00:00:00"/>
        <d v="2023-01-11T00:00:00"/>
        <d v="2022-02-25T00:00:00"/>
        <d v="2022-01-13T00:00:00"/>
        <d v="2022-03-18T00:00:00"/>
        <d v="2022-01-05T00:00:00"/>
        <d v="2023-04-22T00:00:00"/>
        <d v="2023-11-25T00:00:00"/>
        <d v="2023-01-19T00:00:00"/>
        <d v="2023-11-01T00:00:00"/>
        <d v="2023-12-17T00:00:00"/>
        <d v="2022-12-31T00:00:00"/>
        <d v="2022-02-06T00:00:00"/>
        <d v="2023-10-22T00:00:00"/>
        <d v="2022-05-11T00:00:00"/>
        <d v="2022-01-03T00:00:00"/>
        <d v="2023-07-20T00:00:00"/>
        <d v="2023-01-05T00:00:00"/>
        <d v="2022-11-26T00:00:00"/>
        <d v="2022-04-09T00:00:00"/>
        <d v="2022-11-15T00:00:00"/>
        <d v="2023-11-06T00:00:00"/>
        <d v="2023-08-28T00:00:00"/>
        <d v="2022-10-06T00:00:00"/>
        <d v="2023-09-29T00:00:00"/>
        <d v="2022-07-10T00:00:00"/>
        <d v="2023-06-12T00:00:00"/>
        <d v="2023-03-24T00:00:00"/>
        <d v="2023-02-04T00:00:00"/>
        <d v="2023-12-27T00:00:00"/>
        <d v="2023-11-19T00:00:00"/>
        <d v="2023-01-13T00:00:00"/>
        <d v="2023-01-30T00:00:00"/>
        <d v="2022-01-23T00:00:00"/>
        <d v="2023-08-16T00:00:00"/>
        <d v="2023-06-20T00:00:00"/>
        <d v="2022-03-06T00:00:00"/>
        <d v="2023-10-23T00:00:00"/>
        <d v="2022-11-16T00:00:00"/>
        <d v="2023-07-28T00:00:00"/>
        <d v="2023-01-01T00:00:00"/>
        <d v="2022-10-28T00:00:00"/>
        <d v="2022-11-30T00:00:00"/>
        <d v="2022-02-09T00:00:00"/>
        <d v="2023-09-15T00:00:00"/>
        <d v="2023-08-22T00:00:00"/>
        <d v="2023-01-06T00:00:00"/>
        <d v="2022-02-01T00:00:00"/>
        <d v="2023-10-11T00:00:00"/>
        <d v="2022-02-15T00:00:00"/>
        <d v="2023-06-24T00:00:00"/>
        <d v="2023-01-18T00:00:00"/>
        <d v="2022-02-26T00:00:00"/>
        <d v="2022-04-01T00:00:00"/>
        <d v="2022-12-28T00:00:00"/>
        <d v="2022-11-28T00:00:00"/>
        <d v="2022-03-07T00:00:00"/>
        <d v="2023-10-24T00:00:00"/>
        <d v="2022-01-01T00:00:00"/>
        <d v="2022-01-10T00:00:00"/>
        <d v="2022-05-17T00:00:00"/>
        <d v="2023-08-10T00:00:00"/>
        <d v="2023-03-05T00:00:00"/>
        <d v="2022-12-02T00:00:00"/>
        <d v="2022-08-31T00:00:00"/>
        <d v="2023-11-14T00:00:00"/>
        <d v="2022-03-27T00:00:00"/>
        <d v="2022-05-08T00:00:00"/>
        <d v="2022-08-06T00:00:00"/>
        <d v="2022-10-16T00:00:00"/>
        <d v="2022-06-02T00:00:00"/>
        <d v="2023-08-30T00:00:00"/>
        <d v="2022-11-19T00:00:00"/>
        <d v="2023-09-10T00:00:00"/>
        <d v="2023-05-28T00:00:00"/>
        <d v="2023-06-03T00:00:00"/>
        <d v="2023-09-27T00:00:00"/>
        <d v="2023-07-21T00:00:00"/>
        <d v="2022-08-13T00:00:00"/>
        <d v="2022-04-30T00:00:00"/>
        <d v="2022-06-24T00:00:00"/>
        <d v="2022-10-14T00:00:00"/>
        <d v="2023-12-15T00:00:00"/>
        <d v="2023-06-06T00:00:00"/>
        <d v="2023-09-23T00:00:00"/>
        <d v="2022-11-24T00:00:00"/>
        <d v="2023-04-15T00:00:00"/>
        <d v="2023-06-22T00:00:00"/>
        <d v="2022-05-20T00:00:00"/>
        <d v="2022-07-14T00:00:00"/>
        <d v="2022-01-12T00:00:00"/>
        <d v="2023-01-31T00:00:00"/>
        <d v="2022-09-03T00:00:00"/>
        <d v="2022-04-17T00:00:00"/>
        <d v="2023-09-18T00:00:00"/>
        <d v="2023-05-24T00:00:00"/>
        <d v="2023-07-24T00:00:00"/>
        <d v="2022-04-05T00:00:00"/>
        <d v="2022-12-30T00:00:00"/>
        <d v="2022-02-05T00:00:00"/>
        <d v="2023-12-24T00:00:00"/>
        <d v="2022-11-04T00:00:00"/>
        <d v="2023-07-22T00:00:00"/>
        <d v="2022-08-21T00:00:00"/>
        <d v="2023-10-01T00:00:00"/>
        <d v="2023-10-06T00:00:00"/>
        <d v="2022-01-17T00:00:00"/>
        <d v="2023-05-01T00:00:00"/>
        <d v="2023-09-20T00:00:00"/>
        <d v="2023-08-20T00:00:00"/>
        <d v="2022-07-16T00:00:00"/>
        <d v="2023-10-29T00:00:00"/>
        <d v="2023-04-25T00:00:00"/>
        <d v="2023-06-13T00:00:00"/>
        <d v="2023-06-15T00:00:00"/>
        <d v="2023-01-08T00:00:00"/>
        <d v="2022-03-02T00:00:00"/>
        <d v="2022-08-14T00:00:00"/>
        <d v="2022-02-16T00:00:00"/>
        <d v="2023-03-12T00:00:00"/>
        <d v="2022-05-10T00:00:00"/>
        <d v="2023-12-20T00:00:00"/>
        <d v="2023-11-16T00:00:00"/>
        <d v="2023-06-18T00:00:00"/>
        <d v="2022-10-25T00:00:00"/>
        <d v="2022-03-29T00:00:00"/>
        <d v="2022-05-21T00:00:00"/>
        <d v="2022-10-08T00:00:00"/>
        <d v="2023-01-09T00:00:00"/>
        <d v="2023-08-08T00:00:00"/>
        <d v="2023-08-29T00:00:00"/>
        <d v="2023-03-02T00:00:00"/>
        <d v="2023-07-02T00:00:00"/>
        <d v="2022-10-19T00:00:00"/>
        <d v="2022-07-13T00:00:00"/>
        <d v="2023-06-25T00:00:00"/>
        <d v="2022-01-07T00:00:00"/>
        <d v="2022-02-22T00:00:00"/>
        <d v="2023-05-26T00:00:00"/>
        <d v="2023-02-22T00:00:00"/>
        <d v="2023-07-15T00:00:00"/>
        <d v="2022-11-17T00:00:00"/>
        <d v="2023-05-08T00:00:00"/>
        <d v="2023-08-01T00:00:00"/>
        <d v="2022-11-10T00:00:00"/>
        <d v="2023-11-29T00:00:00"/>
        <d v="2022-11-01T00:00:00"/>
        <d v="2022-03-16T00:00:00"/>
        <d v="2023-04-20T00:00:00"/>
        <d v="2022-04-25T00:00:00"/>
        <d v="2022-06-19T00:00:00"/>
        <d v="2022-03-12T00:00:00"/>
        <d v="2022-04-20T00:00:00"/>
        <d v="2022-06-11T00:00:00"/>
        <d v="2022-05-04T00:00:00"/>
        <d v="2022-11-02T00:00:00"/>
        <d v="2022-12-11T00:00:00"/>
        <d v="2022-01-27T00:00:00"/>
        <d v="2022-05-01T00:00:00"/>
        <d v="2022-02-14T00:00:00"/>
        <d v="2023-09-21T00:00:00"/>
        <d v="2022-01-30T00:00:00"/>
        <d v="2022-01-26T00:00:00"/>
        <d v="2023-01-12T00:00:00"/>
        <d v="2022-12-19T00:00:00"/>
        <d v="2022-12-05T00:00:00"/>
        <d v="2022-02-28T00:00:00"/>
        <d v="2022-08-26T00:00:00"/>
        <d v="2022-12-14T00:00:00"/>
        <d v="2023-12-08T00:00:00"/>
        <d v="2023-05-14T00:00:00"/>
        <d v="2022-11-08T00:00:00"/>
        <d v="2022-05-14T00:00:00"/>
        <d v="2023-09-03T00:00:00"/>
        <d v="2022-02-21T00:00:00"/>
        <d v="2022-11-23T00:00:00"/>
        <d v="2023-04-05T00:00:00"/>
        <d v="2022-01-08T00:00:00"/>
        <d v="2022-05-05T00:00:00"/>
        <d v="2022-06-20T00:00:00"/>
        <d v="2023-01-27T00:00:00"/>
        <d v="2022-12-29T00:00:00"/>
        <d v="2023-09-22T00:00:00"/>
        <d v="2022-01-09T00:00:00"/>
        <d v="2023-09-09T00:00:00"/>
        <d v="2022-10-31T00:00:00"/>
        <d v="2024-01-01T00:00:00"/>
        <d v="2023-04-03T00:00:00"/>
        <d v="2022-01-29T00:00:00"/>
        <d v="2022-02-02T00:00:00"/>
        <d v="2023-11-05T00:00:00"/>
        <d v="2022-10-21T00:00:00"/>
        <d v="2023-02-14T00:00:00"/>
        <d v="2022-12-13T00:00:00"/>
        <d v="2023-09-25T00:00:00"/>
        <d v="2023-05-10T00:00:00"/>
        <d v="2023-04-18T00:00:00"/>
        <d v="2023-06-08T00:00:00"/>
        <d v="2022-04-27T00:00:00"/>
        <d v="2023-12-14T00:00:00"/>
        <d v="2022-06-05T00:00:00"/>
        <d v="2022-05-15T00:00:00"/>
        <d v="2023-06-09T00:00:00"/>
        <d v="2022-07-28T00:00:00"/>
        <d v="2022-04-04T00:00:00"/>
        <d v="2022-03-31T00:00:00"/>
        <d v="2023-02-09T00:00:00"/>
        <d v="2022-06-22T00:00:00"/>
        <d v="2022-10-12T00:00:00"/>
        <d v="2022-10-07T00:00:00"/>
        <d v="2022-12-08T00:00:00"/>
        <d v="2023-06-30T00:00:00"/>
        <d v="2023-11-07T00:00:00"/>
        <d v="2023-01-23T00:00:00"/>
        <d v="2022-03-19T00:00:00"/>
        <d v="2022-02-03T00:00:00"/>
        <d v="2022-06-07T00:00:00"/>
        <d v="2022-07-12T00:00:00"/>
        <d v="2022-09-17T00:00:00"/>
        <d v="2023-06-21T00:00:00"/>
        <d v="2023-02-24T00:00:00"/>
        <d v="2022-09-18T00:00:00"/>
        <d v="2023-11-22T00:00:00"/>
        <d v="2023-10-17T00:00:00"/>
        <d v="2023-06-10T00:00:00"/>
        <d v="2023-05-18T00:00:00"/>
        <d v="2023-03-06T00:00:00"/>
        <d v="2022-11-06T00:00:00"/>
        <d v="2023-12-26T00:00:00"/>
        <d v="2023-01-25T00:00:00"/>
        <d v="2023-02-03T00:00:00"/>
        <d v="2022-01-21T00:00:00"/>
        <d v="2022-09-22T00:00:00"/>
        <d v="2022-06-25T00:00:00"/>
        <d v="2022-12-18T00:00:00"/>
        <d v="2022-02-19T00:00:00"/>
        <d v="2023-12-04T00:00:00"/>
        <d v="2023-02-21T00:00:00"/>
        <d v="2022-04-11T00:00:00"/>
        <d v="2022-05-07T00:00:00"/>
        <d v="2022-12-17T00:00:00"/>
        <d v="2022-01-06T00:00:00"/>
        <d v="2022-07-11T00:00:00"/>
        <d v="2022-12-12T00:00:00"/>
        <d v="2023-08-11T00:00:00"/>
        <d v="2023-03-28T00:00:00"/>
        <d v="2022-11-22T00:00:00"/>
        <d v="2023-01-17T00:00:00"/>
        <d v="2022-01-28T00:00:00"/>
        <d v="2022-02-18T00:00:00"/>
        <d v="2023-09-12T00:00:00"/>
        <d v="2022-02-27T00:00:00"/>
        <d v="2022-09-14T00:00:00"/>
        <d v="2023-08-27T00:00:00"/>
        <d v="2022-02-24T00:00:00"/>
        <d v="2023-02-13T00:00:00"/>
        <d v="2022-04-15T00:00:00"/>
        <d v="2023-02-15T00:00:00"/>
        <d v="2022-08-24T00:00:00"/>
        <d v="2022-12-04T00:00:00"/>
        <d v="2022-09-10T00:00:00"/>
        <d v="2023-04-14T00:00:00"/>
        <d v="2022-03-03T00:00:00"/>
        <d v="2023-01-04T00:00:00"/>
        <d v="2022-11-11T00:00:00"/>
        <d v="2023-06-07T00:00:00"/>
        <d v="2023-07-03T00:00:00"/>
        <d v="2023-02-19T00:00:00"/>
        <d v="2022-01-31T00:00:00"/>
        <d v="2023-08-21T00:00:00"/>
        <d v="2023-08-17T00:00:00"/>
        <d v="2023-03-08T00:00:00"/>
        <d v="2023-04-21T00:00:00"/>
        <d v="2023-03-07T00:00:00"/>
        <d v="2023-07-18T00:00:00"/>
        <d v="2023-03-11T00:00:00"/>
        <d v="2023-12-23T00:00:00"/>
        <d v="2022-06-06T00:00:00"/>
        <d v="2023-08-26T00:00:00"/>
        <d v="2023-09-07T00:00:00"/>
        <d v="2022-04-19T00:00:00"/>
        <d v="2023-11-10T00:00:00"/>
        <d v="2022-06-04T00:00:00"/>
        <d v="2022-12-09T00:00:00"/>
        <d v="2022-01-16T00:00:00"/>
        <d v="2023-08-31T00:00:00"/>
        <d v="2023-10-05T00:00:00"/>
        <d v="2022-09-28T00:00:00"/>
        <d v="2022-03-20T00:00:00"/>
        <d v="2022-12-22T00:00:00"/>
        <d v="2022-03-30T00:00:00"/>
        <d v="2023-02-12T00:00:00"/>
        <d v="2023-05-19T00:00:00"/>
        <d v="2023-06-26T00:00:00"/>
        <d v="2023-05-29T00:00:00"/>
        <d v="2023-12-13T00:00:00"/>
      </sharedItems>
      <fieldGroup par="16"/>
    </cacheField>
    <cacheField name="Region" numFmtId="0">
      <sharedItems count="5">
        <s v="West"/>
        <s v="East"/>
        <s v="Central"/>
        <s v="North"/>
        <s v="South"/>
      </sharedItems>
    </cacheField>
    <cacheField name="Product Category" numFmtId="0">
      <sharedItems count="5">
        <s v="Electronics"/>
        <s v="Clothing"/>
        <s v="Books"/>
        <s v="Home Goods"/>
        <s v="Food"/>
      </sharedItems>
    </cacheField>
    <cacheField name="Product Name" numFmtId="0">
      <sharedItems count="20">
        <s v="Headphones"/>
        <s v="Sweater"/>
        <s v="Sci-Fi"/>
        <s v="Dress"/>
        <s v="Rug"/>
        <s v="Mystery"/>
        <s v="Grains"/>
        <s v="Non-Fiction"/>
        <s v="Laptop"/>
        <s v="Jeans"/>
        <s v="Produce"/>
        <s v="Chair"/>
        <s v="Table"/>
        <s v="Smartphone"/>
        <s v="Tablet"/>
        <s v="Lamp"/>
        <s v="Fiction"/>
        <s v="Beverages"/>
        <s v="Snacks"/>
        <s v="T-Shirt"/>
      </sharedItems>
    </cacheField>
    <cacheField name="Units Sold" numFmtId="0">
      <sharedItems containsSemiMixedTypes="0" containsString="0" containsNumber="1" containsInteger="1" minValue="1" maxValue="50"/>
    </cacheField>
    <cacheField name="Sales" numFmtId="0">
      <sharedItems containsSemiMixedTypes="0" containsString="0" containsNumber="1" minValue="41.69" maxValue="23697.95"/>
    </cacheField>
    <cacheField name="Customer Gender" numFmtId="0">
      <sharedItems/>
    </cacheField>
    <cacheField name="Customer Satisfaction" numFmtId="0">
      <sharedItems containsSemiMixedTypes="0" containsString="0" containsNumber="1" containsInteger="1" minValue="1" maxValue="5"/>
    </cacheField>
    <cacheField name="Product Cost" numFmtId="0">
      <sharedItems containsSemiMixedTypes="0" containsString="0" containsNumber="1" minValue="8.82" maxValue="11796.37"/>
    </cacheField>
    <cacheField name="Profit" numFmtId="0">
      <sharedItems containsSemiMixedTypes="0" containsString="0" containsNumber="1" minValue="-8442.1299999999992" maxValue="23071.360000000001"/>
    </cacheField>
    <cacheField name="Month" numFmtId="0">
      <sharedItems count="12">
        <s v="June"/>
        <s v="March"/>
        <s v="February"/>
        <s v="April"/>
        <s v="May"/>
        <s v="January"/>
        <s v="December"/>
        <s v="September"/>
        <s v="October"/>
        <s v="July"/>
        <s v="August"/>
        <s v="November"/>
      </sharedItems>
    </cacheField>
    <cacheField name="Quarter" numFmtId="0">
      <sharedItems/>
    </cacheField>
    <cacheField name="Year" numFmtId="0">
      <sharedItems containsSemiMixedTypes="0" containsString="0" containsNumber="1" containsInteger="1" minValue="2022" maxValue="2024"/>
    </cacheField>
    <cacheField name="PaymentMode" numFmtId="0">
      <sharedItems/>
    </cacheField>
    <cacheField name="Months (Date)" numFmtId="0" databaseField="0">
      <fieldGroup base="0">
        <rangePr groupBy="months" startDate="2022-01-01T00:00:00" endDate="2024-01-02T00:00:00"/>
        <groupItems count="14">
          <s v="&lt;01-01-2022"/>
          <s v="Jan"/>
          <s v="Feb"/>
          <s v="Mar"/>
          <s v="Apr"/>
          <s v="May"/>
          <s v="Jun"/>
          <s v="Jul"/>
          <s v="Aug"/>
          <s v="Sep"/>
          <s v="Oct"/>
          <s v="Nov"/>
          <s v="Dec"/>
          <s v="&gt;02-01-2024"/>
        </groupItems>
      </fieldGroup>
    </cacheField>
    <cacheField name="Quarters (Date)" numFmtId="0" databaseField="0">
      <fieldGroup base="0">
        <rangePr groupBy="quarters" startDate="2022-01-01T00:00:00" endDate="2024-01-02T00:00:00"/>
        <groupItems count="6">
          <s v="&lt;01-01-2022"/>
          <s v="Qtr1"/>
          <s v="Qtr2"/>
          <s v="Qtr3"/>
          <s v="Qtr4"/>
          <s v="&gt;02-01-2024"/>
        </groupItems>
      </fieldGroup>
    </cacheField>
    <cacheField name="Years (Date)" numFmtId="0" databaseField="0">
      <fieldGroup base="0">
        <rangePr groupBy="years" startDate="2022-01-01T00:00:00" endDate="2024-01-02T00:00:00"/>
        <groupItems count="5">
          <s v="&lt;01-01-2022"/>
          <s v="2022"/>
          <s v="2023"/>
          <s v="2024"/>
          <s v="&gt;02-01-2024"/>
        </groupItems>
      </fieldGroup>
    </cacheField>
  </cacheFields>
  <extLst>
    <ext xmlns:x14="http://schemas.microsoft.com/office/spreadsheetml/2009/9/main" uri="{725AE2AE-9491-48be-B2B4-4EB974FC3084}">
      <x14:pivotCacheDefinition pivotCacheId="206879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1">
  <r>
    <x v="0"/>
    <x v="0"/>
    <x v="0"/>
    <x v="0"/>
    <n v="2"/>
    <n v="303.77"/>
    <s v="Male"/>
    <n v="5"/>
    <n v="258.87"/>
    <n v="44.9"/>
    <x v="0"/>
    <s v="Q2"/>
    <n v="2022"/>
    <x v="0"/>
  </r>
  <r>
    <x v="1"/>
    <x v="0"/>
    <x v="1"/>
    <x v="1"/>
    <n v="20"/>
    <n v="6013.09"/>
    <s v="Male"/>
    <n v="1"/>
    <n v="4456.6899999999996"/>
    <n v="1556.4"/>
    <x v="0"/>
    <s v="Q2"/>
    <n v="2023"/>
    <x v="1"/>
  </r>
  <r>
    <x v="2"/>
    <x v="1"/>
    <x v="2"/>
    <x v="2"/>
    <n v="22"/>
    <n v="6624.07"/>
    <s v="Male"/>
    <n v="5"/>
    <n v="3322.6"/>
    <n v="3301.47"/>
    <x v="1"/>
    <s v="Q1"/>
    <n v="2022"/>
    <x v="2"/>
  </r>
  <r>
    <x v="3"/>
    <x v="2"/>
    <x v="1"/>
    <x v="3"/>
    <n v="23"/>
    <n v="5070.9399999999996"/>
    <s v="Female"/>
    <n v="2"/>
    <n v="2206.17"/>
    <n v="2864.77"/>
    <x v="2"/>
    <s v="Q1"/>
    <n v="2023"/>
    <x v="2"/>
  </r>
  <r>
    <x v="4"/>
    <x v="1"/>
    <x v="3"/>
    <x v="4"/>
    <n v="2"/>
    <n v="636.66"/>
    <s v="Male"/>
    <n v="2"/>
    <n v="292.81"/>
    <n v="343.85"/>
    <x v="3"/>
    <s v="Q2"/>
    <n v="2022"/>
    <x v="1"/>
  </r>
  <r>
    <x v="5"/>
    <x v="0"/>
    <x v="1"/>
    <x v="1"/>
    <n v="28"/>
    <n v="1580.15"/>
    <s v="Female"/>
    <n v="3"/>
    <n v="1578.07"/>
    <n v="2.08"/>
    <x v="4"/>
    <s v="Q2"/>
    <n v="2023"/>
    <x v="1"/>
  </r>
  <r>
    <x v="6"/>
    <x v="3"/>
    <x v="2"/>
    <x v="5"/>
    <n v="33"/>
    <n v="15209.62"/>
    <s v="Male"/>
    <n v="3"/>
    <n v="5544.03"/>
    <n v="9665.59"/>
    <x v="1"/>
    <s v="Q1"/>
    <n v="2022"/>
    <x v="2"/>
  </r>
  <r>
    <x v="7"/>
    <x v="1"/>
    <x v="2"/>
    <x v="2"/>
    <n v="49"/>
    <n v="13193.63"/>
    <s v="Female"/>
    <n v="2"/>
    <n v="11734.47"/>
    <n v="1459.16"/>
    <x v="4"/>
    <s v="Q2"/>
    <n v="2022"/>
    <x v="2"/>
  </r>
  <r>
    <x v="8"/>
    <x v="2"/>
    <x v="1"/>
    <x v="1"/>
    <n v="2"/>
    <n v="110.13"/>
    <s v="Male"/>
    <n v="5"/>
    <n v="249.36"/>
    <n v="-139.22999999999999"/>
    <x v="5"/>
    <s v="Q1"/>
    <n v="2023"/>
    <x v="2"/>
  </r>
  <r>
    <x v="9"/>
    <x v="2"/>
    <x v="0"/>
    <x v="0"/>
    <n v="45"/>
    <n v="6864.39"/>
    <s v="Female"/>
    <n v="5"/>
    <n v="896.22"/>
    <n v="5968.17"/>
    <x v="6"/>
    <s v="Q4"/>
    <n v="2023"/>
    <x v="1"/>
  </r>
  <r>
    <x v="10"/>
    <x v="3"/>
    <x v="4"/>
    <x v="6"/>
    <n v="4"/>
    <n v="1569.33"/>
    <s v="Male"/>
    <n v="1"/>
    <n v="603.4"/>
    <n v="965.93"/>
    <x v="0"/>
    <s v="Q2"/>
    <n v="2022"/>
    <x v="2"/>
  </r>
  <r>
    <x v="11"/>
    <x v="1"/>
    <x v="2"/>
    <x v="7"/>
    <n v="25"/>
    <n v="8359.64"/>
    <s v="Female"/>
    <n v="3"/>
    <n v="4354.87"/>
    <n v="4004.77"/>
    <x v="4"/>
    <s v="Q2"/>
    <n v="2023"/>
    <x v="2"/>
  </r>
  <r>
    <x v="12"/>
    <x v="2"/>
    <x v="0"/>
    <x v="8"/>
    <n v="38"/>
    <n v="14714.79"/>
    <s v="Female"/>
    <n v="4"/>
    <n v="5831.62"/>
    <n v="8883.17"/>
    <x v="4"/>
    <s v="Q2"/>
    <n v="2023"/>
    <x v="1"/>
  </r>
  <r>
    <x v="13"/>
    <x v="0"/>
    <x v="1"/>
    <x v="9"/>
    <n v="3"/>
    <n v="1461.73"/>
    <s v="Female"/>
    <n v="2"/>
    <n v="359.07"/>
    <n v="1102.6600000000001"/>
    <x v="7"/>
    <s v="Q3"/>
    <n v="2023"/>
    <x v="2"/>
  </r>
  <r>
    <x v="14"/>
    <x v="3"/>
    <x v="4"/>
    <x v="10"/>
    <n v="7"/>
    <n v="1329.49"/>
    <s v="Male"/>
    <n v="3"/>
    <n v="1720.14"/>
    <n v="-390.65"/>
    <x v="1"/>
    <s v="Q1"/>
    <n v="2023"/>
    <x v="2"/>
  </r>
  <r>
    <x v="15"/>
    <x v="4"/>
    <x v="3"/>
    <x v="11"/>
    <n v="43"/>
    <n v="21247.65"/>
    <s v="Female"/>
    <n v="4"/>
    <n v="8307.14"/>
    <n v="12940.51"/>
    <x v="6"/>
    <s v="Q4"/>
    <n v="2023"/>
    <x v="2"/>
  </r>
  <r>
    <x v="16"/>
    <x v="3"/>
    <x v="3"/>
    <x v="12"/>
    <n v="12"/>
    <n v="4456.75"/>
    <s v="Male"/>
    <n v="1"/>
    <n v="106.89"/>
    <n v="4349.8599999999997"/>
    <x v="3"/>
    <s v="Q2"/>
    <n v="2023"/>
    <x v="2"/>
  </r>
  <r>
    <x v="17"/>
    <x v="2"/>
    <x v="0"/>
    <x v="13"/>
    <n v="40"/>
    <n v="16676.78"/>
    <s v="Female"/>
    <n v="4"/>
    <n v="4955.55"/>
    <n v="11721.23"/>
    <x v="6"/>
    <s v="Q4"/>
    <n v="2023"/>
    <x v="0"/>
  </r>
  <r>
    <x v="18"/>
    <x v="0"/>
    <x v="3"/>
    <x v="11"/>
    <n v="3"/>
    <n v="402.01"/>
    <s v="Male"/>
    <n v="1"/>
    <n v="115.82"/>
    <n v="286.19"/>
    <x v="7"/>
    <s v="Q3"/>
    <n v="2022"/>
    <x v="2"/>
  </r>
  <r>
    <x v="19"/>
    <x v="3"/>
    <x v="2"/>
    <x v="5"/>
    <n v="29"/>
    <n v="13263.6"/>
    <s v="Female"/>
    <n v="3"/>
    <n v="1758.14"/>
    <n v="11505.46"/>
    <x v="1"/>
    <s v="Q1"/>
    <n v="2023"/>
    <x v="2"/>
  </r>
  <r>
    <x v="20"/>
    <x v="3"/>
    <x v="4"/>
    <x v="10"/>
    <n v="47"/>
    <n v="17553.77"/>
    <s v="Female"/>
    <n v="2"/>
    <n v="8127.15"/>
    <n v="9426.6200000000008"/>
    <x v="4"/>
    <s v="Q2"/>
    <n v="2022"/>
    <x v="0"/>
  </r>
  <r>
    <x v="21"/>
    <x v="0"/>
    <x v="2"/>
    <x v="5"/>
    <n v="11"/>
    <n v="4062.79"/>
    <s v="Male"/>
    <n v="5"/>
    <n v="1047.74"/>
    <n v="3015.05"/>
    <x v="0"/>
    <s v="Q2"/>
    <n v="2023"/>
    <x v="2"/>
  </r>
  <r>
    <x v="22"/>
    <x v="2"/>
    <x v="1"/>
    <x v="1"/>
    <n v="29"/>
    <n v="6341.06"/>
    <s v="Female"/>
    <n v="5"/>
    <n v="1671.65"/>
    <n v="4669.41"/>
    <x v="0"/>
    <s v="Q2"/>
    <n v="2023"/>
    <x v="0"/>
  </r>
  <r>
    <x v="23"/>
    <x v="2"/>
    <x v="1"/>
    <x v="3"/>
    <n v="24"/>
    <n v="4856.2700000000004"/>
    <s v="Female"/>
    <n v="4"/>
    <n v="4002.4"/>
    <n v="853.87"/>
    <x v="8"/>
    <s v="Q4"/>
    <n v="2022"/>
    <x v="3"/>
  </r>
  <r>
    <x v="24"/>
    <x v="1"/>
    <x v="4"/>
    <x v="6"/>
    <n v="37"/>
    <n v="1105.44"/>
    <s v="Male"/>
    <n v="2"/>
    <n v="6360.58"/>
    <n v="-5255.14"/>
    <x v="8"/>
    <s v="Q4"/>
    <n v="2022"/>
    <x v="4"/>
  </r>
  <r>
    <x v="25"/>
    <x v="0"/>
    <x v="4"/>
    <x v="6"/>
    <n v="47"/>
    <n v="16956.189999999999"/>
    <s v="Male"/>
    <n v="3"/>
    <n v="3435.81"/>
    <n v="13520.38"/>
    <x v="3"/>
    <s v="Q2"/>
    <n v="2022"/>
    <x v="0"/>
  </r>
  <r>
    <x v="26"/>
    <x v="1"/>
    <x v="0"/>
    <x v="14"/>
    <n v="30"/>
    <n v="2172.36"/>
    <s v="Female"/>
    <n v="3"/>
    <n v="3869.73"/>
    <n v="-1697.37"/>
    <x v="9"/>
    <s v="Q3"/>
    <n v="2022"/>
    <x v="1"/>
  </r>
  <r>
    <x v="27"/>
    <x v="1"/>
    <x v="3"/>
    <x v="15"/>
    <n v="5"/>
    <n v="2151.14"/>
    <s v="Male"/>
    <n v="4"/>
    <n v="381.93"/>
    <n v="1769.21"/>
    <x v="6"/>
    <s v="Q4"/>
    <n v="2023"/>
    <x v="4"/>
  </r>
  <r>
    <x v="28"/>
    <x v="4"/>
    <x v="2"/>
    <x v="16"/>
    <n v="28"/>
    <n v="13374.57"/>
    <s v="Female"/>
    <n v="2"/>
    <n v="5060.17"/>
    <n v="8314.4"/>
    <x v="10"/>
    <s v="Q3"/>
    <n v="2022"/>
    <x v="4"/>
  </r>
  <r>
    <x v="29"/>
    <x v="0"/>
    <x v="0"/>
    <x v="14"/>
    <n v="29"/>
    <n v="3195.52"/>
    <s v="Female"/>
    <n v="1"/>
    <n v="2720.56"/>
    <n v="474.96"/>
    <x v="9"/>
    <s v="Q3"/>
    <n v="2023"/>
    <x v="4"/>
  </r>
  <r>
    <x v="30"/>
    <x v="1"/>
    <x v="2"/>
    <x v="2"/>
    <n v="18"/>
    <n v="4798.42"/>
    <s v="Female"/>
    <n v="1"/>
    <n v="3494.61"/>
    <n v="1303.81"/>
    <x v="4"/>
    <s v="Q2"/>
    <n v="2023"/>
    <x v="4"/>
  </r>
  <r>
    <x v="31"/>
    <x v="2"/>
    <x v="1"/>
    <x v="3"/>
    <n v="25"/>
    <n v="7018.52"/>
    <s v="Female"/>
    <n v="1"/>
    <n v="746.43"/>
    <n v="6272.09"/>
    <x v="8"/>
    <s v="Q4"/>
    <n v="2023"/>
    <x v="4"/>
  </r>
  <r>
    <x v="32"/>
    <x v="3"/>
    <x v="2"/>
    <x v="2"/>
    <n v="6"/>
    <n v="2960.56"/>
    <s v="Female"/>
    <n v="5"/>
    <n v="1428.96"/>
    <n v="1531.6"/>
    <x v="4"/>
    <s v="Q2"/>
    <n v="2023"/>
    <x v="1"/>
  </r>
  <r>
    <x v="33"/>
    <x v="3"/>
    <x v="0"/>
    <x v="0"/>
    <n v="42"/>
    <n v="2678.87"/>
    <s v="Female"/>
    <n v="1"/>
    <n v="2538.6"/>
    <n v="140.27000000000001"/>
    <x v="6"/>
    <s v="Q4"/>
    <n v="2023"/>
    <x v="2"/>
  </r>
  <r>
    <x v="28"/>
    <x v="4"/>
    <x v="4"/>
    <x v="17"/>
    <n v="17"/>
    <n v="5467.02"/>
    <s v="Female"/>
    <n v="5"/>
    <n v="2807.67"/>
    <n v="2659.35"/>
    <x v="10"/>
    <s v="Q3"/>
    <n v="2022"/>
    <x v="4"/>
  </r>
  <r>
    <x v="34"/>
    <x v="2"/>
    <x v="3"/>
    <x v="12"/>
    <n v="8"/>
    <n v="1473.79"/>
    <s v="Female"/>
    <n v="3"/>
    <n v="1345.72"/>
    <n v="128.07"/>
    <x v="10"/>
    <s v="Q3"/>
    <n v="2022"/>
    <x v="1"/>
  </r>
  <r>
    <x v="35"/>
    <x v="0"/>
    <x v="4"/>
    <x v="18"/>
    <n v="50"/>
    <n v="5963.14"/>
    <s v="Female"/>
    <n v="3"/>
    <n v="8750.08"/>
    <n v="-2786.94"/>
    <x v="5"/>
    <s v="Q1"/>
    <n v="2023"/>
    <x v="1"/>
  </r>
  <r>
    <x v="36"/>
    <x v="4"/>
    <x v="4"/>
    <x v="6"/>
    <n v="35"/>
    <n v="16212.42"/>
    <s v="Male"/>
    <n v="5"/>
    <n v="1293.7"/>
    <n v="14918.72"/>
    <x v="9"/>
    <s v="Q3"/>
    <n v="2023"/>
    <x v="2"/>
  </r>
  <r>
    <x v="37"/>
    <x v="1"/>
    <x v="1"/>
    <x v="9"/>
    <n v="46"/>
    <n v="3452.74"/>
    <s v="Male"/>
    <n v="1"/>
    <n v="2568.4299999999998"/>
    <n v="884.31"/>
    <x v="9"/>
    <s v="Q3"/>
    <n v="2022"/>
    <x v="1"/>
  </r>
  <r>
    <x v="38"/>
    <x v="2"/>
    <x v="0"/>
    <x v="13"/>
    <n v="41"/>
    <n v="9765.86"/>
    <s v="Female"/>
    <n v="1"/>
    <n v="4640.7299999999996"/>
    <n v="5125.13"/>
    <x v="7"/>
    <s v="Q3"/>
    <n v="2022"/>
    <x v="4"/>
  </r>
  <r>
    <x v="39"/>
    <x v="0"/>
    <x v="2"/>
    <x v="7"/>
    <n v="12"/>
    <n v="254.37"/>
    <s v="Male"/>
    <n v="4"/>
    <n v="2704.17"/>
    <n v="-2449.8000000000002"/>
    <x v="7"/>
    <s v="Q3"/>
    <n v="2022"/>
    <x v="1"/>
  </r>
  <r>
    <x v="40"/>
    <x v="3"/>
    <x v="3"/>
    <x v="15"/>
    <n v="13"/>
    <n v="823.88"/>
    <s v="Male"/>
    <n v="5"/>
    <n v="1158.3800000000001"/>
    <n v="-334.5"/>
    <x v="11"/>
    <s v="Q4"/>
    <n v="2023"/>
    <x v="1"/>
  </r>
  <r>
    <x v="41"/>
    <x v="4"/>
    <x v="0"/>
    <x v="8"/>
    <n v="21"/>
    <n v="8375.6"/>
    <s v="Female"/>
    <n v="4"/>
    <n v="2127.09"/>
    <n v="6248.51"/>
    <x v="9"/>
    <s v="Q3"/>
    <n v="2022"/>
    <x v="2"/>
  </r>
  <r>
    <x v="42"/>
    <x v="0"/>
    <x v="4"/>
    <x v="18"/>
    <n v="27"/>
    <n v="6601.03"/>
    <s v="Male"/>
    <n v="1"/>
    <n v="6107.2"/>
    <n v="493.83"/>
    <x v="0"/>
    <s v="Q2"/>
    <n v="2022"/>
    <x v="3"/>
  </r>
  <r>
    <x v="43"/>
    <x v="4"/>
    <x v="3"/>
    <x v="11"/>
    <n v="11"/>
    <n v="2383.04"/>
    <s v="Male"/>
    <n v="2"/>
    <n v="773.3"/>
    <n v="1609.74"/>
    <x v="9"/>
    <s v="Q3"/>
    <n v="2022"/>
    <x v="1"/>
  </r>
  <r>
    <x v="44"/>
    <x v="3"/>
    <x v="1"/>
    <x v="3"/>
    <n v="30"/>
    <n v="4321.34"/>
    <s v="Female"/>
    <n v="1"/>
    <n v="4530.51"/>
    <n v="-209.17"/>
    <x v="7"/>
    <s v="Q3"/>
    <n v="2022"/>
    <x v="1"/>
  </r>
  <r>
    <x v="45"/>
    <x v="2"/>
    <x v="3"/>
    <x v="4"/>
    <n v="17"/>
    <n v="2877.76"/>
    <s v="Male"/>
    <n v="1"/>
    <n v="1652.86"/>
    <n v="1224.9000000000001"/>
    <x v="10"/>
    <s v="Q3"/>
    <n v="2023"/>
    <x v="2"/>
  </r>
  <r>
    <x v="45"/>
    <x v="3"/>
    <x v="4"/>
    <x v="17"/>
    <n v="18"/>
    <n v="4279.21"/>
    <s v="Male"/>
    <n v="3"/>
    <n v="2423.65"/>
    <n v="1855.56"/>
    <x v="10"/>
    <s v="Q3"/>
    <n v="2023"/>
    <x v="4"/>
  </r>
  <r>
    <x v="46"/>
    <x v="4"/>
    <x v="4"/>
    <x v="17"/>
    <n v="18"/>
    <n v="2685.04"/>
    <s v="Female"/>
    <n v="4"/>
    <n v="1326.23"/>
    <n v="1358.81"/>
    <x v="2"/>
    <s v="Q1"/>
    <n v="2023"/>
    <x v="3"/>
  </r>
  <r>
    <x v="47"/>
    <x v="4"/>
    <x v="3"/>
    <x v="11"/>
    <n v="9"/>
    <n v="3552.51"/>
    <s v="Female"/>
    <n v="5"/>
    <n v="2233.06"/>
    <n v="1319.45"/>
    <x v="1"/>
    <s v="Q1"/>
    <n v="2023"/>
    <x v="2"/>
  </r>
  <r>
    <x v="48"/>
    <x v="3"/>
    <x v="0"/>
    <x v="14"/>
    <n v="39"/>
    <n v="17358.37"/>
    <s v="Male"/>
    <n v="5"/>
    <n v="3162.14"/>
    <n v="14196.23"/>
    <x v="8"/>
    <s v="Q4"/>
    <n v="2023"/>
    <x v="4"/>
  </r>
  <r>
    <x v="49"/>
    <x v="0"/>
    <x v="0"/>
    <x v="0"/>
    <n v="2"/>
    <n v="882.83"/>
    <s v="Female"/>
    <n v="3"/>
    <n v="64.959999999999994"/>
    <n v="817.87"/>
    <x v="10"/>
    <s v="Q3"/>
    <n v="2023"/>
    <x v="1"/>
  </r>
  <r>
    <x v="50"/>
    <x v="3"/>
    <x v="1"/>
    <x v="3"/>
    <n v="39"/>
    <n v="18468.5"/>
    <s v="Male"/>
    <n v="5"/>
    <n v="7027.61"/>
    <n v="11440.89"/>
    <x v="1"/>
    <s v="Q1"/>
    <n v="2022"/>
    <x v="1"/>
  </r>
  <r>
    <x v="51"/>
    <x v="3"/>
    <x v="2"/>
    <x v="16"/>
    <n v="28"/>
    <n v="13953.83"/>
    <s v="Female"/>
    <n v="1"/>
    <n v="4942.6400000000003"/>
    <n v="9011.19"/>
    <x v="0"/>
    <s v="Q2"/>
    <n v="2022"/>
    <x v="4"/>
  </r>
  <r>
    <x v="52"/>
    <x v="1"/>
    <x v="2"/>
    <x v="7"/>
    <n v="11"/>
    <n v="2541.92"/>
    <s v="Female"/>
    <n v="3"/>
    <n v="1282.07"/>
    <n v="1259.8499999999999"/>
    <x v="6"/>
    <s v="Q4"/>
    <n v="2023"/>
    <x v="1"/>
  </r>
  <r>
    <x v="53"/>
    <x v="3"/>
    <x v="4"/>
    <x v="10"/>
    <n v="1"/>
    <n v="372.52"/>
    <s v="Male"/>
    <n v="1"/>
    <n v="156.54"/>
    <n v="215.98"/>
    <x v="7"/>
    <s v="Q3"/>
    <n v="2022"/>
    <x v="4"/>
  </r>
  <r>
    <x v="22"/>
    <x v="4"/>
    <x v="2"/>
    <x v="2"/>
    <n v="33"/>
    <n v="9687.4"/>
    <s v="Female"/>
    <n v="4"/>
    <n v="4854.75"/>
    <n v="4832.6499999999996"/>
    <x v="0"/>
    <s v="Q2"/>
    <n v="2023"/>
    <x v="1"/>
  </r>
  <r>
    <x v="54"/>
    <x v="1"/>
    <x v="4"/>
    <x v="10"/>
    <n v="48"/>
    <n v="4457.95"/>
    <s v="Female"/>
    <n v="5"/>
    <n v="6541.78"/>
    <n v="-2083.83"/>
    <x v="9"/>
    <s v="Q3"/>
    <n v="2022"/>
    <x v="1"/>
  </r>
  <r>
    <x v="55"/>
    <x v="1"/>
    <x v="2"/>
    <x v="7"/>
    <n v="40"/>
    <n v="1296.2"/>
    <s v="Female"/>
    <n v="3"/>
    <n v="246.28"/>
    <n v="1049.92"/>
    <x v="5"/>
    <s v="Q1"/>
    <n v="2023"/>
    <x v="0"/>
  </r>
  <r>
    <x v="44"/>
    <x v="0"/>
    <x v="3"/>
    <x v="11"/>
    <n v="48"/>
    <n v="21116.34"/>
    <s v="Male"/>
    <n v="4"/>
    <n v="7595.67"/>
    <n v="13520.67"/>
    <x v="7"/>
    <s v="Q3"/>
    <n v="2022"/>
    <x v="4"/>
  </r>
  <r>
    <x v="56"/>
    <x v="2"/>
    <x v="0"/>
    <x v="0"/>
    <n v="31"/>
    <n v="5236.74"/>
    <s v="Female"/>
    <n v="5"/>
    <n v="7402.97"/>
    <n v="-2166.23"/>
    <x v="7"/>
    <s v="Q3"/>
    <n v="2022"/>
    <x v="1"/>
  </r>
  <r>
    <x v="57"/>
    <x v="2"/>
    <x v="4"/>
    <x v="17"/>
    <n v="18"/>
    <n v="4295.16"/>
    <s v="Male"/>
    <n v="2"/>
    <n v="3938.62"/>
    <n v="356.54"/>
    <x v="2"/>
    <s v="Q1"/>
    <n v="2023"/>
    <x v="1"/>
  </r>
  <r>
    <x v="58"/>
    <x v="4"/>
    <x v="1"/>
    <x v="3"/>
    <n v="38"/>
    <n v="2603.2399999999998"/>
    <s v="Female"/>
    <n v="4"/>
    <n v="8658.3799999999992"/>
    <n v="-6055.14"/>
    <x v="11"/>
    <s v="Q4"/>
    <n v="2023"/>
    <x v="1"/>
  </r>
  <r>
    <x v="59"/>
    <x v="0"/>
    <x v="1"/>
    <x v="3"/>
    <n v="38"/>
    <n v="11852.59"/>
    <s v="Male"/>
    <n v="3"/>
    <n v="7891.88"/>
    <n v="3960.71"/>
    <x v="7"/>
    <s v="Q3"/>
    <n v="2023"/>
    <x v="4"/>
  </r>
  <r>
    <x v="60"/>
    <x v="0"/>
    <x v="4"/>
    <x v="6"/>
    <n v="20"/>
    <n v="8416.1"/>
    <s v="Male"/>
    <n v="3"/>
    <n v="2279.83"/>
    <n v="6136.27"/>
    <x v="3"/>
    <s v="Q2"/>
    <n v="2022"/>
    <x v="1"/>
  </r>
  <r>
    <x v="59"/>
    <x v="2"/>
    <x v="3"/>
    <x v="11"/>
    <n v="39"/>
    <n v="3154"/>
    <s v="Male"/>
    <n v="1"/>
    <n v="5257.31"/>
    <n v="-2103.31"/>
    <x v="7"/>
    <s v="Q3"/>
    <n v="2023"/>
    <x v="1"/>
  </r>
  <r>
    <x v="61"/>
    <x v="1"/>
    <x v="2"/>
    <x v="5"/>
    <n v="14"/>
    <n v="5683.65"/>
    <s v="Male"/>
    <n v="1"/>
    <n v="1320.14"/>
    <n v="4363.51"/>
    <x v="0"/>
    <s v="Q2"/>
    <n v="2022"/>
    <x v="2"/>
  </r>
  <r>
    <x v="62"/>
    <x v="3"/>
    <x v="2"/>
    <x v="2"/>
    <n v="7"/>
    <n v="1629.56"/>
    <s v="Female"/>
    <n v="1"/>
    <n v="267.11"/>
    <n v="1362.45"/>
    <x v="10"/>
    <s v="Q3"/>
    <n v="2022"/>
    <x v="1"/>
  </r>
  <r>
    <x v="63"/>
    <x v="3"/>
    <x v="3"/>
    <x v="4"/>
    <n v="33"/>
    <n v="3616.95"/>
    <s v="Male"/>
    <n v="5"/>
    <n v="1191.25"/>
    <n v="2425.6999999999998"/>
    <x v="10"/>
    <s v="Q3"/>
    <n v="2023"/>
    <x v="4"/>
  </r>
  <r>
    <x v="64"/>
    <x v="1"/>
    <x v="2"/>
    <x v="2"/>
    <n v="35"/>
    <n v="5038.96"/>
    <s v="Male"/>
    <n v="4"/>
    <n v="8240.83"/>
    <n v="-3201.87"/>
    <x v="4"/>
    <s v="Q2"/>
    <n v="2022"/>
    <x v="1"/>
  </r>
  <r>
    <x v="16"/>
    <x v="4"/>
    <x v="4"/>
    <x v="10"/>
    <n v="7"/>
    <n v="1820.46"/>
    <s v="Male"/>
    <n v="5"/>
    <n v="1345.23"/>
    <n v="475.23"/>
    <x v="3"/>
    <s v="Q2"/>
    <n v="2023"/>
    <x v="1"/>
  </r>
  <r>
    <x v="65"/>
    <x v="1"/>
    <x v="2"/>
    <x v="2"/>
    <n v="2"/>
    <n v="302.02"/>
    <s v="Male"/>
    <n v="3"/>
    <n v="456.57"/>
    <n v="-154.55000000000001"/>
    <x v="11"/>
    <s v="Q4"/>
    <n v="2022"/>
    <x v="1"/>
  </r>
  <r>
    <x v="66"/>
    <x v="0"/>
    <x v="3"/>
    <x v="4"/>
    <n v="29"/>
    <n v="4863.6400000000003"/>
    <s v="Female"/>
    <n v="5"/>
    <n v="3678.13"/>
    <n v="1185.51"/>
    <x v="9"/>
    <s v="Q3"/>
    <n v="2023"/>
    <x v="1"/>
  </r>
  <r>
    <x v="67"/>
    <x v="1"/>
    <x v="2"/>
    <x v="2"/>
    <n v="8"/>
    <n v="3297.56"/>
    <s v="Female"/>
    <n v="5"/>
    <n v="1010"/>
    <n v="2287.56"/>
    <x v="8"/>
    <s v="Q4"/>
    <n v="2022"/>
    <x v="2"/>
  </r>
  <r>
    <x v="68"/>
    <x v="3"/>
    <x v="4"/>
    <x v="18"/>
    <n v="4"/>
    <n v="1947"/>
    <s v="Male"/>
    <n v="4"/>
    <n v="993.24"/>
    <n v="953.76"/>
    <x v="9"/>
    <s v="Q3"/>
    <n v="2023"/>
    <x v="1"/>
  </r>
  <r>
    <x v="69"/>
    <x v="1"/>
    <x v="2"/>
    <x v="7"/>
    <n v="33"/>
    <n v="14895.16"/>
    <s v="Female"/>
    <n v="1"/>
    <n v="4642.05"/>
    <n v="10253.11"/>
    <x v="3"/>
    <s v="Q2"/>
    <n v="2023"/>
    <x v="1"/>
  </r>
  <r>
    <x v="70"/>
    <x v="4"/>
    <x v="1"/>
    <x v="9"/>
    <n v="36"/>
    <n v="3347.8"/>
    <s v="Male"/>
    <n v="5"/>
    <n v="5776.16"/>
    <n v="-2428.36"/>
    <x v="6"/>
    <s v="Q4"/>
    <n v="2023"/>
    <x v="0"/>
  </r>
  <r>
    <x v="71"/>
    <x v="3"/>
    <x v="3"/>
    <x v="4"/>
    <n v="33"/>
    <n v="12722.38"/>
    <s v="Male"/>
    <n v="5"/>
    <n v="2354.31"/>
    <n v="10368.07"/>
    <x v="10"/>
    <s v="Q3"/>
    <n v="2022"/>
    <x v="1"/>
  </r>
  <r>
    <x v="72"/>
    <x v="0"/>
    <x v="1"/>
    <x v="1"/>
    <n v="22"/>
    <n v="1700.5"/>
    <s v="Male"/>
    <n v="1"/>
    <n v="5308.2"/>
    <n v="-3607.7"/>
    <x v="1"/>
    <s v="Q1"/>
    <n v="2022"/>
    <x v="3"/>
  </r>
  <r>
    <x v="73"/>
    <x v="4"/>
    <x v="3"/>
    <x v="11"/>
    <n v="45"/>
    <n v="2852.92"/>
    <s v="Male"/>
    <n v="1"/>
    <n v="10089.08"/>
    <n v="-7236.16"/>
    <x v="3"/>
    <s v="Q2"/>
    <n v="2023"/>
    <x v="1"/>
  </r>
  <r>
    <x v="74"/>
    <x v="3"/>
    <x v="0"/>
    <x v="13"/>
    <n v="13"/>
    <n v="5228.1899999999996"/>
    <s v="Male"/>
    <n v="3"/>
    <n v="2042.42"/>
    <n v="3185.77"/>
    <x v="9"/>
    <s v="Q3"/>
    <n v="2022"/>
    <x v="4"/>
  </r>
  <r>
    <x v="32"/>
    <x v="2"/>
    <x v="2"/>
    <x v="2"/>
    <n v="25"/>
    <n v="4499.3"/>
    <s v="Female"/>
    <n v="5"/>
    <n v="4048.89"/>
    <n v="450.41"/>
    <x v="4"/>
    <s v="Q2"/>
    <n v="2023"/>
    <x v="1"/>
  </r>
  <r>
    <x v="75"/>
    <x v="1"/>
    <x v="4"/>
    <x v="17"/>
    <n v="35"/>
    <n v="4340.41"/>
    <s v="Female"/>
    <n v="1"/>
    <n v="1082.1400000000001"/>
    <n v="3258.27"/>
    <x v="8"/>
    <s v="Q4"/>
    <n v="2023"/>
    <x v="1"/>
  </r>
  <r>
    <x v="76"/>
    <x v="3"/>
    <x v="3"/>
    <x v="4"/>
    <n v="11"/>
    <n v="2776.21"/>
    <s v="Male"/>
    <n v="4"/>
    <n v="2562.0300000000002"/>
    <n v="214.18"/>
    <x v="4"/>
    <s v="Q2"/>
    <n v="2022"/>
    <x v="1"/>
  </r>
  <r>
    <x v="77"/>
    <x v="1"/>
    <x v="4"/>
    <x v="6"/>
    <n v="36"/>
    <n v="4676.42"/>
    <s v="Male"/>
    <n v="1"/>
    <n v="8295.56"/>
    <n v="-3619.14"/>
    <x v="1"/>
    <s v="Q1"/>
    <n v="2023"/>
    <x v="1"/>
  </r>
  <r>
    <x v="78"/>
    <x v="4"/>
    <x v="0"/>
    <x v="13"/>
    <n v="13"/>
    <n v="6035.57"/>
    <s v="Female"/>
    <n v="4"/>
    <n v="103.42"/>
    <n v="5932.15"/>
    <x v="3"/>
    <s v="Q2"/>
    <n v="2022"/>
    <x v="2"/>
  </r>
  <r>
    <x v="79"/>
    <x v="1"/>
    <x v="1"/>
    <x v="1"/>
    <n v="26"/>
    <n v="4967.71"/>
    <s v="Male"/>
    <n v="1"/>
    <n v="572.62"/>
    <n v="4395.09"/>
    <x v="9"/>
    <s v="Q3"/>
    <n v="2022"/>
    <x v="1"/>
  </r>
  <r>
    <x v="80"/>
    <x v="0"/>
    <x v="4"/>
    <x v="18"/>
    <n v="30"/>
    <n v="664.14"/>
    <s v="Male"/>
    <n v="4"/>
    <n v="6412.26"/>
    <n v="-5748.12"/>
    <x v="4"/>
    <s v="Q2"/>
    <n v="2023"/>
    <x v="1"/>
  </r>
  <r>
    <x v="34"/>
    <x v="0"/>
    <x v="4"/>
    <x v="6"/>
    <n v="8"/>
    <n v="2078.04"/>
    <s v="Male"/>
    <n v="3"/>
    <n v="1412.83"/>
    <n v="665.21"/>
    <x v="10"/>
    <s v="Q3"/>
    <n v="2022"/>
    <x v="2"/>
  </r>
  <r>
    <x v="81"/>
    <x v="1"/>
    <x v="1"/>
    <x v="1"/>
    <n v="32"/>
    <n v="13017.37"/>
    <s v="Male"/>
    <n v="2"/>
    <n v="4166.3900000000003"/>
    <n v="8850.98"/>
    <x v="3"/>
    <s v="Q2"/>
    <n v="2023"/>
    <x v="1"/>
  </r>
  <r>
    <x v="82"/>
    <x v="3"/>
    <x v="1"/>
    <x v="1"/>
    <n v="40"/>
    <n v="11185.72"/>
    <s v="Female"/>
    <n v="1"/>
    <n v="9967.66"/>
    <n v="1218.06"/>
    <x v="8"/>
    <s v="Q4"/>
    <n v="2022"/>
    <x v="2"/>
  </r>
  <r>
    <x v="83"/>
    <x v="4"/>
    <x v="4"/>
    <x v="6"/>
    <n v="42"/>
    <n v="12086.68"/>
    <s v="Female"/>
    <n v="2"/>
    <n v="1732.1"/>
    <n v="10354.58"/>
    <x v="9"/>
    <s v="Q3"/>
    <n v="2023"/>
    <x v="4"/>
  </r>
  <r>
    <x v="84"/>
    <x v="3"/>
    <x v="0"/>
    <x v="14"/>
    <n v="35"/>
    <n v="4546.1499999999996"/>
    <s v="Male"/>
    <n v="5"/>
    <n v="6783.6"/>
    <n v="-2237.4499999999998"/>
    <x v="8"/>
    <s v="Q4"/>
    <n v="2022"/>
    <x v="1"/>
  </r>
  <r>
    <x v="85"/>
    <x v="3"/>
    <x v="2"/>
    <x v="5"/>
    <n v="45"/>
    <n v="2193.4299999999998"/>
    <s v="Male"/>
    <n v="4"/>
    <n v="7785.38"/>
    <n v="-5591.95"/>
    <x v="2"/>
    <s v="Q1"/>
    <n v="2022"/>
    <x v="1"/>
  </r>
  <r>
    <x v="86"/>
    <x v="1"/>
    <x v="4"/>
    <x v="10"/>
    <n v="16"/>
    <n v="7218.59"/>
    <s v="Male"/>
    <n v="3"/>
    <n v="2278.4"/>
    <n v="4940.1899999999996"/>
    <x v="7"/>
    <s v="Q3"/>
    <n v="2022"/>
    <x v="1"/>
  </r>
  <r>
    <x v="87"/>
    <x v="3"/>
    <x v="0"/>
    <x v="14"/>
    <n v="41"/>
    <n v="14038.37"/>
    <s v="Male"/>
    <n v="3"/>
    <n v="303.29000000000002"/>
    <n v="13735.08"/>
    <x v="9"/>
    <s v="Q3"/>
    <n v="2023"/>
    <x v="2"/>
  </r>
  <r>
    <x v="88"/>
    <x v="1"/>
    <x v="2"/>
    <x v="5"/>
    <n v="5"/>
    <n v="492.57"/>
    <s v="Female"/>
    <n v="1"/>
    <n v="765.64"/>
    <n v="-273.07"/>
    <x v="9"/>
    <s v="Q3"/>
    <n v="2022"/>
    <x v="4"/>
  </r>
  <r>
    <x v="70"/>
    <x v="4"/>
    <x v="3"/>
    <x v="12"/>
    <n v="10"/>
    <n v="2571.37"/>
    <s v="Female"/>
    <n v="3"/>
    <n v="1574.32"/>
    <n v="997.05"/>
    <x v="6"/>
    <s v="Q4"/>
    <n v="2023"/>
    <x v="4"/>
  </r>
  <r>
    <x v="89"/>
    <x v="3"/>
    <x v="4"/>
    <x v="10"/>
    <n v="46"/>
    <n v="14916.13"/>
    <s v="Male"/>
    <n v="2"/>
    <n v="7054.92"/>
    <n v="7861.21"/>
    <x v="8"/>
    <s v="Q4"/>
    <n v="2022"/>
    <x v="1"/>
  </r>
  <r>
    <x v="90"/>
    <x v="1"/>
    <x v="2"/>
    <x v="7"/>
    <n v="3"/>
    <n v="1266.51"/>
    <s v="Male"/>
    <n v="5"/>
    <n v="743.74"/>
    <n v="522.77"/>
    <x v="3"/>
    <s v="Q2"/>
    <n v="2023"/>
    <x v="2"/>
  </r>
  <r>
    <x v="91"/>
    <x v="1"/>
    <x v="4"/>
    <x v="6"/>
    <n v="18"/>
    <n v="5602.64"/>
    <s v="Female"/>
    <n v="5"/>
    <n v="2537.84"/>
    <n v="3064.8"/>
    <x v="8"/>
    <s v="Q4"/>
    <n v="2022"/>
    <x v="2"/>
  </r>
  <r>
    <x v="92"/>
    <x v="0"/>
    <x v="4"/>
    <x v="17"/>
    <n v="15"/>
    <n v="2818.14"/>
    <s v="Female"/>
    <n v="5"/>
    <n v="1975.24"/>
    <n v="842.9"/>
    <x v="7"/>
    <s v="Q3"/>
    <n v="2022"/>
    <x v="1"/>
  </r>
  <r>
    <x v="59"/>
    <x v="3"/>
    <x v="1"/>
    <x v="1"/>
    <n v="9"/>
    <n v="1668.03"/>
    <s v="Female"/>
    <n v="4"/>
    <n v="1000.61"/>
    <n v="667.42"/>
    <x v="7"/>
    <s v="Q3"/>
    <n v="2023"/>
    <x v="4"/>
  </r>
  <r>
    <x v="93"/>
    <x v="3"/>
    <x v="1"/>
    <x v="19"/>
    <n v="3"/>
    <n v="1205.75"/>
    <s v="Male"/>
    <n v="1"/>
    <n v="294.70999999999998"/>
    <n v="911.04"/>
    <x v="6"/>
    <s v="Q4"/>
    <n v="2022"/>
    <x v="1"/>
  </r>
  <r>
    <x v="8"/>
    <x v="3"/>
    <x v="3"/>
    <x v="11"/>
    <n v="1"/>
    <n v="90.8"/>
    <s v="Female"/>
    <n v="3"/>
    <n v="160.22999999999999"/>
    <n v="-69.430000000000007"/>
    <x v="5"/>
    <s v="Q1"/>
    <n v="2023"/>
    <x v="1"/>
  </r>
  <r>
    <x v="94"/>
    <x v="0"/>
    <x v="3"/>
    <x v="4"/>
    <n v="40"/>
    <n v="14151.28"/>
    <s v="Male"/>
    <n v="1"/>
    <n v="3635.8"/>
    <n v="10515.48"/>
    <x v="11"/>
    <s v="Q4"/>
    <n v="2023"/>
    <x v="4"/>
  </r>
  <r>
    <x v="95"/>
    <x v="3"/>
    <x v="3"/>
    <x v="11"/>
    <n v="46"/>
    <n v="2921.32"/>
    <s v="Male"/>
    <n v="3"/>
    <n v="11363.45"/>
    <n v="-8442.1299999999992"/>
    <x v="4"/>
    <s v="Q2"/>
    <n v="2022"/>
    <x v="1"/>
  </r>
  <r>
    <x v="96"/>
    <x v="0"/>
    <x v="0"/>
    <x v="0"/>
    <n v="19"/>
    <n v="7240.05"/>
    <s v="Male"/>
    <n v="5"/>
    <n v="111.12"/>
    <n v="7128.93"/>
    <x v="11"/>
    <s v="Q4"/>
    <n v="2023"/>
    <x v="4"/>
  </r>
  <r>
    <x v="97"/>
    <x v="1"/>
    <x v="1"/>
    <x v="1"/>
    <n v="42"/>
    <n v="8301.52"/>
    <s v="Male"/>
    <n v="1"/>
    <n v="2013.62"/>
    <n v="6287.9"/>
    <x v="0"/>
    <s v="Q2"/>
    <n v="2023"/>
    <x v="1"/>
  </r>
  <r>
    <x v="98"/>
    <x v="2"/>
    <x v="2"/>
    <x v="16"/>
    <n v="36"/>
    <n v="7159.67"/>
    <s v="Female"/>
    <n v="1"/>
    <n v="1057.54"/>
    <n v="6102.13"/>
    <x v="8"/>
    <s v="Q4"/>
    <n v="2022"/>
    <x v="1"/>
  </r>
  <r>
    <x v="99"/>
    <x v="1"/>
    <x v="4"/>
    <x v="17"/>
    <n v="5"/>
    <n v="1174.32"/>
    <s v="Male"/>
    <n v="3"/>
    <n v="1236.5899999999999"/>
    <n v="-62.27"/>
    <x v="7"/>
    <s v="Q3"/>
    <n v="2022"/>
    <x v="4"/>
  </r>
  <r>
    <x v="5"/>
    <x v="2"/>
    <x v="4"/>
    <x v="17"/>
    <n v="36"/>
    <n v="1759.75"/>
    <s v="Male"/>
    <n v="5"/>
    <n v="7261.15"/>
    <n v="-5501.4"/>
    <x v="4"/>
    <s v="Q2"/>
    <n v="2023"/>
    <x v="1"/>
  </r>
  <r>
    <x v="100"/>
    <x v="2"/>
    <x v="0"/>
    <x v="8"/>
    <n v="31"/>
    <n v="11188.18"/>
    <s v="Female"/>
    <n v="4"/>
    <n v="646.59"/>
    <n v="10541.59"/>
    <x v="7"/>
    <s v="Q3"/>
    <n v="2022"/>
    <x v="2"/>
  </r>
  <r>
    <x v="101"/>
    <x v="1"/>
    <x v="1"/>
    <x v="19"/>
    <n v="20"/>
    <n v="5118.13"/>
    <s v="Male"/>
    <n v="3"/>
    <n v="497.02"/>
    <n v="4621.1099999999997"/>
    <x v="10"/>
    <s v="Q3"/>
    <n v="2022"/>
    <x v="1"/>
  </r>
  <r>
    <x v="17"/>
    <x v="2"/>
    <x v="2"/>
    <x v="7"/>
    <n v="5"/>
    <n v="222.51"/>
    <s v="Male"/>
    <n v="5"/>
    <n v="881.61"/>
    <n v="-659.1"/>
    <x v="6"/>
    <s v="Q4"/>
    <n v="2023"/>
    <x v="4"/>
  </r>
  <r>
    <x v="102"/>
    <x v="2"/>
    <x v="4"/>
    <x v="17"/>
    <n v="31"/>
    <n v="5395.07"/>
    <s v="Female"/>
    <n v="4"/>
    <n v="6157.3"/>
    <n v="-762.23"/>
    <x v="11"/>
    <s v="Q4"/>
    <n v="2023"/>
    <x v="4"/>
  </r>
  <r>
    <x v="103"/>
    <x v="4"/>
    <x v="1"/>
    <x v="19"/>
    <n v="3"/>
    <n v="630.92999999999995"/>
    <s v="Male"/>
    <n v="3"/>
    <n v="364.29"/>
    <n v="266.64"/>
    <x v="0"/>
    <s v="Q2"/>
    <n v="2023"/>
    <x v="2"/>
  </r>
  <r>
    <x v="104"/>
    <x v="3"/>
    <x v="0"/>
    <x v="0"/>
    <n v="12"/>
    <n v="3457.27"/>
    <s v="Male"/>
    <n v="2"/>
    <n v="1078.1500000000001"/>
    <n v="2379.12"/>
    <x v="7"/>
    <s v="Q3"/>
    <n v="2022"/>
    <x v="1"/>
  </r>
  <r>
    <x v="105"/>
    <x v="3"/>
    <x v="0"/>
    <x v="0"/>
    <n v="8"/>
    <n v="2376.31"/>
    <s v="Female"/>
    <n v="3"/>
    <n v="141.16"/>
    <n v="2235.15"/>
    <x v="8"/>
    <s v="Q4"/>
    <n v="2022"/>
    <x v="2"/>
  </r>
  <r>
    <x v="60"/>
    <x v="1"/>
    <x v="4"/>
    <x v="10"/>
    <n v="15"/>
    <n v="5383.81"/>
    <s v="Male"/>
    <n v="3"/>
    <n v="2454.92"/>
    <n v="2928.89"/>
    <x v="3"/>
    <s v="Q2"/>
    <n v="2022"/>
    <x v="2"/>
  </r>
  <r>
    <x v="106"/>
    <x v="0"/>
    <x v="1"/>
    <x v="1"/>
    <n v="19"/>
    <n v="4893.25"/>
    <s v="Male"/>
    <n v="4"/>
    <n v="875.11"/>
    <n v="4018.14"/>
    <x v="10"/>
    <s v="Q3"/>
    <n v="2022"/>
    <x v="1"/>
  </r>
  <r>
    <x v="107"/>
    <x v="1"/>
    <x v="4"/>
    <x v="6"/>
    <n v="1"/>
    <n v="128.44"/>
    <s v="Male"/>
    <n v="1"/>
    <n v="8.82"/>
    <n v="119.62"/>
    <x v="11"/>
    <s v="Q4"/>
    <n v="2022"/>
    <x v="2"/>
  </r>
  <r>
    <x v="108"/>
    <x v="4"/>
    <x v="0"/>
    <x v="8"/>
    <n v="19"/>
    <n v="4564.18"/>
    <s v="Female"/>
    <n v="3"/>
    <n v="1508.36"/>
    <n v="3055.82"/>
    <x v="6"/>
    <s v="Q4"/>
    <n v="2022"/>
    <x v="2"/>
  </r>
  <r>
    <x v="109"/>
    <x v="2"/>
    <x v="4"/>
    <x v="10"/>
    <n v="32"/>
    <n v="13086.66"/>
    <s v="Female"/>
    <n v="2"/>
    <n v="7509.32"/>
    <n v="5577.34"/>
    <x v="10"/>
    <s v="Q3"/>
    <n v="2022"/>
    <x v="2"/>
  </r>
  <r>
    <x v="87"/>
    <x v="1"/>
    <x v="4"/>
    <x v="17"/>
    <n v="32"/>
    <n v="12014.19"/>
    <s v="Male"/>
    <n v="3"/>
    <n v="3569.5"/>
    <n v="8444.69"/>
    <x v="9"/>
    <s v="Q3"/>
    <n v="2023"/>
    <x v="1"/>
  </r>
  <r>
    <x v="71"/>
    <x v="3"/>
    <x v="4"/>
    <x v="6"/>
    <n v="50"/>
    <n v="22622.79"/>
    <s v="Male"/>
    <n v="4"/>
    <n v="1973.2"/>
    <n v="20649.59"/>
    <x v="10"/>
    <s v="Q3"/>
    <n v="2022"/>
    <x v="1"/>
  </r>
  <r>
    <x v="110"/>
    <x v="3"/>
    <x v="4"/>
    <x v="10"/>
    <n v="2"/>
    <n v="103.48"/>
    <s v="Female"/>
    <n v="5"/>
    <n v="434.7"/>
    <n v="-331.22"/>
    <x v="4"/>
    <s v="Q2"/>
    <n v="2022"/>
    <x v="0"/>
  </r>
  <r>
    <x v="111"/>
    <x v="1"/>
    <x v="2"/>
    <x v="2"/>
    <n v="39"/>
    <n v="4950.1899999999996"/>
    <s v="Male"/>
    <n v="3"/>
    <n v="3048.14"/>
    <n v="1902.05"/>
    <x v="3"/>
    <s v="Q2"/>
    <n v="2022"/>
    <x v="1"/>
  </r>
  <r>
    <x v="112"/>
    <x v="2"/>
    <x v="3"/>
    <x v="15"/>
    <n v="31"/>
    <n v="4975.3100000000004"/>
    <s v="Female"/>
    <n v="2"/>
    <n v="214.27"/>
    <n v="4761.04"/>
    <x v="10"/>
    <s v="Q3"/>
    <n v="2023"/>
    <x v="1"/>
  </r>
  <r>
    <x v="113"/>
    <x v="3"/>
    <x v="0"/>
    <x v="0"/>
    <n v="15"/>
    <n v="3442.4"/>
    <s v="Female"/>
    <n v="3"/>
    <n v="3499.22"/>
    <n v="-56.82"/>
    <x v="5"/>
    <s v="Q1"/>
    <n v="2023"/>
    <x v="2"/>
  </r>
  <r>
    <x v="114"/>
    <x v="3"/>
    <x v="4"/>
    <x v="18"/>
    <n v="44"/>
    <n v="7290.26"/>
    <s v="Female"/>
    <n v="1"/>
    <n v="6233.44"/>
    <n v="1056.82"/>
    <x v="11"/>
    <s v="Q4"/>
    <n v="2023"/>
    <x v="1"/>
  </r>
  <r>
    <x v="115"/>
    <x v="3"/>
    <x v="2"/>
    <x v="2"/>
    <n v="8"/>
    <n v="3906.7"/>
    <s v="Male"/>
    <n v="2"/>
    <n v="550.47"/>
    <n v="3356.23"/>
    <x v="0"/>
    <s v="Q2"/>
    <n v="2022"/>
    <x v="2"/>
  </r>
  <r>
    <x v="3"/>
    <x v="1"/>
    <x v="0"/>
    <x v="0"/>
    <n v="38"/>
    <n v="12938.7"/>
    <s v="Male"/>
    <n v="5"/>
    <n v="9159.6200000000008"/>
    <n v="3779.08"/>
    <x v="2"/>
    <s v="Q1"/>
    <n v="2023"/>
    <x v="0"/>
  </r>
  <r>
    <x v="116"/>
    <x v="2"/>
    <x v="2"/>
    <x v="5"/>
    <n v="15"/>
    <n v="2644.13"/>
    <s v="Female"/>
    <n v="5"/>
    <n v="1288.96"/>
    <n v="1355.17"/>
    <x v="9"/>
    <s v="Q3"/>
    <n v="2022"/>
    <x v="1"/>
  </r>
  <r>
    <x v="117"/>
    <x v="2"/>
    <x v="1"/>
    <x v="3"/>
    <n v="5"/>
    <n v="1947.37"/>
    <s v="Female"/>
    <n v="5"/>
    <n v="44.47"/>
    <n v="1902.9"/>
    <x v="10"/>
    <s v="Q3"/>
    <n v="2022"/>
    <x v="1"/>
  </r>
  <r>
    <x v="118"/>
    <x v="3"/>
    <x v="3"/>
    <x v="15"/>
    <n v="17"/>
    <n v="3153.33"/>
    <s v="Male"/>
    <n v="1"/>
    <n v="859.15"/>
    <n v="2294.1799999999998"/>
    <x v="1"/>
    <s v="Q1"/>
    <n v="2023"/>
    <x v="2"/>
  </r>
  <r>
    <x v="119"/>
    <x v="3"/>
    <x v="1"/>
    <x v="3"/>
    <n v="12"/>
    <n v="5539.81"/>
    <s v="Male"/>
    <n v="1"/>
    <n v="2253.59"/>
    <n v="3286.22"/>
    <x v="4"/>
    <s v="Q2"/>
    <n v="2022"/>
    <x v="2"/>
  </r>
  <r>
    <x v="120"/>
    <x v="1"/>
    <x v="0"/>
    <x v="8"/>
    <n v="37"/>
    <n v="834.5"/>
    <s v="Male"/>
    <n v="4"/>
    <n v="3459.38"/>
    <n v="-2624.88"/>
    <x v="3"/>
    <s v="Q2"/>
    <n v="2023"/>
    <x v="2"/>
  </r>
  <r>
    <x v="121"/>
    <x v="3"/>
    <x v="4"/>
    <x v="10"/>
    <n v="13"/>
    <n v="986.36"/>
    <s v="Male"/>
    <n v="2"/>
    <n v="2595.37"/>
    <n v="-1609.01"/>
    <x v="2"/>
    <s v="Q1"/>
    <n v="2023"/>
    <x v="1"/>
  </r>
  <r>
    <x v="122"/>
    <x v="1"/>
    <x v="1"/>
    <x v="9"/>
    <n v="8"/>
    <n v="390.21"/>
    <s v="Female"/>
    <n v="2"/>
    <n v="580.39"/>
    <n v="-190.18"/>
    <x v="9"/>
    <s v="Q3"/>
    <n v="2022"/>
    <x v="2"/>
  </r>
  <r>
    <x v="123"/>
    <x v="4"/>
    <x v="1"/>
    <x v="1"/>
    <n v="44"/>
    <n v="20220.849999999999"/>
    <s v="Female"/>
    <n v="2"/>
    <n v="9939.94"/>
    <n v="10280.91"/>
    <x v="11"/>
    <s v="Q4"/>
    <n v="2023"/>
    <x v="1"/>
  </r>
  <r>
    <x v="124"/>
    <x v="4"/>
    <x v="1"/>
    <x v="1"/>
    <n v="40"/>
    <n v="1592.7"/>
    <s v="Female"/>
    <n v="2"/>
    <n v="2612.94"/>
    <n v="-1020.24"/>
    <x v="7"/>
    <s v="Q3"/>
    <n v="2023"/>
    <x v="1"/>
  </r>
  <r>
    <x v="125"/>
    <x v="4"/>
    <x v="0"/>
    <x v="13"/>
    <n v="4"/>
    <n v="1414.97"/>
    <s v="Female"/>
    <n v="2"/>
    <n v="962.52"/>
    <n v="452.45"/>
    <x v="1"/>
    <s v="Q1"/>
    <n v="2022"/>
    <x v="2"/>
  </r>
  <r>
    <x v="126"/>
    <x v="0"/>
    <x v="1"/>
    <x v="9"/>
    <n v="5"/>
    <n v="1348.9"/>
    <s v="Male"/>
    <n v="4"/>
    <n v="1101.76"/>
    <n v="247.14"/>
    <x v="1"/>
    <s v="Q1"/>
    <n v="2023"/>
    <x v="2"/>
  </r>
  <r>
    <x v="127"/>
    <x v="3"/>
    <x v="0"/>
    <x v="8"/>
    <n v="12"/>
    <n v="5094.12"/>
    <s v="Female"/>
    <n v="5"/>
    <n v="277.26"/>
    <n v="4816.8599999999997"/>
    <x v="8"/>
    <s v="Q4"/>
    <n v="2023"/>
    <x v="3"/>
  </r>
  <r>
    <x v="14"/>
    <x v="3"/>
    <x v="2"/>
    <x v="5"/>
    <n v="45"/>
    <n v="8712.65"/>
    <s v="Male"/>
    <n v="5"/>
    <n v="9405.6200000000008"/>
    <n v="-692.97"/>
    <x v="1"/>
    <s v="Q1"/>
    <n v="2023"/>
    <x v="2"/>
  </r>
  <r>
    <x v="128"/>
    <x v="0"/>
    <x v="1"/>
    <x v="9"/>
    <n v="6"/>
    <n v="2378.25"/>
    <s v="Female"/>
    <n v="4"/>
    <n v="1362.33"/>
    <n v="1015.92"/>
    <x v="8"/>
    <s v="Q4"/>
    <n v="2023"/>
    <x v="4"/>
  </r>
  <r>
    <x v="129"/>
    <x v="4"/>
    <x v="1"/>
    <x v="9"/>
    <n v="44"/>
    <n v="14703.62"/>
    <s v="Male"/>
    <n v="2"/>
    <n v="7756.94"/>
    <n v="6946.68"/>
    <x v="10"/>
    <s v="Q3"/>
    <n v="2022"/>
    <x v="2"/>
  </r>
  <r>
    <x v="130"/>
    <x v="2"/>
    <x v="0"/>
    <x v="0"/>
    <n v="48"/>
    <n v="5125.6400000000003"/>
    <s v="Male"/>
    <n v="1"/>
    <n v="10260.82"/>
    <n v="-5135.18"/>
    <x v="10"/>
    <s v="Q3"/>
    <n v="2023"/>
    <x v="1"/>
  </r>
  <r>
    <x v="131"/>
    <x v="1"/>
    <x v="0"/>
    <x v="13"/>
    <n v="40"/>
    <n v="7729.4"/>
    <s v="Female"/>
    <n v="4"/>
    <n v="6743.06"/>
    <n v="986.34"/>
    <x v="2"/>
    <s v="Q1"/>
    <n v="2022"/>
    <x v="4"/>
  </r>
  <r>
    <x v="7"/>
    <x v="1"/>
    <x v="1"/>
    <x v="19"/>
    <n v="28"/>
    <n v="1706.27"/>
    <s v="Female"/>
    <n v="5"/>
    <n v="1058.06"/>
    <n v="648.21"/>
    <x v="4"/>
    <s v="Q2"/>
    <n v="2022"/>
    <x v="1"/>
  </r>
  <r>
    <x v="132"/>
    <x v="0"/>
    <x v="0"/>
    <x v="0"/>
    <n v="42"/>
    <n v="12100.39"/>
    <s v="Female"/>
    <n v="1"/>
    <n v="8635.59"/>
    <n v="3464.8"/>
    <x v="2"/>
    <s v="Q1"/>
    <n v="2023"/>
    <x v="2"/>
  </r>
  <r>
    <x v="122"/>
    <x v="0"/>
    <x v="4"/>
    <x v="17"/>
    <n v="41"/>
    <n v="20444.23"/>
    <s v="Female"/>
    <n v="5"/>
    <n v="2755.95"/>
    <n v="17688.28"/>
    <x v="9"/>
    <s v="Q3"/>
    <n v="2022"/>
    <x v="1"/>
  </r>
  <r>
    <x v="133"/>
    <x v="1"/>
    <x v="3"/>
    <x v="15"/>
    <n v="25"/>
    <n v="6936.27"/>
    <s v="Male"/>
    <n v="1"/>
    <n v="5527.45"/>
    <n v="1408.82"/>
    <x v="7"/>
    <s v="Q3"/>
    <n v="2023"/>
    <x v="1"/>
  </r>
  <r>
    <x v="21"/>
    <x v="0"/>
    <x v="2"/>
    <x v="2"/>
    <n v="49"/>
    <n v="7163.09"/>
    <s v="Female"/>
    <n v="5"/>
    <n v="7180.57"/>
    <n v="-17.48"/>
    <x v="0"/>
    <s v="Q2"/>
    <n v="2023"/>
    <x v="1"/>
  </r>
  <r>
    <x v="134"/>
    <x v="3"/>
    <x v="2"/>
    <x v="2"/>
    <n v="29"/>
    <n v="12517.51"/>
    <s v="Female"/>
    <n v="1"/>
    <n v="3278.84"/>
    <n v="9238.67"/>
    <x v="10"/>
    <s v="Q3"/>
    <n v="2023"/>
    <x v="2"/>
  </r>
  <r>
    <x v="135"/>
    <x v="3"/>
    <x v="1"/>
    <x v="3"/>
    <n v="1"/>
    <n v="210.4"/>
    <s v="Female"/>
    <n v="2"/>
    <n v="84.42"/>
    <n v="125.98"/>
    <x v="5"/>
    <s v="Q1"/>
    <n v="2022"/>
    <x v="4"/>
  </r>
  <r>
    <x v="136"/>
    <x v="1"/>
    <x v="2"/>
    <x v="16"/>
    <n v="18"/>
    <n v="8827.44"/>
    <s v="Female"/>
    <n v="1"/>
    <n v="4082.79"/>
    <n v="4744.6499999999996"/>
    <x v="10"/>
    <s v="Q3"/>
    <n v="2023"/>
    <x v="0"/>
  </r>
  <r>
    <x v="137"/>
    <x v="3"/>
    <x v="4"/>
    <x v="17"/>
    <n v="9"/>
    <n v="1034.9000000000001"/>
    <s v="Female"/>
    <n v="4"/>
    <n v="1601.21"/>
    <n v="-566.30999999999995"/>
    <x v="1"/>
    <s v="Q1"/>
    <n v="2023"/>
    <x v="1"/>
  </r>
  <r>
    <x v="138"/>
    <x v="1"/>
    <x v="3"/>
    <x v="12"/>
    <n v="17"/>
    <n v="1750.19"/>
    <s v="Male"/>
    <n v="2"/>
    <n v="3583.79"/>
    <n v="-1833.6"/>
    <x v="0"/>
    <s v="Q2"/>
    <n v="2022"/>
    <x v="4"/>
  </r>
  <r>
    <x v="19"/>
    <x v="3"/>
    <x v="0"/>
    <x v="13"/>
    <n v="23"/>
    <n v="628.30999999999995"/>
    <s v="Male"/>
    <n v="3"/>
    <n v="1503.9"/>
    <n v="-875.59"/>
    <x v="1"/>
    <s v="Q1"/>
    <n v="2023"/>
    <x v="2"/>
  </r>
  <r>
    <x v="139"/>
    <x v="4"/>
    <x v="2"/>
    <x v="16"/>
    <n v="14"/>
    <n v="2528.84"/>
    <s v="Male"/>
    <n v="5"/>
    <n v="1402.59"/>
    <n v="1126.25"/>
    <x v="4"/>
    <s v="Q2"/>
    <n v="2023"/>
    <x v="1"/>
  </r>
  <r>
    <x v="140"/>
    <x v="2"/>
    <x v="3"/>
    <x v="12"/>
    <n v="27"/>
    <n v="11992.06"/>
    <s v="Female"/>
    <n v="2"/>
    <n v="2460.9"/>
    <n v="9531.16"/>
    <x v="4"/>
    <s v="Q2"/>
    <n v="2022"/>
    <x v="4"/>
  </r>
  <r>
    <x v="141"/>
    <x v="3"/>
    <x v="3"/>
    <x v="15"/>
    <n v="35"/>
    <n v="1388.57"/>
    <s v="Female"/>
    <n v="4"/>
    <n v="3776.82"/>
    <n v="-2388.25"/>
    <x v="6"/>
    <s v="Q4"/>
    <n v="2022"/>
    <x v="1"/>
  </r>
  <r>
    <x v="142"/>
    <x v="0"/>
    <x v="2"/>
    <x v="5"/>
    <n v="47"/>
    <n v="11682.36"/>
    <s v="Female"/>
    <n v="5"/>
    <n v="8465.8799999999992"/>
    <n v="3216.48"/>
    <x v="4"/>
    <s v="Q2"/>
    <n v="2023"/>
    <x v="1"/>
  </r>
  <r>
    <x v="143"/>
    <x v="2"/>
    <x v="1"/>
    <x v="19"/>
    <n v="6"/>
    <n v="1599.61"/>
    <s v="Male"/>
    <n v="2"/>
    <n v="1282.94"/>
    <n v="316.67"/>
    <x v="9"/>
    <s v="Q3"/>
    <n v="2023"/>
    <x v="1"/>
  </r>
  <r>
    <x v="144"/>
    <x v="0"/>
    <x v="4"/>
    <x v="18"/>
    <n v="49"/>
    <n v="21137.9"/>
    <s v="Male"/>
    <n v="1"/>
    <n v="11796.37"/>
    <n v="9341.5300000000007"/>
    <x v="0"/>
    <s v="Q2"/>
    <n v="2022"/>
    <x v="4"/>
  </r>
  <r>
    <x v="75"/>
    <x v="1"/>
    <x v="4"/>
    <x v="17"/>
    <n v="29"/>
    <n v="5716.47"/>
    <s v="Male"/>
    <n v="2"/>
    <n v="1284.3900000000001"/>
    <n v="4432.08"/>
    <x v="8"/>
    <s v="Q4"/>
    <n v="2023"/>
    <x v="1"/>
  </r>
  <r>
    <x v="145"/>
    <x v="3"/>
    <x v="1"/>
    <x v="3"/>
    <n v="41"/>
    <n v="15766.06"/>
    <s v="Male"/>
    <n v="3"/>
    <n v="5469.54"/>
    <n v="10296.52"/>
    <x v="7"/>
    <s v="Q3"/>
    <n v="2022"/>
    <x v="4"/>
  </r>
  <r>
    <x v="146"/>
    <x v="2"/>
    <x v="2"/>
    <x v="5"/>
    <n v="24"/>
    <n v="6922.87"/>
    <s v="Female"/>
    <n v="3"/>
    <n v="5735.8"/>
    <n v="1187.07"/>
    <x v="4"/>
    <s v="Q2"/>
    <n v="2023"/>
    <x v="4"/>
  </r>
  <r>
    <x v="147"/>
    <x v="1"/>
    <x v="0"/>
    <x v="8"/>
    <n v="21"/>
    <n v="9381.77"/>
    <s v="Male"/>
    <n v="1"/>
    <n v="4391.62"/>
    <n v="4990.1499999999996"/>
    <x v="2"/>
    <s v="Q1"/>
    <n v="2023"/>
    <x v="2"/>
  </r>
  <r>
    <x v="92"/>
    <x v="4"/>
    <x v="3"/>
    <x v="15"/>
    <n v="45"/>
    <n v="14630.71"/>
    <s v="Female"/>
    <n v="4"/>
    <n v="6947.72"/>
    <n v="7682.99"/>
    <x v="7"/>
    <s v="Q3"/>
    <n v="2022"/>
    <x v="1"/>
  </r>
  <r>
    <x v="148"/>
    <x v="4"/>
    <x v="1"/>
    <x v="9"/>
    <n v="21"/>
    <n v="7663.47"/>
    <s v="Female"/>
    <n v="2"/>
    <n v="3975.78"/>
    <n v="3687.69"/>
    <x v="8"/>
    <s v="Q4"/>
    <n v="2022"/>
    <x v="4"/>
  </r>
  <r>
    <x v="149"/>
    <x v="0"/>
    <x v="3"/>
    <x v="15"/>
    <n v="9"/>
    <n v="4295.24"/>
    <s v="Male"/>
    <n v="3"/>
    <n v="53.63"/>
    <n v="4241.6099999999997"/>
    <x v="2"/>
    <s v="Q1"/>
    <n v="2023"/>
    <x v="0"/>
  </r>
  <r>
    <x v="150"/>
    <x v="3"/>
    <x v="2"/>
    <x v="2"/>
    <n v="2"/>
    <n v="601.9"/>
    <s v="Male"/>
    <n v="5"/>
    <n v="272.72000000000003"/>
    <n v="329.18"/>
    <x v="7"/>
    <s v="Q3"/>
    <n v="2023"/>
    <x v="4"/>
  </r>
  <r>
    <x v="151"/>
    <x v="0"/>
    <x v="2"/>
    <x v="16"/>
    <n v="36"/>
    <n v="10018.43"/>
    <s v="Male"/>
    <n v="2"/>
    <n v="1027.8599999999999"/>
    <n v="8990.57"/>
    <x v="6"/>
    <s v="Q4"/>
    <n v="2022"/>
    <x v="4"/>
  </r>
  <r>
    <x v="152"/>
    <x v="4"/>
    <x v="0"/>
    <x v="8"/>
    <n v="31"/>
    <n v="10685.43"/>
    <s v="Female"/>
    <n v="3"/>
    <n v="3752.13"/>
    <n v="6933.3"/>
    <x v="0"/>
    <s v="Q2"/>
    <n v="2022"/>
    <x v="1"/>
  </r>
  <r>
    <x v="128"/>
    <x v="4"/>
    <x v="3"/>
    <x v="11"/>
    <n v="14"/>
    <n v="5724.09"/>
    <s v="Female"/>
    <n v="3"/>
    <n v="2954.53"/>
    <n v="2769.56"/>
    <x v="8"/>
    <s v="Q4"/>
    <n v="2023"/>
    <x v="4"/>
  </r>
  <r>
    <x v="153"/>
    <x v="1"/>
    <x v="4"/>
    <x v="17"/>
    <n v="22"/>
    <n v="979.36"/>
    <s v="Female"/>
    <n v="1"/>
    <n v="1678.26"/>
    <n v="-698.9"/>
    <x v="0"/>
    <s v="Q2"/>
    <n v="2023"/>
    <x v="1"/>
  </r>
  <r>
    <x v="154"/>
    <x v="1"/>
    <x v="1"/>
    <x v="1"/>
    <n v="2"/>
    <n v="656.47"/>
    <s v="Male"/>
    <n v="3"/>
    <n v="16.43"/>
    <n v="640.04"/>
    <x v="10"/>
    <s v="Q3"/>
    <n v="2023"/>
    <x v="1"/>
  </r>
  <r>
    <x v="155"/>
    <x v="0"/>
    <x v="0"/>
    <x v="0"/>
    <n v="46"/>
    <n v="743.49"/>
    <s v="Male"/>
    <n v="3"/>
    <n v="4154.4399999999996"/>
    <n v="-3410.95"/>
    <x v="6"/>
    <s v="Q4"/>
    <n v="2022"/>
    <x v="4"/>
  </r>
  <r>
    <x v="156"/>
    <x v="3"/>
    <x v="0"/>
    <x v="0"/>
    <n v="10"/>
    <n v="1019.29"/>
    <s v="Male"/>
    <n v="3"/>
    <n v="1220.53"/>
    <n v="-201.24"/>
    <x v="6"/>
    <s v="Q4"/>
    <n v="2023"/>
    <x v="1"/>
  </r>
  <r>
    <x v="157"/>
    <x v="3"/>
    <x v="0"/>
    <x v="0"/>
    <n v="16"/>
    <n v="7097.62"/>
    <s v="Male"/>
    <n v="3"/>
    <n v="2961.31"/>
    <n v="4136.3100000000004"/>
    <x v="9"/>
    <s v="Q3"/>
    <n v="2022"/>
    <x v="1"/>
  </r>
  <r>
    <x v="27"/>
    <x v="0"/>
    <x v="2"/>
    <x v="16"/>
    <n v="17"/>
    <n v="1861.94"/>
    <s v="Male"/>
    <n v="1"/>
    <n v="1242.19"/>
    <n v="619.75"/>
    <x v="6"/>
    <s v="Q4"/>
    <n v="2023"/>
    <x v="4"/>
  </r>
  <r>
    <x v="158"/>
    <x v="0"/>
    <x v="1"/>
    <x v="3"/>
    <n v="10"/>
    <n v="1722.51"/>
    <s v="Female"/>
    <n v="3"/>
    <n v="1146.9100000000001"/>
    <n v="575.6"/>
    <x v="4"/>
    <s v="Q2"/>
    <n v="2023"/>
    <x v="1"/>
  </r>
  <r>
    <x v="159"/>
    <x v="4"/>
    <x v="4"/>
    <x v="17"/>
    <n v="34"/>
    <n v="16648.830000000002"/>
    <s v="Male"/>
    <n v="3"/>
    <n v="2046.46"/>
    <n v="14602.37"/>
    <x v="3"/>
    <s v="Q2"/>
    <n v="2022"/>
    <x v="4"/>
  </r>
  <r>
    <x v="160"/>
    <x v="1"/>
    <x v="2"/>
    <x v="16"/>
    <n v="49"/>
    <n v="22291.82"/>
    <s v="Female"/>
    <n v="1"/>
    <n v="2021.93"/>
    <n v="20269.89"/>
    <x v="8"/>
    <s v="Q4"/>
    <n v="2022"/>
    <x v="0"/>
  </r>
  <r>
    <x v="161"/>
    <x v="3"/>
    <x v="4"/>
    <x v="17"/>
    <n v="18"/>
    <n v="8629.34"/>
    <s v="Male"/>
    <n v="5"/>
    <n v="1099.04"/>
    <n v="7530.3"/>
    <x v="11"/>
    <s v="Q4"/>
    <n v="2022"/>
    <x v="1"/>
  </r>
  <r>
    <x v="162"/>
    <x v="2"/>
    <x v="2"/>
    <x v="2"/>
    <n v="29"/>
    <n v="2191.92"/>
    <s v="Male"/>
    <n v="2"/>
    <n v="5751.89"/>
    <n v="-3559.97"/>
    <x v="6"/>
    <s v="Q4"/>
    <n v="2023"/>
    <x v="1"/>
  </r>
  <r>
    <x v="163"/>
    <x v="3"/>
    <x v="1"/>
    <x v="19"/>
    <n v="46"/>
    <n v="20885.71"/>
    <s v="Male"/>
    <n v="4"/>
    <n v="5414.01"/>
    <n v="15471.7"/>
    <x v="1"/>
    <s v="Q1"/>
    <n v="2022"/>
    <x v="1"/>
  </r>
  <r>
    <x v="119"/>
    <x v="1"/>
    <x v="3"/>
    <x v="4"/>
    <n v="6"/>
    <n v="809.16"/>
    <s v="Male"/>
    <n v="2"/>
    <n v="1005.3"/>
    <n v="-196.14"/>
    <x v="4"/>
    <s v="Q2"/>
    <n v="2022"/>
    <x v="4"/>
  </r>
  <r>
    <x v="15"/>
    <x v="1"/>
    <x v="2"/>
    <x v="2"/>
    <n v="41"/>
    <n v="4988.41"/>
    <s v="Female"/>
    <n v="3"/>
    <n v="10213.41"/>
    <n v="-5225"/>
    <x v="6"/>
    <s v="Q4"/>
    <n v="2023"/>
    <x v="1"/>
  </r>
  <r>
    <x v="164"/>
    <x v="3"/>
    <x v="2"/>
    <x v="5"/>
    <n v="42"/>
    <n v="3048.02"/>
    <s v="Female"/>
    <n v="5"/>
    <n v="6765.77"/>
    <n v="-3717.75"/>
    <x v="9"/>
    <s v="Q3"/>
    <n v="2022"/>
    <x v="1"/>
  </r>
  <r>
    <x v="165"/>
    <x v="3"/>
    <x v="4"/>
    <x v="10"/>
    <n v="34"/>
    <n v="10878.06"/>
    <s v="Female"/>
    <n v="3"/>
    <n v="3436.73"/>
    <n v="7441.33"/>
    <x v="0"/>
    <s v="Q2"/>
    <n v="2022"/>
    <x v="0"/>
  </r>
  <r>
    <x v="166"/>
    <x v="2"/>
    <x v="2"/>
    <x v="16"/>
    <n v="28"/>
    <n v="1785.75"/>
    <s v="Male"/>
    <n v="2"/>
    <n v="1238.3599999999999"/>
    <n v="547.39"/>
    <x v="6"/>
    <s v="Q4"/>
    <n v="2022"/>
    <x v="4"/>
  </r>
  <r>
    <x v="167"/>
    <x v="1"/>
    <x v="0"/>
    <x v="14"/>
    <n v="5"/>
    <n v="1811.92"/>
    <s v="Male"/>
    <n v="3"/>
    <n v="607.48"/>
    <n v="1204.44"/>
    <x v="7"/>
    <s v="Q3"/>
    <n v="2022"/>
    <x v="4"/>
  </r>
  <r>
    <x v="168"/>
    <x v="4"/>
    <x v="1"/>
    <x v="3"/>
    <n v="42"/>
    <n v="894.18"/>
    <s v="Male"/>
    <n v="5"/>
    <n v="7824.87"/>
    <n v="-6930.69"/>
    <x v="10"/>
    <s v="Q3"/>
    <n v="2022"/>
    <x v="2"/>
  </r>
  <r>
    <x v="169"/>
    <x v="1"/>
    <x v="2"/>
    <x v="5"/>
    <n v="44"/>
    <n v="13375.67"/>
    <s v="Male"/>
    <n v="3"/>
    <n v="6672.59"/>
    <n v="6703.08"/>
    <x v="7"/>
    <s v="Q3"/>
    <n v="2022"/>
    <x v="4"/>
  </r>
  <r>
    <x v="11"/>
    <x v="1"/>
    <x v="2"/>
    <x v="2"/>
    <n v="44"/>
    <n v="10746.96"/>
    <s v="Female"/>
    <n v="4"/>
    <n v="2403.0100000000002"/>
    <n v="8343.9500000000007"/>
    <x v="4"/>
    <s v="Q2"/>
    <n v="2023"/>
    <x v="2"/>
  </r>
  <r>
    <x v="170"/>
    <x v="0"/>
    <x v="3"/>
    <x v="4"/>
    <n v="32"/>
    <n v="6784.15"/>
    <s v="Female"/>
    <n v="5"/>
    <n v="7112.47"/>
    <n v="-328.32"/>
    <x v="3"/>
    <s v="Q2"/>
    <n v="2022"/>
    <x v="4"/>
  </r>
  <r>
    <x v="171"/>
    <x v="3"/>
    <x v="2"/>
    <x v="2"/>
    <n v="7"/>
    <n v="594.35"/>
    <s v="Female"/>
    <n v="3"/>
    <n v="482.67"/>
    <n v="111.68"/>
    <x v="7"/>
    <s v="Q3"/>
    <n v="2023"/>
    <x v="0"/>
  </r>
  <r>
    <x v="172"/>
    <x v="1"/>
    <x v="0"/>
    <x v="13"/>
    <n v="2"/>
    <n v="641.79999999999995"/>
    <s v="Male"/>
    <n v="2"/>
    <n v="404.43"/>
    <n v="237.37"/>
    <x v="0"/>
    <s v="Q2"/>
    <n v="2023"/>
    <x v="2"/>
  </r>
  <r>
    <x v="32"/>
    <x v="3"/>
    <x v="3"/>
    <x v="15"/>
    <n v="47"/>
    <n v="4781.95"/>
    <s v="Female"/>
    <n v="4"/>
    <n v="5937.86"/>
    <n v="-1155.9100000000001"/>
    <x v="4"/>
    <s v="Q2"/>
    <n v="2023"/>
    <x v="4"/>
  </r>
  <r>
    <x v="173"/>
    <x v="1"/>
    <x v="3"/>
    <x v="11"/>
    <n v="3"/>
    <n v="125"/>
    <s v="Female"/>
    <n v="1"/>
    <n v="239.13"/>
    <n v="-114.13"/>
    <x v="0"/>
    <s v="Q2"/>
    <n v="2022"/>
    <x v="4"/>
  </r>
  <r>
    <x v="67"/>
    <x v="4"/>
    <x v="2"/>
    <x v="16"/>
    <n v="13"/>
    <n v="5309.43"/>
    <s v="Female"/>
    <n v="5"/>
    <n v="812.92"/>
    <n v="4496.51"/>
    <x v="8"/>
    <s v="Q4"/>
    <n v="2022"/>
    <x v="1"/>
  </r>
  <r>
    <x v="72"/>
    <x v="1"/>
    <x v="1"/>
    <x v="3"/>
    <n v="39"/>
    <n v="1107.29"/>
    <s v="Male"/>
    <n v="5"/>
    <n v="2614.89"/>
    <n v="-1507.6"/>
    <x v="1"/>
    <s v="Q1"/>
    <n v="2022"/>
    <x v="1"/>
  </r>
  <r>
    <x v="174"/>
    <x v="4"/>
    <x v="1"/>
    <x v="3"/>
    <n v="40"/>
    <n v="17757.37"/>
    <s v="Male"/>
    <n v="1"/>
    <n v="5851.26"/>
    <n v="11906.11"/>
    <x v="9"/>
    <s v="Q3"/>
    <n v="2022"/>
    <x v="4"/>
  </r>
  <r>
    <x v="175"/>
    <x v="0"/>
    <x v="1"/>
    <x v="9"/>
    <n v="29"/>
    <n v="11259.88"/>
    <s v="Female"/>
    <n v="4"/>
    <n v="3062.55"/>
    <n v="8197.33"/>
    <x v="2"/>
    <s v="Q1"/>
    <n v="2023"/>
    <x v="1"/>
  </r>
  <r>
    <x v="176"/>
    <x v="4"/>
    <x v="0"/>
    <x v="14"/>
    <n v="21"/>
    <n v="1672.36"/>
    <s v="Male"/>
    <n v="1"/>
    <n v="636.59"/>
    <n v="1035.77"/>
    <x v="11"/>
    <s v="Q4"/>
    <n v="2022"/>
    <x v="1"/>
  </r>
  <r>
    <x v="14"/>
    <x v="2"/>
    <x v="0"/>
    <x v="8"/>
    <n v="28"/>
    <n v="1232.2"/>
    <s v="Female"/>
    <n v="4"/>
    <n v="4111.75"/>
    <n v="-2879.55"/>
    <x v="1"/>
    <s v="Q1"/>
    <n v="2023"/>
    <x v="1"/>
  </r>
  <r>
    <x v="177"/>
    <x v="3"/>
    <x v="1"/>
    <x v="1"/>
    <n v="6"/>
    <n v="2774.43"/>
    <s v="Female"/>
    <n v="4"/>
    <n v="1148.73"/>
    <n v="1625.7"/>
    <x v="5"/>
    <s v="Q1"/>
    <n v="2023"/>
    <x v="2"/>
  </r>
  <r>
    <x v="178"/>
    <x v="1"/>
    <x v="1"/>
    <x v="3"/>
    <n v="6"/>
    <n v="2318.21"/>
    <s v="Male"/>
    <n v="3"/>
    <n v="380.15"/>
    <n v="1938.06"/>
    <x v="0"/>
    <s v="Q2"/>
    <n v="2022"/>
    <x v="4"/>
  </r>
  <r>
    <x v="179"/>
    <x v="3"/>
    <x v="2"/>
    <x v="16"/>
    <n v="27"/>
    <n v="10981.95"/>
    <s v="Male"/>
    <n v="3"/>
    <n v="5830.26"/>
    <n v="5151.6899999999996"/>
    <x v="3"/>
    <s v="Q2"/>
    <n v="2022"/>
    <x v="4"/>
  </r>
  <r>
    <x v="180"/>
    <x v="3"/>
    <x v="0"/>
    <x v="13"/>
    <n v="2"/>
    <n v="470.39"/>
    <s v="Female"/>
    <n v="4"/>
    <n v="126.94"/>
    <n v="343.45"/>
    <x v="8"/>
    <s v="Q4"/>
    <n v="2023"/>
    <x v="4"/>
  </r>
  <r>
    <x v="181"/>
    <x v="0"/>
    <x v="4"/>
    <x v="6"/>
    <n v="30"/>
    <n v="3144.65"/>
    <s v="Male"/>
    <n v="5"/>
    <n v="6967.12"/>
    <n v="-3822.47"/>
    <x v="10"/>
    <s v="Q3"/>
    <n v="2022"/>
    <x v="0"/>
  </r>
  <r>
    <x v="124"/>
    <x v="3"/>
    <x v="2"/>
    <x v="16"/>
    <n v="19"/>
    <n v="5458.09"/>
    <s v="Male"/>
    <n v="3"/>
    <n v="1862.19"/>
    <n v="3595.9"/>
    <x v="7"/>
    <s v="Q3"/>
    <n v="2023"/>
    <x v="0"/>
  </r>
  <r>
    <x v="182"/>
    <x v="3"/>
    <x v="3"/>
    <x v="12"/>
    <n v="30"/>
    <n v="2163.61"/>
    <s v="Male"/>
    <n v="2"/>
    <n v="1059.24"/>
    <n v="1104.3699999999999"/>
    <x v="8"/>
    <s v="Q4"/>
    <n v="2023"/>
    <x v="0"/>
  </r>
  <r>
    <x v="76"/>
    <x v="3"/>
    <x v="4"/>
    <x v="6"/>
    <n v="14"/>
    <n v="4503.17"/>
    <s v="Male"/>
    <n v="2"/>
    <n v="155.46"/>
    <n v="4347.71"/>
    <x v="4"/>
    <s v="Q2"/>
    <n v="2022"/>
    <x v="4"/>
  </r>
  <r>
    <x v="24"/>
    <x v="1"/>
    <x v="4"/>
    <x v="17"/>
    <n v="7"/>
    <n v="445.83"/>
    <s v="Female"/>
    <n v="1"/>
    <n v="769.91"/>
    <n v="-324.08"/>
    <x v="8"/>
    <s v="Q4"/>
    <n v="2022"/>
    <x v="2"/>
  </r>
  <r>
    <x v="183"/>
    <x v="4"/>
    <x v="1"/>
    <x v="3"/>
    <n v="9"/>
    <n v="419.81"/>
    <s v="Female"/>
    <n v="2"/>
    <n v="1804.95"/>
    <n v="-1385.14"/>
    <x v="3"/>
    <s v="Q2"/>
    <n v="2023"/>
    <x v="0"/>
  </r>
  <r>
    <x v="184"/>
    <x v="1"/>
    <x v="2"/>
    <x v="5"/>
    <n v="30"/>
    <n v="13219.18"/>
    <s v="Female"/>
    <n v="3"/>
    <n v="3897.44"/>
    <n v="9321.74"/>
    <x v="1"/>
    <s v="Q1"/>
    <n v="2023"/>
    <x v="1"/>
  </r>
  <r>
    <x v="157"/>
    <x v="3"/>
    <x v="0"/>
    <x v="8"/>
    <n v="13"/>
    <n v="1525.73"/>
    <s v="Male"/>
    <n v="2"/>
    <n v="2334.17"/>
    <n v="-808.44"/>
    <x v="9"/>
    <s v="Q3"/>
    <n v="2022"/>
    <x v="2"/>
  </r>
  <r>
    <x v="185"/>
    <x v="1"/>
    <x v="4"/>
    <x v="10"/>
    <n v="8"/>
    <n v="1197.0899999999999"/>
    <s v="Female"/>
    <n v="4"/>
    <n v="900.95"/>
    <n v="296.14"/>
    <x v="4"/>
    <s v="Q2"/>
    <n v="2023"/>
    <x v="1"/>
  </r>
  <r>
    <x v="102"/>
    <x v="4"/>
    <x v="3"/>
    <x v="11"/>
    <n v="19"/>
    <n v="4874.17"/>
    <s v="Male"/>
    <n v="2"/>
    <n v="1630.91"/>
    <n v="3243.26"/>
    <x v="11"/>
    <s v="Q4"/>
    <n v="2023"/>
    <x v="4"/>
  </r>
  <r>
    <x v="186"/>
    <x v="0"/>
    <x v="3"/>
    <x v="12"/>
    <n v="40"/>
    <n v="19120.07"/>
    <s v="Female"/>
    <n v="2"/>
    <n v="7553.42"/>
    <n v="11566.65"/>
    <x v="6"/>
    <s v="Q4"/>
    <n v="2022"/>
    <x v="1"/>
  </r>
  <r>
    <x v="98"/>
    <x v="2"/>
    <x v="2"/>
    <x v="16"/>
    <n v="30"/>
    <n v="2124.25"/>
    <s v="Male"/>
    <n v="3"/>
    <n v="5387.46"/>
    <n v="-3263.21"/>
    <x v="8"/>
    <s v="Q4"/>
    <n v="2022"/>
    <x v="1"/>
  </r>
  <r>
    <x v="187"/>
    <x v="0"/>
    <x v="3"/>
    <x v="15"/>
    <n v="34"/>
    <n v="15245.3"/>
    <s v="Female"/>
    <n v="1"/>
    <n v="324.27"/>
    <n v="14921.03"/>
    <x v="5"/>
    <s v="Q1"/>
    <n v="2022"/>
    <x v="4"/>
  </r>
  <r>
    <x v="188"/>
    <x v="3"/>
    <x v="4"/>
    <x v="6"/>
    <n v="17"/>
    <n v="8468.09"/>
    <s v="Female"/>
    <n v="5"/>
    <n v="1595.71"/>
    <n v="6872.38"/>
    <x v="2"/>
    <s v="Q1"/>
    <n v="2023"/>
    <x v="0"/>
  </r>
  <r>
    <x v="189"/>
    <x v="0"/>
    <x v="0"/>
    <x v="8"/>
    <n v="20"/>
    <n v="3278.07"/>
    <s v="Female"/>
    <n v="5"/>
    <n v="2068.98"/>
    <n v="1209.0899999999999"/>
    <x v="7"/>
    <s v="Q3"/>
    <n v="2022"/>
    <x v="1"/>
  </r>
  <r>
    <x v="190"/>
    <x v="4"/>
    <x v="1"/>
    <x v="3"/>
    <n v="32"/>
    <n v="13936.06"/>
    <s v="Female"/>
    <n v="2"/>
    <n v="6153.07"/>
    <n v="7782.99"/>
    <x v="10"/>
    <s v="Q3"/>
    <n v="2023"/>
    <x v="2"/>
  </r>
  <r>
    <x v="191"/>
    <x v="4"/>
    <x v="0"/>
    <x v="13"/>
    <n v="23"/>
    <n v="7548.04"/>
    <s v="Male"/>
    <n v="1"/>
    <n v="145.09"/>
    <n v="7402.95"/>
    <x v="9"/>
    <s v="Q3"/>
    <n v="2022"/>
    <x v="1"/>
  </r>
  <r>
    <x v="192"/>
    <x v="3"/>
    <x v="4"/>
    <x v="18"/>
    <n v="33"/>
    <n v="5052.33"/>
    <s v="Male"/>
    <n v="1"/>
    <n v="3651.58"/>
    <n v="1400.75"/>
    <x v="0"/>
    <s v="Q2"/>
    <n v="2022"/>
    <x v="1"/>
  </r>
  <r>
    <x v="193"/>
    <x v="3"/>
    <x v="0"/>
    <x v="8"/>
    <n v="7"/>
    <n v="2911.7"/>
    <s v="Male"/>
    <n v="2"/>
    <n v="1605.03"/>
    <n v="1306.67"/>
    <x v="3"/>
    <s v="Q2"/>
    <n v="2023"/>
    <x v="4"/>
  </r>
  <r>
    <x v="194"/>
    <x v="0"/>
    <x v="0"/>
    <x v="8"/>
    <n v="36"/>
    <n v="15766.43"/>
    <s v="Male"/>
    <n v="3"/>
    <n v="6354.08"/>
    <n v="9412.35"/>
    <x v="6"/>
    <s v="Q4"/>
    <n v="2022"/>
    <x v="2"/>
  </r>
  <r>
    <x v="195"/>
    <x v="1"/>
    <x v="4"/>
    <x v="6"/>
    <n v="34"/>
    <n v="13641.95"/>
    <s v="Female"/>
    <n v="5"/>
    <n v="1255.01"/>
    <n v="12386.94"/>
    <x v="3"/>
    <s v="Q2"/>
    <n v="2023"/>
    <x v="2"/>
  </r>
  <r>
    <x v="196"/>
    <x v="0"/>
    <x v="1"/>
    <x v="19"/>
    <n v="48"/>
    <n v="5674.09"/>
    <s v="Female"/>
    <n v="3"/>
    <n v="462.44"/>
    <n v="5211.6499999999996"/>
    <x v="1"/>
    <s v="Q1"/>
    <n v="2022"/>
    <x v="1"/>
  </r>
  <r>
    <x v="197"/>
    <x v="3"/>
    <x v="3"/>
    <x v="4"/>
    <n v="30"/>
    <n v="13046.77"/>
    <s v="Female"/>
    <n v="5"/>
    <n v="5820.05"/>
    <n v="7226.72"/>
    <x v="9"/>
    <s v="Q3"/>
    <n v="2022"/>
    <x v="1"/>
  </r>
  <r>
    <x v="198"/>
    <x v="4"/>
    <x v="1"/>
    <x v="9"/>
    <n v="41"/>
    <n v="8756.34"/>
    <s v="Female"/>
    <n v="3"/>
    <n v="3955.92"/>
    <n v="4800.42"/>
    <x v="3"/>
    <s v="Q2"/>
    <n v="2022"/>
    <x v="1"/>
  </r>
  <r>
    <x v="199"/>
    <x v="4"/>
    <x v="1"/>
    <x v="19"/>
    <n v="4"/>
    <n v="647.48"/>
    <s v="Male"/>
    <n v="1"/>
    <n v="629.32000000000005"/>
    <n v="18.16"/>
    <x v="4"/>
    <s v="Q2"/>
    <n v="2023"/>
    <x v="1"/>
  </r>
  <r>
    <x v="9"/>
    <x v="3"/>
    <x v="4"/>
    <x v="18"/>
    <n v="27"/>
    <n v="346.9"/>
    <s v="Male"/>
    <n v="3"/>
    <n v="331.07"/>
    <n v="15.83"/>
    <x v="6"/>
    <s v="Q4"/>
    <n v="2023"/>
    <x v="4"/>
  </r>
  <r>
    <x v="200"/>
    <x v="4"/>
    <x v="4"/>
    <x v="17"/>
    <n v="17"/>
    <n v="8491.59"/>
    <s v="Male"/>
    <n v="3"/>
    <n v="127.64"/>
    <n v="8363.9500000000007"/>
    <x v="5"/>
    <s v="Q1"/>
    <n v="2022"/>
    <x v="1"/>
  </r>
  <r>
    <x v="201"/>
    <x v="0"/>
    <x v="4"/>
    <x v="6"/>
    <n v="8"/>
    <n v="747.33"/>
    <s v="Male"/>
    <n v="2"/>
    <n v="772.1"/>
    <n v="-24.77"/>
    <x v="5"/>
    <s v="Q1"/>
    <n v="2023"/>
    <x v="4"/>
  </r>
  <r>
    <x v="51"/>
    <x v="1"/>
    <x v="4"/>
    <x v="18"/>
    <n v="26"/>
    <n v="8862.4599999999991"/>
    <s v="Male"/>
    <n v="4"/>
    <n v="3538.83"/>
    <n v="5323.63"/>
    <x v="0"/>
    <s v="Q2"/>
    <n v="2022"/>
    <x v="1"/>
  </r>
  <r>
    <x v="202"/>
    <x v="0"/>
    <x v="2"/>
    <x v="5"/>
    <n v="15"/>
    <n v="4314.74"/>
    <s v="Female"/>
    <n v="1"/>
    <n v="1877.12"/>
    <n v="2437.62"/>
    <x v="8"/>
    <s v="Q4"/>
    <n v="2022"/>
    <x v="3"/>
  </r>
  <r>
    <x v="66"/>
    <x v="4"/>
    <x v="4"/>
    <x v="18"/>
    <n v="49"/>
    <n v="13083.23"/>
    <s v="Female"/>
    <n v="5"/>
    <n v="10889.27"/>
    <n v="2193.96"/>
    <x v="9"/>
    <s v="Q3"/>
    <n v="2023"/>
    <x v="4"/>
  </r>
  <r>
    <x v="151"/>
    <x v="3"/>
    <x v="2"/>
    <x v="5"/>
    <n v="6"/>
    <n v="2267.37"/>
    <s v="Female"/>
    <n v="4"/>
    <n v="442.44"/>
    <n v="1824.93"/>
    <x v="6"/>
    <s v="Q4"/>
    <n v="2022"/>
    <x v="1"/>
  </r>
  <r>
    <x v="203"/>
    <x v="1"/>
    <x v="3"/>
    <x v="12"/>
    <n v="33"/>
    <n v="10853.44"/>
    <s v="Male"/>
    <n v="1"/>
    <n v="2488"/>
    <n v="8365.44"/>
    <x v="11"/>
    <s v="Q4"/>
    <n v="2023"/>
    <x v="3"/>
  </r>
  <r>
    <x v="204"/>
    <x v="2"/>
    <x v="4"/>
    <x v="17"/>
    <n v="29"/>
    <n v="8416.02"/>
    <s v="Female"/>
    <n v="5"/>
    <n v="425.58"/>
    <n v="7990.44"/>
    <x v="8"/>
    <s v="Q4"/>
    <n v="2022"/>
    <x v="2"/>
  </r>
  <r>
    <x v="205"/>
    <x v="3"/>
    <x v="2"/>
    <x v="16"/>
    <n v="26"/>
    <n v="2899.92"/>
    <s v="Male"/>
    <n v="1"/>
    <n v="5579.1"/>
    <n v="-2679.18"/>
    <x v="3"/>
    <s v="Q2"/>
    <n v="2023"/>
    <x v="1"/>
  </r>
  <r>
    <x v="206"/>
    <x v="0"/>
    <x v="2"/>
    <x v="5"/>
    <n v="15"/>
    <n v="1229.82"/>
    <s v="Female"/>
    <n v="1"/>
    <n v="3745.89"/>
    <n v="-2516.0700000000002"/>
    <x v="9"/>
    <s v="Q3"/>
    <n v="2023"/>
    <x v="3"/>
  </r>
  <r>
    <x v="207"/>
    <x v="4"/>
    <x v="0"/>
    <x v="14"/>
    <n v="17"/>
    <n v="2939.89"/>
    <s v="Female"/>
    <n v="5"/>
    <n v="2282.96"/>
    <n v="656.93"/>
    <x v="0"/>
    <s v="Q2"/>
    <n v="2023"/>
    <x v="1"/>
  </r>
  <r>
    <x v="208"/>
    <x v="1"/>
    <x v="2"/>
    <x v="5"/>
    <n v="50"/>
    <n v="2569.27"/>
    <s v="Female"/>
    <n v="4"/>
    <n v="2016.47"/>
    <n v="552.79999999999995"/>
    <x v="5"/>
    <s v="Q1"/>
    <n v="2023"/>
    <x v="4"/>
  </r>
  <r>
    <x v="209"/>
    <x v="3"/>
    <x v="1"/>
    <x v="3"/>
    <n v="47"/>
    <n v="17878.88"/>
    <s v="Female"/>
    <n v="4"/>
    <n v="4121.26"/>
    <n v="13757.62"/>
    <x v="10"/>
    <s v="Q3"/>
    <n v="2022"/>
    <x v="1"/>
  </r>
  <r>
    <x v="17"/>
    <x v="4"/>
    <x v="1"/>
    <x v="9"/>
    <n v="3"/>
    <n v="303.24"/>
    <s v="Female"/>
    <n v="5"/>
    <n v="594.44000000000005"/>
    <n v="-291.2"/>
    <x v="6"/>
    <s v="Q4"/>
    <n v="2023"/>
    <x v="2"/>
  </r>
  <r>
    <x v="210"/>
    <x v="2"/>
    <x v="2"/>
    <x v="7"/>
    <n v="39"/>
    <n v="14894.34"/>
    <s v="Male"/>
    <n v="1"/>
    <n v="4325.66"/>
    <n v="10568.68"/>
    <x v="1"/>
    <s v="Q1"/>
    <n v="2023"/>
    <x v="1"/>
  </r>
  <r>
    <x v="74"/>
    <x v="0"/>
    <x v="4"/>
    <x v="6"/>
    <n v="36"/>
    <n v="1043.08"/>
    <s v="Female"/>
    <n v="3"/>
    <n v="5500.54"/>
    <n v="-4457.46"/>
    <x v="9"/>
    <s v="Q3"/>
    <n v="2022"/>
    <x v="4"/>
  </r>
  <r>
    <x v="0"/>
    <x v="3"/>
    <x v="3"/>
    <x v="4"/>
    <n v="2"/>
    <n v="850.26"/>
    <s v="Female"/>
    <n v="3"/>
    <n v="140.12"/>
    <n v="710.14"/>
    <x v="0"/>
    <s v="Q2"/>
    <n v="2022"/>
    <x v="3"/>
  </r>
  <r>
    <x v="211"/>
    <x v="1"/>
    <x v="1"/>
    <x v="1"/>
    <n v="37"/>
    <n v="15779.46"/>
    <s v="Female"/>
    <n v="3"/>
    <n v="7818.26"/>
    <n v="7961.2"/>
    <x v="10"/>
    <s v="Q3"/>
    <n v="2022"/>
    <x v="2"/>
  </r>
  <r>
    <x v="212"/>
    <x v="1"/>
    <x v="1"/>
    <x v="19"/>
    <n v="13"/>
    <n v="1460.26"/>
    <s v="Female"/>
    <n v="3"/>
    <n v="1134.8699999999999"/>
    <n v="325.39"/>
    <x v="1"/>
    <s v="Q1"/>
    <n v="2022"/>
    <x v="1"/>
  </r>
  <r>
    <x v="213"/>
    <x v="2"/>
    <x v="4"/>
    <x v="10"/>
    <n v="43"/>
    <n v="3927.93"/>
    <s v="Female"/>
    <n v="5"/>
    <n v="7391.29"/>
    <n v="-3463.36"/>
    <x v="8"/>
    <s v="Q4"/>
    <n v="2022"/>
    <x v="2"/>
  </r>
  <r>
    <x v="214"/>
    <x v="4"/>
    <x v="0"/>
    <x v="8"/>
    <n v="49"/>
    <n v="4671.83"/>
    <s v="Male"/>
    <n v="4"/>
    <n v="4134.78"/>
    <n v="537.04999999999995"/>
    <x v="10"/>
    <s v="Q3"/>
    <n v="2022"/>
    <x v="1"/>
  </r>
  <r>
    <x v="103"/>
    <x v="3"/>
    <x v="4"/>
    <x v="6"/>
    <n v="9"/>
    <n v="3329.25"/>
    <s v="Male"/>
    <n v="5"/>
    <n v="1289.75"/>
    <n v="2039.5"/>
    <x v="0"/>
    <s v="Q2"/>
    <n v="2023"/>
    <x v="2"/>
  </r>
  <r>
    <x v="215"/>
    <x v="1"/>
    <x v="1"/>
    <x v="19"/>
    <n v="7"/>
    <n v="554.71"/>
    <s v="Male"/>
    <n v="5"/>
    <n v="1671.55"/>
    <n v="-1116.8399999999999"/>
    <x v="4"/>
    <s v="Q2"/>
    <n v="2023"/>
    <x v="0"/>
  </r>
  <r>
    <x v="106"/>
    <x v="3"/>
    <x v="4"/>
    <x v="17"/>
    <n v="10"/>
    <n v="2086.4"/>
    <s v="Female"/>
    <n v="3"/>
    <n v="909.9"/>
    <n v="1176.5"/>
    <x v="10"/>
    <s v="Q3"/>
    <n v="2022"/>
    <x v="1"/>
  </r>
  <r>
    <x v="83"/>
    <x v="4"/>
    <x v="0"/>
    <x v="14"/>
    <n v="21"/>
    <n v="1878.05"/>
    <s v="Female"/>
    <n v="5"/>
    <n v="1726.37"/>
    <n v="151.68"/>
    <x v="9"/>
    <s v="Q3"/>
    <n v="2023"/>
    <x v="1"/>
  </r>
  <r>
    <x v="216"/>
    <x v="4"/>
    <x v="2"/>
    <x v="16"/>
    <n v="14"/>
    <n v="6674.26"/>
    <s v="Female"/>
    <n v="5"/>
    <n v="1188.46"/>
    <n v="5485.8"/>
    <x v="0"/>
    <s v="Q2"/>
    <n v="2023"/>
    <x v="2"/>
  </r>
  <r>
    <x v="217"/>
    <x v="2"/>
    <x v="4"/>
    <x v="17"/>
    <n v="48"/>
    <n v="21935.279999999999"/>
    <s v="Female"/>
    <n v="2"/>
    <n v="3556.47"/>
    <n v="18378.810000000001"/>
    <x v="11"/>
    <s v="Q4"/>
    <n v="2022"/>
    <x v="1"/>
  </r>
  <r>
    <x v="218"/>
    <x v="2"/>
    <x v="2"/>
    <x v="16"/>
    <n v="24"/>
    <n v="2357.9899999999998"/>
    <s v="Male"/>
    <n v="5"/>
    <n v="5622.46"/>
    <n v="-3264.47"/>
    <x v="3"/>
    <s v="Q2"/>
    <n v="2022"/>
    <x v="1"/>
  </r>
  <r>
    <x v="139"/>
    <x v="2"/>
    <x v="4"/>
    <x v="18"/>
    <n v="37"/>
    <n v="13226"/>
    <s v="Male"/>
    <n v="4"/>
    <n v="1490.38"/>
    <n v="11735.62"/>
    <x v="4"/>
    <s v="Q2"/>
    <n v="2023"/>
    <x v="0"/>
  </r>
  <r>
    <x v="219"/>
    <x v="2"/>
    <x v="4"/>
    <x v="18"/>
    <n v="38"/>
    <n v="3645.81"/>
    <s v="Female"/>
    <n v="2"/>
    <n v="8162.51"/>
    <n v="-4516.7"/>
    <x v="6"/>
    <s v="Q4"/>
    <n v="2023"/>
    <x v="1"/>
  </r>
  <r>
    <x v="220"/>
    <x v="0"/>
    <x v="3"/>
    <x v="4"/>
    <n v="26"/>
    <n v="5334.75"/>
    <s v="Female"/>
    <n v="4"/>
    <n v="4418.22"/>
    <n v="916.53"/>
    <x v="7"/>
    <s v="Q3"/>
    <n v="2023"/>
    <x v="2"/>
  </r>
  <r>
    <x v="221"/>
    <x v="4"/>
    <x v="1"/>
    <x v="9"/>
    <n v="44"/>
    <n v="11811.55"/>
    <s v="Female"/>
    <n v="1"/>
    <n v="9947.85"/>
    <n v="1863.7"/>
    <x v="3"/>
    <s v="Q2"/>
    <n v="2023"/>
    <x v="0"/>
  </r>
  <r>
    <x v="222"/>
    <x v="3"/>
    <x v="1"/>
    <x v="3"/>
    <n v="31"/>
    <n v="8585.89"/>
    <s v="Male"/>
    <n v="5"/>
    <n v="6986.6"/>
    <n v="1599.29"/>
    <x v="5"/>
    <s v="Q1"/>
    <n v="2023"/>
    <x v="4"/>
  </r>
  <r>
    <x v="223"/>
    <x v="1"/>
    <x v="2"/>
    <x v="5"/>
    <n v="35"/>
    <n v="8023.19"/>
    <s v="Female"/>
    <n v="5"/>
    <n v="7966.92"/>
    <n v="56.27"/>
    <x v="8"/>
    <s v="Q4"/>
    <n v="2022"/>
    <x v="1"/>
  </r>
  <r>
    <x v="224"/>
    <x v="2"/>
    <x v="3"/>
    <x v="12"/>
    <n v="45"/>
    <n v="7222.84"/>
    <s v="Male"/>
    <n v="1"/>
    <n v="7715.95"/>
    <n v="-493.11"/>
    <x v="3"/>
    <s v="Q2"/>
    <n v="2023"/>
    <x v="4"/>
  </r>
  <r>
    <x v="225"/>
    <x v="4"/>
    <x v="0"/>
    <x v="8"/>
    <n v="23"/>
    <n v="1904.43"/>
    <s v="Male"/>
    <n v="5"/>
    <n v="2690.51"/>
    <n v="-786.08"/>
    <x v="9"/>
    <s v="Q3"/>
    <n v="2023"/>
    <x v="2"/>
  </r>
  <r>
    <x v="165"/>
    <x v="4"/>
    <x v="2"/>
    <x v="7"/>
    <n v="44"/>
    <n v="19216"/>
    <s v="Male"/>
    <n v="5"/>
    <n v="8936.42"/>
    <n v="10279.58"/>
    <x v="0"/>
    <s v="Q2"/>
    <n v="2022"/>
    <x v="4"/>
  </r>
  <r>
    <x v="226"/>
    <x v="3"/>
    <x v="4"/>
    <x v="18"/>
    <n v="50"/>
    <n v="19053.34"/>
    <s v="Female"/>
    <n v="2"/>
    <n v="9660.64"/>
    <n v="9392.7000000000007"/>
    <x v="9"/>
    <s v="Q3"/>
    <n v="2022"/>
    <x v="2"/>
  </r>
  <r>
    <x v="227"/>
    <x v="4"/>
    <x v="2"/>
    <x v="2"/>
    <n v="2"/>
    <n v="418.45"/>
    <s v="Female"/>
    <n v="3"/>
    <n v="335.37"/>
    <n v="83.08"/>
    <x v="10"/>
    <s v="Q3"/>
    <n v="2023"/>
    <x v="1"/>
  </r>
  <r>
    <x v="228"/>
    <x v="3"/>
    <x v="4"/>
    <x v="18"/>
    <n v="18"/>
    <n v="7786.8"/>
    <s v="Female"/>
    <n v="2"/>
    <n v="2057.9"/>
    <n v="5728.9"/>
    <x v="7"/>
    <s v="Q3"/>
    <n v="2022"/>
    <x v="4"/>
  </r>
  <r>
    <x v="229"/>
    <x v="2"/>
    <x v="3"/>
    <x v="15"/>
    <n v="9"/>
    <n v="4068.24"/>
    <s v="Female"/>
    <n v="4"/>
    <n v="1709.81"/>
    <n v="2358.4299999999998"/>
    <x v="8"/>
    <s v="Q4"/>
    <n v="2023"/>
    <x v="1"/>
  </r>
  <r>
    <x v="230"/>
    <x v="2"/>
    <x v="3"/>
    <x v="12"/>
    <n v="16"/>
    <n v="2730.93"/>
    <s v="Female"/>
    <n v="2"/>
    <n v="3724.89"/>
    <n v="-993.96"/>
    <x v="10"/>
    <s v="Q3"/>
    <n v="2022"/>
    <x v="4"/>
  </r>
  <r>
    <x v="231"/>
    <x v="0"/>
    <x v="3"/>
    <x v="4"/>
    <n v="24"/>
    <n v="9168.01"/>
    <s v="Female"/>
    <n v="1"/>
    <n v="1891.41"/>
    <n v="7276.6"/>
    <x v="9"/>
    <s v="Q3"/>
    <n v="2022"/>
    <x v="2"/>
  </r>
  <r>
    <x v="18"/>
    <x v="3"/>
    <x v="2"/>
    <x v="5"/>
    <n v="26"/>
    <n v="3155.34"/>
    <s v="Female"/>
    <n v="1"/>
    <n v="636.74"/>
    <n v="2518.6"/>
    <x v="7"/>
    <s v="Q3"/>
    <n v="2022"/>
    <x v="2"/>
  </r>
  <r>
    <x v="232"/>
    <x v="0"/>
    <x v="2"/>
    <x v="5"/>
    <n v="18"/>
    <n v="4481.79"/>
    <s v="Female"/>
    <n v="5"/>
    <n v="4427.7"/>
    <n v="54.09"/>
    <x v="11"/>
    <s v="Q4"/>
    <n v="2023"/>
    <x v="4"/>
  </r>
  <r>
    <x v="233"/>
    <x v="3"/>
    <x v="4"/>
    <x v="10"/>
    <n v="18"/>
    <n v="1516.23"/>
    <s v="Male"/>
    <n v="4"/>
    <n v="3548.05"/>
    <n v="-2031.82"/>
    <x v="3"/>
    <s v="Q2"/>
    <n v="2023"/>
    <x v="1"/>
  </r>
  <r>
    <x v="234"/>
    <x v="4"/>
    <x v="2"/>
    <x v="2"/>
    <n v="11"/>
    <n v="1031.49"/>
    <s v="Female"/>
    <n v="3"/>
    <n v="2022.68"/>
    <n v="-991.19"/>
    <x v="3"/>
    <s v="Q2"/>
    <n v="2023"/>
    <x v="2"/>
  </r>
  <r>
    <x v="51"/>
    <x v="4"/>
    <x v="1"/>
    <x v="3"/>
    <n v="20"/>
    <n v="9836.4699999999993"/>
    <s v="Female"/>
    <n v="5"/>
    <n v="4058.98"/>
    <n v="5777.49"/>
    <x v="0"/>
    <s v="Q2"/>
    <n v="2022"/>
    <x v="2"/>
  </r>
  <r>
    <x v="235"/>
    <x v="4"/>
    <x v="2"/>
    <x v="5"/>
    <n v="14"/>
    <n v="5020.7299999999996"/>
    <s v="Female"/>
    <n v="3"/>
    <n v="2851.44"/>
    <n v="2169.29"/>
    <x v="10"/>
    <s v="Q3"/>
    <n v="2023"/>
    <x v="2"/>
  </r>
  <r>
    <x v="236"/>
    <x v="2"/>
    <x v="4"/>
    <x v="17"/>
    <n v="1"/>
    <n v="197.11"/>
    <s v="Male"/>
    <n v="2"/>
    <n v="145.13999999999999"/>
    <n v="51.97"/>
    <x v="8"/>
    <s v="Q4"/>
    <n v="2022"/>
    <x v="1"/>
  </r>
  <r>
    <x v="237"/>
    <x v="2"/>
    <x v="1"/>
    <x v="9"/>
    <n v="33"/>
    <n v="13850"/>
    <s v="Female"/>
    <n v="4"/>
    <n v="3825.93"/>
    <n v="10024.07"/>
    <x v="7"/>
    <s v="Q3"/>
    <n v="2023"/>
    <x v="0"/>
  </r>
  <r>
    <x v="238"/>
    <x v="0"/>
    <x v="4"/>
    <x v="17"/>
    <n v="26"/>
    <n v="2702.1"/>
    <s v="Female"/>
    <n v="3"/>
    <n v="222.85"/>
    <n v="2479.25"/>
    <x v="6"/>
    <s v="Q4"/>
    <n v="2022"/>
    <x v="0"/>
  </r>
  <r>
    <x v="239"/>
    <x v="2"/>
    <x v="3"/>
    <x v="11"/>
    <n v="22"/>
    <n v="9598.61"/>
    <s v="Male"/>
    <n v="5"/>
    <n v="2074.9"/>
    <n v="7523.71"/>
    <x v="6"/>
    <s v="Q4"/>
    <n v="2023"/>
    <x v="4"/>
  </r>
  <r>
    <x v="39"/>
    <x v="2"/>
    <x v="1"/>
    <x v="9"/>
    <n v="32"/>
    <n v="12688.15"/>
    <s v="Female"/>
    <n v="5"/>
    <n v="1293.79"/>
    <n v="11394.36"/>
    <x v="7"/>
    <s v="Q3"/>
    <n v="2022"/>
    <x v="2"/>
  </r>
  <r>
    <x v="240"/>
    <x v="3"/>
    <x v="1"/>
    <x v="1"/>
    <n v="44"/>
    <n v="9189.91"/>
    <s v="Male"/>
    <n v="5"/>
    <n v="9333.82"/>
    <n v="-143.91"/>
    <x v="3"/>
    <s v="Q2"/>
    <n v="2022"/>
    <x v="1"/>
  </r>
  <r>
    <x v="241"/>
    <x v="3"/>
    <x v="3"/>
    <x v="4"/>
    <n v="6"/>
    <n v="2720.03"/>
    <s v="Male"/>
    <n v="4"/>
    <n v="1430.9"/>
    <n v="1289.1300000000001"/>
    <x v="6"/>
    <s v="Q4"/>
    <n v="2023"/>
    <x v="2"/>
  </r>
  <r>
    <x v="232"/>
    <x v="0"/>
    <x v="1"/>
    <x v="9"/>
    <n v="19"/>
    <n v="8568.5"/>
    <s v="Male"/>
    <n v="1"/>
    <n v="4351.7"/>
    <n v="4216.8"/>
    <x v="11"/>
    <s v="Q4"/>
    <n v="2023"/>
    <x v="1"/>
  </r>
  <r>
    <x v="242"/>
    <x v="1"/>
    <x v="4"/>
    <x v="17"/>
    <n v="21"/>
    <n v="523.55999999999995"/>
    <s v="Female"/>
    <n v="2"/>
    <n v="1471.08"/>
    <n v="-947.52"/>
    <x v="4"/>
    <s v="Q2"/>
    <n v="2022"/>
    <x v="2"/>
  </r>
  <r>
    <x v="243"/>
    <x v="1"/>
    <x v="2"/>
    <x v="2"/>
    <n v="3"/>
    <n v="1170.3"/>
    <s v="Male"/>
    <n v="2"/>
    <n v="352.35"/>
    <n v="817.95"/>
    <x v="8"/>
    <s v="Q4"/>
    <n v="2022"/>
    <x v="4"/>
  </r>
  <r>
    <x v="244"/>
    <x v="4"/>
    <x v="3"/>
    <x v="4"/>
    <n v="19"/>
    <n v="1497.51"/>
    <s v="Female"/>
    <n v="1"/>
    <n v="1168.73"/>
    <n v="328.78"/>
    <x v="9"/>
    <s v="Q3"/>
    <n v="2022"/>
    <x v="1"/>
  </r>
  <r>
    <x v="245"/>
    <x v="1"/>
    <x v="0"/>
    <x v="0"/>
    <n v="19"/>
    <n v="8247.2999999999993"/>
    <s v="Female"/>
    <n v="4"/>
    <n v="3156.46"/>
    <n v="5090.84"/>
    <x v="2"/>
    <s v="Q1"/>
    <n v="2023"/>
    <x v="0"/>
  </r>
  <r>
    <x v="246"/>
    <x v="2"/>
    <x v="3"/>
    <x v="15"/>
    <n v="3"/>
    <n v="95.71"/>
    <s v="Female"/>
    <n v="2"/>
    <n v="339.72"/>
    <n v="-244.01"/>
    <x v="11"/>
    <s v="Q4"/>
    <n v="2022"/>
    <x v="4"/>
  </r>
  <r>
    <x v="10"/>
    <x v="2"/>
    <x v="4"/>
    <x v="6"/>
    <n v="40"/>
    <n v="15585.86"/>
    <s v="Female"/>
    <n v="4"/>
    <n v="6033.93"/>
    <n v="9551.93"/>
    <x v="0"/>
    <s v="Q2"/>
    <n v="2022"/>
    <x v="2"/>
  </r>
  <r>
    <x v="121"/>
    <x v="4"/>
    <x v="2"/>
    <x v="5"/>
    <n v="32"/>
    <n v="8007.5"/>
    <s v="Male"/>
    <n v="2"/>
    <n v="2102.2600000000002"/>
    <n v="5905.24"/>
    <x v="2"/>
    <s v="Q1"/>
    <n v="2023"/>
    <x v="1"/>
  </r>
  <r>
    <x v="247"/>
    <x v="3"/>
    <x v="4"/>
    <x v="6"/>
    <n v="31"/>
    <n v="11394.72"/>
    <s v="Male"/>
    <n v="4"/>
    <n v="5535.31"/>
    <n v="5859.41"/>
    <x v="1"/>
    <s v="Q1"/>
    <n v="2023"/>
    <x v="1"/>
  </r>
  <r>
    <x v="248"/>
    <x v="2"/>
    <x v="2"/>
    <x v="2"/>
    <n v="43"/>
    <n v="21074.83"/>
    <s v="Male"/>
    <n v="2"/>
    <n v="8337.69"/>
    <n v="12737.14"/>
    <x v="9"/>
    <s v="Q3"/>
    <n v="2022"/>
    <x v="0"/>
  </r>
  <r>
    <x v="88"/>
    <x v="2"/>
    <x v="4"/>
    <x v="10"/>
    <n v="5"/>
    <n v="1964.61"/>
    <s v="Female"/>
    <n v="1"/>
    <n v="857.05"/>
    <n v="1107.56"/>
    <x v="9"/>
    <s v="Q3"/>
    <n v="2022"/>
    <x v="4"/>
  </r>
  <r>
    <x v="249"/>
    <x v="3"/>
    <x v="4"/>
    <x v="6"/>
    <n v="45"/>
    <n v="15158.99"/>
    <s v="Male"/>
    <n v="1"/>
    <n v="1994.26"/>
    <n v="13164.73"/>
    <x v="3"/>
    <s v="Q2"/>
    <n v="2023"/>
    <x v="0"/>
  </r>
  <r>
    <x v="117"/>
    <x v="4"/>
    <x v="1"/>
    <x v="1"/>
    <n v="16"/>
    <n v="5605.58"/>
    <s v="Male"/>
    <n v="3"/>
    <n v="3507.71"/>
    <n v="2097.87"/>
    <x v="10"/>
    <s v="Q3"/>
    <n v="2022"/>
    <x v="1"/>
  </r>
  <r>
    <x v="250"/>
    <x v="4"/>
    <x v="0"/>
    <x v="13"/>
    <n v="29"/>
    <n v="2392.39"/>
    <s v="Male"/>
    <n v="2"/>
    <n v="4809.43"/>
    <n v="-2417.04"/>
    <x v="8"/>
    <s v="Q4"/>
    <n v="2023"/>
    <x v="1"/>
  </r>
  <r>
    <x v="165"/>
    <x v="3"/>
    <x v="2"/>
    <x v="5"/>
    <n v="32"/>
    <n v="8234.39"/>
    <s v="Male"/>
    <n v="1"/>
    <n v="7179.85"/>
    <n v="1054.54"/>
    <x v="0"/>
    <s v="Q2"/>
    <n v="2022"/>
    <x v="1"/>
  </r>
  <r>
    <x v="251"/>
    <x v="1"/>
    <x v="2"/>
    <x v="2"/>
    <n v="8"/>
    <n v="2810.17"/>
    <s v="Male"/>
    <n v="5"/>
    <n v="1961.92"/>
    <n v="848.25"/>
    <x v="5"/>
    <s v="Q1"/>
    <n v="2023"/>
    <x v="1"/>
  </r>
  <r>
    <x v="1"/>
    <x v="2"/>
    <x v="2"/>
    <x v="2"/>
    <n v="2"/>
    <n v="786.95"/>
    <s v="Male"/>
    <n v="5"/>
    <n v="210.96"/>
    <n v="575.99"/>
    <x v="0"/>
    <s v="Q2"/>
    <n v="2023"/>
    <x v="2"/>
  </r>
  <r>
    <x v="58"/>
    <x v="0"/>
    <x v="1"/>
    <x v="1"/>
    <n v="41"/>
    <n v="18261.68"/>
    <s v="Male"/>
    <n v="1"/>
    <n v="8890.18"/>
    <n v="9371.5"/>
    <x v="11"/>
    <s v="Q4"/>
    <n v="2023"/>
    <x v="0"/>
  </r>
  <r>
    <x v="98"/>
    <x v="1"/>
    <x v="4"/>
    <x v="10"/>
    <n v="2"/>
    <n v="331.27"/>
    <s v="Male"/>
    <n v="2"/>
    <n v="90.12"/>
    <n v="241.15"/>
    <x v="8"/>
    <s v="Q4"/>
    <n v="2022"/>
    <x v="0"/>
  </r>
  <r>
    <x v="252"/>
    <x v="3"/>
    <x v="4"/>
    <x v="18"/>
    <n v="29"/>
    <n v="920.67"/>
    <s v="Female"/>
    <n v="4"/>
    <n v="5162.49"/>
    <n v="-4241.82"/>
    <x v="2"/>
    <s v="Q1"/>
    <n v="2022"/>
    <x v="1"/>
  </r>
  <r>
    <x v="253"/>
    <x v="2"/>
    <x v="2"/>
    <x v="5"/>
    <n v="50"/>
    <n v="9307.27"/>
    <s v="Female"/>
    <n v="3"/>
    <n v="8795"/>
    <n v="512.27"/>
    <x v="5"/>
    <s v="Q1"/>
    <n v="2022"/>
    <x v="1"/>
  </r>
  <r>
    <x v="254"/>
    <x v="2"/>
    <x v="3"/>
    <x v="4"/>
    <n v="43"/>
    <n v="18697.21"/>
    <s v="Female"/>
    <n v="2"/>
    <n v="9457.81"/>
    <n v="9239.4"/>
    <x v="1"/>
    <s v="Q1"/>
    <n v="2022"/>
    <x v="1"/>
  </r>
  <r>
    <x v="109"/>
    <x v="0"/>
    <x v="3"/>
    <x v="4"/>
    <n v="31"/>
    <n v="10409.33"/>
    <s v="Female"/>
    <n v="3"/>
    <n v="3474.81"/>
    <n v="6934.52"/>
    <x v="10"/>
    <s v="Q3"/>
    <n v="2022"/>
    <x v="1"/>
  </r>
  <r>
    <x v="255"/>
    <x v="1"/>
    <x v="2"/>
    <x v="2"/>
    <n v="17"/>
    <n v="4999.5600000000004"/>
    <s v="Male"/>
    <n v="2"/>
    <n v="814.81"/>
    <n v="4184.75"/>
    <x v="5"/>
    <s v="Q1"/>
    <n v="2022"/>
    <x v="0"/>
  </r>
  <r>
    <x v="242"/>
    <x v="4"/>
    <x v="3"/>
    <x v="15"/>
    <n v="28"/>
    <n v="7772.9"/>
    <s v="Female"/>
    <n v="2"/>
    <n v="1287.1300000000001"/>
    <n v="6485.77"/>
    <x v="4"/>
    <s v="Q2"/>
    <n v="2022"/>
    <x v="4"/>
  </r>
  <r>
    <x v="256"/>
    <x v="3"/>
    <x v="1"/>
    <x v="3"/>
    <n v="36"/>
    <n v="14841.19"/>
    <s v="Male"/>
    <n v="4"/>
    <n v="8090.37"/>
    <n v="6750.82"/>
    <x v="3"/>
    <s v="Q2"/>
    <n v="2023"/>
    <x v="2"/>
  </r>
  <r>
    <x v="257"/>
    <x v="3"/>
    <x v="4"/>
    <x v="18"/>
    <n v="44"/>
    <n v="18310.849999999999"/>
    <s v="Male"/>
    <n v="2"/>
    <n v="10181.41"/>
    <n v="8129.44"/>
    <x v="11"/>
    <s v="Q4"/>
    <n v="2023"/>
    <x v="1"/>
  </r>
  <r>
    <x v="258"/>
    <x v="4"/>
    <x v="1"/>
    <x v="3"/>
    <n v="16"/>
    <n v="6611.75"/>
    <s v="Male"/>
    <n v="2"/>
    <n v="1434.51"/>
    <n v="5177.24"/>
    <x v="5"/>
    <s v="Q1"/>
    <n v="2023"/>
    <x v="4"/>
  </r>
  <r>
    <x v="259"/>
    <x v="3"/>
    <x v="1"/>
    <x v="19"/>
    <n v="47"/>
    <n v="16896.38"/>
    <s v="Female"/>
    <n v="1"/>
    <n v="5733.82"/>
    <n v="11162.56"/>
    <x v="11"/>
    <s v="Q4"/>
    <n v="2023"/>
    <x v="0"/>
  </r>
  <r>
    <x v="60"/>
    <x v="3"/>
    <x v="0"/>
    <x v="14"/>
    <n v="18"/>
    <n v="5838.88"/>
    <s v="Female"/>
    <n v="5"/>
    <n v="1458.3"/>
    <n v="4380.58"/>
    <x v="3"/>
    <s v="Q2"/>
    <n v="2022"/>
    <x v="2"/>
  </r>
  <r>
    <x v="194"/>
    <x v="2"/>
    <x v="4"/>
    <x v="17"/>
    <n v="38"/>
    <n v="1939.17"/>
    <s v="Female"/>
    <n v="5"/>
    <n v="5106.04"/>
    <n v="-3166.87"/>
    <x v="6"/>
    <s v="Q4"/>
    <n v="2022"/>
    <x v="4"/>
  </r>
  <r>
    <x v="260"/>
    <x v="3"/>
    <x v="2"/>
    <x v="16"/>
    <n v="22"/>
    <n v="6154.39"/>
    <s v="Female"/>
    <n v="1"/>
    <n v="711.8"/>
    <n v="5442.59"/>
    <x v="6"/>
    <s v="Q4"/>
    <n v="2023"/>
    <x v="4"/>
  </r>
  <r>
    <x v="261"/>
    <x v="1"/>
    <x v="4"/>
    <x v="6"/>
    <n v="18"/>
    <n v="8346.75"/>
    <s v="Female"/>
    <n v="5"/>
    <n v="2613.81"/>
    <n v="5732.94"/>
    <x v="6"/>
    <s v="Q4"/>
    <n v="2022"/>
    <x v="4"/>
  </r>
  <r>
    <x v="149"/>
    <x v="3"/>
    <x v="0"/>
    <x v="0"/>
    <n v="3"/>
    <n v="810.1"/>
    <s v="Male"/>
    <n v="2"/>
    <n v="254.3"/>
    <n v="555.79999999999995"/>
    <x v="2"/>
    <s v="Q1"/>
    <n v="2023"/>
    <x v="2"/>
  </r>
  <r>
    <x v="247"/>
    <x v="0"/>
    <x v="1"/>
    <x v="19"/>
    <n v="26"/>
    <n v="9457.94"/>
    <s v="Male"/>
    <n v="4"/>
    <n v="3680.79"/>
    <n v="5777.15"/>
    <x v="1"/>
    <s v="Q1"/>
    <n v="2023"/>
    <x v="1"/>
  </r>
  <r>
    <x v="215"/>
    <x v="2"/>
    <x v="4"/>
    <x v="18"/>
    <n v="50"/>
    <n v="12805.76"/>
    <s v="Female"/>
    <n v="1"/>
    <n v="1234.1300000000001"/>
    <n v="11571.63"/>
    <x v="4"/>
    <s v="Q2"/>
    <n v="2023"/>
    <x v="4"/>
  </r>
  <r>
    <x v="262"/>
    <x v="3"/>
    <x v="3"/>
    <x v="11"/>
    <n v="1"/>
    <n v="62.4"/>
    <s v="Female"/>
    <n v="4"/>
    <n v="106.01"/>
    <n v="-43.61"/>
    <x v="2"/>
    <s v="Q1"/>
    <n v="2022"/>
    <x v="4"/>
  </r>
  <r>
    <x v="263"/>
    <x v="1"/>
    <x v="1"/>
    <x v="9"/>
    <n v="21"/>
    <n v="6083.9"/>
    <s v="Male"/>
    <n v="1"/>
    <n v="1731.11"/>
    <n v="4352.79"/>
    <x v="8"/>
    <s v="Q4"/>
    <n v="2023"/>
    <x v="1"/>
  </r>
  <r>
    <x v="264"/>
    <x v="3"/>
    <x v="1"/>
    <x v="19"/>
    <n v="8"/>
    <n v="2228.06"/>
    <s v="Male"/>
    <n v="1"/>
    <n v="1574.39"/>
    <n v="653.66999999999996"/>
    <x v="4"/>
    <s v="Q2"/>
    <n v="2022"/>
    <x v="1"/>
  </r>
  <r>
    <x v="265"/>
    <x v="1"/>
    <x v="3"/>
    <x v="15"/>
    <n v="36"/>
    <n v="14155.02"/>
    <s v="Female"/>
    <n v="5"/>
    <n v="6161.55"/>
    <n v="7993.47"/>
    <x v="5"/>
    <s v="Q1"/>
    <n v="2022"/>
    <x v="1"/>
  </r>
  <r>
    <x v="266"/>
    <x v="4"/>
    <x v="3"/>
    <x v="4"/>
    <n v="46"/>
    <n v="7071.32"/>
    <s v="Female"/>
    <n v="1"/>
    <n v="3200.53"/>
    <n v="3870.79"/>
    <x v="9"/>
    <s v="Q3"/>
    <n v="2023"/>
    <x v="1"/>
  </r>
  <r>
    <x v="267"/>
    <x v="0"/>
    <x v="3"/>
    <x v="12"/>
    <n v="48"/>
    <n v="6614.07"/>
    <s v="Male"/>
    <n v="4"/>
    <n v="2329.04"/>
    <n v="4285.03"/>
    <x v="5"/>
    <s v="Q1"/>
    <n v="2023"/>
    <x v="1"/>
  </r>
  <r>
    <x v="139"/>
    <x v="2"/>
    <x v="1"/>
    <x v="1"/>
    <n v="38"/>
    <n v="531.97"/>
    <s v="Male"/>
    <n v="5"/>
    <n v="2607.6"/>
    <n v="-2075.63"/>
    <x v="4"/>
    <s v="Q2"/>
    <n v="2023"/>
    <x v="0"/>
  </r>
  <r>
    <x v="268"/>
    <x v="1"/>
    <x v="4"/>
    <x v="10"/>
    <n v="14"/>
    <n v="3819.25"/>
    <s v="Male"/>
    <n v="4"/>
    <n v="1230.56"/>
    <n v="2588.69"/>
    <x v="11"/>
    <s v="Q4"/>
    <n v="2022"/>
    <x v="1"/>
  </r>
  <r>
    <x v="269"/>
    <x v="4"/>
    <x v="0"/>
    <x v="0"/>
    <n v="31"/>
    <n v="6545.6"/>
    <s v="Male"/>
    <n v="2"/>
    <n v="1573.92"/>
    <n v="4971.68"/>
    <x v="3"/>
    <s v="Q2"/>
    <n v="2022"/>
    <x v="1"/>
  </r>
  <r>
    <x v="270"/>
    <x v="2"/>
    <x v="0"/>
    <x v="8"/>
    <n v="48"/>
    <n v="21547.26"/>
    <s v="Female"/>
    <n v="5"/>
    <n v="9876.16"/>
    <n v="11671.1"/>
    <x v="11"/>
    <s v="Q4"/>
    <n v="2022"/>
    <x v="4"/>
  </r>
  <r>
    <x v="213"/>
    <x v="3"/>
    <x v="1"/>
    <x v="1"/>
    <n v="3"/>
    <n v="179.93"/>
    <s v="Female"/>
    <n v="1"/>
    <n v="38.520000000000003"/>
    <n v="141.41"/>
    <x v="8"/>
    <s v="Q4"/>
    <n v="2022"/>
    <x v="4"/>
  </r>
  <r>
    <x v="45"/>
    <x v="0"/>
    <x v="0"/>
    <x v="13"/>
    <n v="17"/>
    <n v="2968.27"/>
    <s v="Female"/>
    <n v="1"/>
    <n v="1310.78"/>
    <n v="1657.49"/>
    <x v="10"/>
    <s v="Q3"/>
    <n v="2023"/>
    <x v="2"/>
  </r>
  <r>
    <x v="271"/>
    <x v="2"/>
    <x v="4"/>
    <x v="17"/>
    <n v="17"/>
    <n v="5371.71"/>
    <s v="Male"/>
    <n v="3"/>
    <n v="3484.51"/>
    <n v="1887.2"/>
    <x v="11"/>
    <s v="Q4"/>
    <n v="2023"/>
    <x v="1"/>
  </r>
  <r>
    <x v="272"/>
    <x v="3"/>
    <x v="1"/>
    <x v="3"/>
    <n v="47"/>
    <n v="17697.169999999998"/>
    <s v="Female"/>
    <n v="5"/>
    <n v="628.79999999999995"/>
    <n v="17068.37"/>
    <x v="10"/>
    <s v="Q3"/>
    <n v="2023"/>
    <x v="1"/>
  </r>
  <r>
    <x v="202"/>
    <x v="3"/>
    <x v="1"/>
    <x v="1"/>
    <n v="36"/>
    <n v="12910.8"/>
    <s v="Male"/>
    <n v="3"/>
    <n v="5841.7"/>
    <n v="7069.1"/>
    <x v="8"/>
    <s v="Q4"/>
    <n v="2022"/>
    <x v="2"/>
  </r>
  <r>
    <x v="273"/>
    <x v="2"/>
    <x v="2"/>
    <x v="16"/>
    <n v="10"/>
    <n v="696.24"/>
    <s v="Male"/>
    <n v="5"/>
    <n v="1355.39"/>
    <n v="-659.15"/>
    <x v="8"/>
    <s v="Q4"/>
    <n v="2022"/>
    <x v="1"/>
  </r>
  <r>
    <x v="274"/>
    <x v="2"/>
    <x v="2"/>
    <x v="7"/>
    <n v="2"/>
    <n v="412.42"/>
    <s v="Male"/>
    <n v="3"/>
    <n v="268.42"/>
    <n v="144"/>
    <x v="7"/>
    <s v="Q3"/>
    <n v="2023"/>
    <x v="1"/>
  </r>
  <r>
    <x v="275"/>
    <x v="3"/>
    <x v="4"/>
    <x v="17"/>
    <n v="12"/>
    <n v="5793.04"/>
    <s v="Male"/>
    <n v="2"/>
    <n v="1949.83"/>
    <n v="3843.21"/>
    <x v="9"/>
    <s v="Q3"/>
    <n v="2022"/>
    <x v="1"/>
  </r>
  <r>
    <x v="276"/>
    <x v="1"/>
    <x v="4"/>
    <x v="6"/>
    <n v="45"/>
    <n v="8357.02"/>
    <s v="Female"/>
    <n v="5"/>
    <n v="10068.52"/>
    <n v="-1711.5"/>
    <x v="0"/>
    <s v="Q2"/>
    <n v="2023"/>
    <x v="2"/>
  </r>
  <r>
    <x v="277"/>
    <x v="1"/>
    <x v="1"/>
    <x v="1"/>
    <n v="15"/>
    <n v="382.38"/>
    <s v="Male"/>
    <n v="1"/>
    <n v="3427.84"/>
    <n v="-3045.46"/>
    <x v="1"/>
    <s v="Q1"/>
    <n v="2023"/>
    <x v="2"/>
  </r>
  <r>
    <x v="278"/>
    <x v="1"/>
    <x v="0"/>
    <x v="8"/>
    <n v="14"/>
    <n v="2251.04"/>
    <s v="Female"/>
    <n v="2"/>
    <n v="2570.9"/>
    <n v="-319.86"/>
    <x v="2"/>
    <s v="Q1"/>
    <n v="2023"/>
    <x v="2"/>
  </r>
  <r>
    <x v="45"/>
    <x v="0"/>
    <x v="0"/>
    <x v="13"/>
    <n v="31"/>
    <n v="7265.78"/>
    <s v="Male"/>
    <n v="2"/>
    <n v="4587.03"/>
    <n v="2678.75"/>
    <x v="10"/>
    <s v="Q3"/>
    <n v="2023"/>
    <x v="1"/>
  </r>
  <r>
    <x v="251"/>
    <x v="4"/>
    <x v="2"/>
    <x v="7"/>
    <n v="42"/>
    <n v="9768.7199999999993"/>
    <s v="Male"/>
    <n v="3"/>
    <n v="7235.91"/>
    <n v="2532.81"/>
    <x v="5"/>
    <s v="Q1"/>
    <n v="2023"/>
    <x v="2"/>
  </r>
  <r>
    <x v="153"/>
    <x v="2"/>
    <x v="2"/>
    <x v="2"/>
    <n v="38"/>
    <n v="18773.87"/>
    <s v="Male"/>
    <n v="2"/>
    <n v="5212.4399999999996"/>
    <n v="13561.43"/>
    <x v="0"/>
    <s v="Q2"/>
    <n v="2023"/>
    <x v="2"/>
  </r>
  <r>
    <x v="279"/>
    <x v="1"/>
    <x v="2"/>
    <x v="2"/>
    <n v="35"/>
    <n v="11689.44"/>
    <s v="Female"/>
    <n v="1"/>
    <n v="7320.71"/>
    <n v="4368.7299999999996"/>
    <x v="6"/>
    <s v="Q4"/>
    <n v="2023"/>
    <x v="2"/>
  </r>
  <r>
    <x v="280"/>
    <x v="4"/>
    <x v="0"/>
    <x v="0"/>
    <n v="49"/>
    <n v="17583.650000000001"/>
    <s v="Male"/>
    <n v="4"/>
    <n v="4971.3500000000004"/>
    <n v="12612.3"/>
    <x v="11"/>
    <s v="Q4"/>
    <n v="2023"/>
    <x v="1"/>
  </r>
  <r>
    <x v="130"/>
    <x v="3"/>
    <x v="2"/>
    <x v="16"/>
    <n v="20"/>
    <n v="4844.7299999999996"/>
    <s v="Male"/>
    <n v="1"/>
    <n v="4241.8599999999997"/>
    <n v="602.87"/>
    <x v="10"/>
    <s v="Q3"/>
    <n v="2023"/>
    <x v="2"/>
  </r>
  <r>
    <x v="238"/>
    <x v="0"/>
    <x v="1"/>
    <x v="1"/>
    <n v="23"/>
    <n v="5878.76"/>
    <s v="Female"/>
    <n v="2"/>
    <n v="2789.62"/>
    <n v="3089.14"/>
    <x v="6"/>
    <s v="Q4"/>
    <n v="2022"/>
    <x v="2"/>
  </r>
  <r>
    <x v="281"/>
    <x v="2"/>
    <x v="1"/>
    <x v="19"/>
    <n v="22"/>
    <n v="1805.91"/>
    <s v="Male"/>
    <n v="5"/>
    <n v="595.19000000000005"/>
    <n v="1210.72"/>
    <x v="5"/>
    <s v="Q1"/>
    <n v="2023"/>
    <x v="1"/>
  </r>
  <r>
    <x v="282"/>
    <x v="4"/>
    <x v="4"/>
    <x v="6"/>
    <n v="34"/>
    <n v="15855.99"/>
    <s v="Female"/>
    <n v="3"/>
    <n v="7683.1"/>
    <n v="8172.89"/>
    <x v="5"/>
    <s v="Q1"/>
    <n v="2023"/>
    <x v="1"/>
  </r>
  <r>
    <x v="283"/>
    <x v="4"/>
    <x v="2"/>
    <x v="2"/>
    <n v="40"/>
    <n v="13967.14"/>
    <s v="Female"/>
    <n v="5"/>
    <n v="1180.31"/>
    <n v="12786.83"/>
    <x v="5"/>
    <s v="Q1"/>
    <n v="2022"/>
    <x v="2"/>
  </r>
  <r>
    <x v="284"/>
    <x v="0"/>
    <x v="4"/>
    <x v="18"/>
    <n v="7"/>
    <n v="570.85"/>
    <s v="Male"/>
    <n v="5"/>
    <n v="203.4"/>
    <n v="367.45"/>
    <x v="10"/>
    <s v="Q3"/>
    <n v="2023"/>
    <x v="2"/>
  </r>
  <r>
    <x v="42"/>
    <x v="1"/>
    <x v="3"/>
    <x v="15"/>
    <n v="18"/>
    <n v="2486.08"/>
    <s v="Male"/>
    <n v="5"/>
    <n v="3471"/>
    <n v="-984.92"/>
    <x v="0"/>
    <s v="Q2"/>
    <n v="2022"/>
    <x v="2"/>
  </r>
  <r>
    <x v="256"/>
    <x v="3"/>
    <x v="1"/>
    <x v="19"/>
    <n v="9"/>
    <n v="531.45000000000005"/>
    <s v="Female"/>
    <n v="4"/>
    <n v="910.43"/>
    <n v="-378.98"/>
    <x v="3"/>
    <s v="Q2"/>
    <n v="2023"/>
    <x v="2"/>
  </r>
  <r>
    <x v="285"/>
    <x v="2"/>
    <x v="2"/>
    <x v="16"/>
    <n v="18"/>
    <n v="8413.65"/>
    <s v="Male"/>
    <n v="3"/>
    <n v="328.84"/>
    <n v="8084.81"/>
    <x v="0"/>
    <s v="Q2"/>
    <n v="2023"/>
    <x v="1"/>
  </r>
  <r>
    <x v="286"/>
    <x v="0"/>
    <x v="1"/>
    <x v="3"/>
    <n v="39"/>
    <n v="2857.47"/>
    <s v="Male"/>
    <n v="5"/>
    <n v="7190.77"/>
    <n v="-4333.3"/>
    <x v="1"/>
    <s v="Q1"/>
    <n v="2022"/>
    <x v="0"/>
  </r>
  <r>
    <x v="28"/>
    <x v="3"/>
    <x v="4"/>
    <x v="10"/>
    <n v="43"/>
    <n v="17232.45"/>
    <s v="Male"/>
    <n v="1"/>
    <n v="1721.78"/>
    <n v="15510.67"/>
    <x v="10"/>
    <s v="Q3"/>
    <n v="2022"/>
    <x v="1"/>
  </r>
  <r>
    <x v="287"/>
    <x v="2"/>
    <x v="1"/>
    <x v="9"/>
    <n v="44"/>
    <n v="20514.66"/>
    <s v="Male"/>
    <n v="5"/>
    <n v="2210.1999999999998"/>
    <n v="18304.46"/>
    <x v="8"/>
    <s v="Q4"/>
    <n v="2023"/>
    <x v="0"/>
  </r>
  <r>
    <x v="288"/>
    <x v="0"/>
    <x v="1"/>
    <x v="1"/>
    <n v="30"/>
    <n v="14840.77"/>
    <s v="Male"/>
    <n v="2"/>
    <n v="2835.75"/>
    <n v="12005.02"/>
    <x v="11"/>
    <s v="Q4"/>
    <n v="2022"/>
    <x v="1"/>
  </r>
  <r>
    <x v="289"/>
    <x v="2"/>
    <x v="0"/>
    <x v="14"/>
    <n v="22"/>
    <n v="5192.7299999999996"/>
    <s v="Male"/>
    <n v="1"/>
    <n v="2004.47"/>
    <n v="3188.26"/>
    <x v="9"/>
    <s v="Q3"/>
    <n v="2023"/>
    <x v="2"/>
  </r>
  <r>
    <x v="285"/>
    <x v="2"/>
    <x v="0"/>
    <x v="14"/>
    <n v="41"/>
    <n v="19582.03"/>
    <s v="Male"/>
    <n v="5"/>
    <n v="2286.62"/>
    <n v="17295.41"/>
    <x v="0"/>
    <s v="Q2"/>
    <n v="2023"/>
    <x v="1"/>
  </r>
  <r>
    <x v="290"/>
    <x v="2"/>
    <x v="3"/>
    <x v="12"/>
    <n v="30"/>
    <n v="8658.7900000000009"/>
    <s v="Female"/>
    <n v="1"/>
    <n v="2535.1999999999998"/>
    <n v="6123.59"/>
    <x v="5"/>
    <s v="Q1"/>
    <n v="2023"/>
    <x v="1"/>
  </r>
  <r>
    <x v="291"/>
    <x v="3"/>
    <x v="0"/>
    <x v="8"/>
    <n v="1"/>
    <n v="210.42"/>
    <s v="Male"/>
    <n v="5"/>
    <n v="134.4"/>
    <n v="76.02"/>
    <x v="8"/>
    <s v="Q4"/>
    <n v="2022"/>
    <x v="1"/>
  </r>
  <r>
    <x v="292"/>
    <x v="4"/>
    <x v="1"/>
    <x v="19"/>
    <n v="22"/>
    <n v="1957.1"/>
    <s v="Male"/>
    <n v="2"/>
    <n v="3798.32"/>
    <n v="-1841.22"/>
    <x v="11"/>
    <s v="Q4"/>
    <n v="2022"/>
    <x v="1"/>
  </r>
  <r>
    <x v="52"/>
    <x v="0"/>
    <x v="4"/>
    <x v="6"/>
    <n v="20"/>
    <n v="8455.3700000000008"/>
    <s v="Female"/>
    <n v="4"/>
    <n v="3737.5"/>
    <n v="4717.87"/>
    <x v="6"/>
    <s v="Q4"/>
    <n v="2023"/>
    <x v="1"/>
  </r>
  <r>
    <x v="30"/>
    <x v="3"/>
    <x v="3"/>
    <x v="12"/>
    <n v="40"/>
    <n v="2986.74"/>
    <s v="Male"/>
    <n v="1"/>
    <n v="9374.59"/>
    <n v="-6387.85"/>
    <x v="4"/>
    <s v="Q2"/>
    <n v="2023"/>
    <x v="1"/>
  </r>
  <r>
    <x v="293"/>
    <x v="1"/>
    <x v="3"/>
    <x v="11"/>
    <n v="24"/>
    <n v="3489.36"/>
    <s v="Male"/>
    <n v="3"/>
    <n v="5414.25"/>
    <n v="-1924.89"/>
    <x v="2"/>
    <s v="Q1"/>
    <n v="2022"/>
    <x v="1"/>
  </r>
  <r>
    <x v="153"/>
    <x v="4"/>
    <x v="4"/>
    <x v="17"/>
    <n v="30"/>
    <n v="14453.64"/>
    <s v="Male"/>
    <n v="4"/>
    <n v="1258.4000000000001"/>
    <n v="13195.24"/>
    <x v="0"/>
    <s v="Q2"/>
    <n v="2023"/>
    <x v="1"/>
  </r>
  <r>
    <x v="294"/>
    <x v="4"/>
    <x v="2"/>
    <x v="16"/>
    <n v="6"/>
    <n v="1409.28"/>
    <s v="Male"/>
    <n v="3"/>
    <n v="640.24"/>
    <n v="769.04"/>
    <x v="7"/>
    <s v="Q3"/>
    <n v="2023"/>
    <x v="1"/>
  </r>
  <r>
    <x v="295"/>
    <x v="2"/>
    <x v="3"/>
    <x v="12"/>
    <n v="1"/>
    <n v="461.44"/>
    <s v="Male"/>
    <n v="2"/>
    <n v="24.23"/>
    <n v="437.21"/>
    <x v="10"/>
    <s v="Q3"/>
    <n v="2023"/>
    <x v="0"/>
  </r>
  <r>
    <x v="61"/>
    <x v="1"/>
    <x v="1"/>
    <x v="9"/>
    <n v="50"/>
    <n v="11598.03"/>
    <s v="Male"/>
    <n v="4"/>
    <n v="5284.22"/>
    <n v="6313.81"/>
    <x v="0"/>
    <s v="Q2"/>
    <n v="2022"/>
    <x v="2"/>
  </r>
  <r>
    <x v="220"/>
    <x v="0"/>
    <x v="4"/>
    <x v="17"/>
    <n v="14"/>
    <n v="5997.51"/>
    <s v="Male"/>
    <n v="3"/>
    <n v="280.92"/>
    <n v="5716.59"/>
    <x v="7"/>
    <s v="Q3"/>
    <n v="2023"/>
    <x v="1"/>
  </r>
  <r>
    <x v="296"/>
    <x v="2"/>
    <x v="2"/>
    <x v="7"/>
    <n v="35"/>
    <n v="4680.2700000000004"/>
    <s v="Female"/>
    <n v="5"/>
    <n v="1412.05"/>
    <n v="3268.22"/>
    <x v="5"/>
    <s v="Q1"/>
    <n v="2023"/>
    <x v="1"/>
  </r>
  <r>
    <x v="297"/>
    <x v="2"/>
    <x v="4"/>
    <x v="6"/>
    <n v="47"/>
    <n v="23032.400000000001"/>
    <s v="Male"/>
    <n v="5"/>
    <n v="8096.19"/>
    <n v="14936.21"/>
    <x v="2"/>
    <s v="Q1"/>
    <n v="2022"/>
    <x v="3"/>
  </r>
  <r>
    <x v="298"/>
    <x v="3"/>
    <x v="1"/>
    <x v="19"/>
    <n v="47"/>
    <n v="14222.06"/>
    <s v="Female"/>
    <n v="5"/>
    <n v="11722.86"/>
    <n v="2499.1999999999998"/>
    <x v="8"/>
    <s v="Q4"/>
    <n v="2023"/>
    <x v="1"/>
  </r>
  <r>
    <x v="239"/>
    <x v="1"/>
    <x v="2"/>
    <x v="5"/>
    <n v="41"/>
    <n v="4641.2299999999996"/>
    <s v="Male"/>
    <n v="3"/>
    <n v="7618.64"/>
    <n v="-2977.41"/>
    <x v="6"/>
    <s v="Q4"/>
    <n v="2023"/>
    <x v="1"/>
  </r>
  <r>
    <x v="299"/>
    <x v="1"/>
    <x v="2"/>
    <x v="7"/>
    <n v="31"/>
    <n v="11007.55"/>
    <s v="Female"/>
    <n v="3"/>
    <n v="7314.55"/>
    <n v="3693"/>
    <x v="2"/>
    <s v="Q1"/>
    <n v="2022"/>
    <x v="2"/>
  </r>
  <r>
    <x v="175"/>
    <x v="0"/>
    <x v="1"/>
    <x v="3"/>
    <n v="30"/>
    <n v="2286.1999999999998"/>
    <s v="Female"/>
    <n v="1"/>
    <n v="4204.26"/>
    <n v="-1918.06"/>
    <x v="2"/>
    <s v="Q1"/>
    <n v="2023"/>
    <x v="1"/>
  </r>
  <r>
    <x v="213"/>
    <x v="1"/>
    <x v="0"/>
    <x v="13"/>
    <n v="45"/>
    <n v="18746.27"/>
    <s v="Male"/>
    <n v="1"/>
    <n v="740.44"/>
    <n v="18005.830000000002"/>
    <x v="8"/>
    <s v="Q4"/>
    <n v="2022"/>
    <x v="1"/>
  </r>
  <r>
    <x v="300"/>
    <x v="1"/>
    <x v="1"/>
    <x v="9"/>
    <n v="20"/>
    <n v="7153.84"/>
    <s v="Male"/>
    <n v="1"/>
    <n v="4658.2299999999996"/>
    <n v="2495.61"/>
    <x v="0"/>
    <s v="Q2"/>
    <n v="2023"/>
    <x v="2"/>
  </r>
  <r>
    <x v="116"/>
    <x v="3"/>
    <x v="2"/>
    <x v="16"/>
    <n v="43"/>
    <n v="10889.27"/>
    <s v="Female"/>
    <n v="1"/>
    <n v="9288.2199999999993"/>
    <n v="1601.05"/>
    <x v="9"/>
    <s v="Q3"/>
    <n v="2022"/>
    <x v="1"/>
  </r>
  <r>
    <x v="92"/>
    <x v="4"/>
    <x v="1"/>
    <x v="9"/>
    <n v="5"/>
    <n v="72.78"/>
    <s v="Male"/>
    <n v="4"/>
    <n v="1145.26"/>
    <n v="-1072.48"/>
    <x v="7"/>
    <s v="Q3"/>
    <n v="2022"/>
    <x v="1"/>
  </r>
  <r>
    <x v="301"/>
    <x v="2"/>
    <x v="2"/>
    <x v="5"/>
    <n v="38"/>
    <n v="5971.38"/>
    <s v="Female"/>
    <n v="5"/>
    <n v="4265.24"/>
    <n v="1706.14"/>
    <x v="5"/>
    <s v="Q1"/>
    <n v="2023"/>
    <x v="2"/>
  </r>
  <r>
    <x v="291"/>
    <x v="2"/>
    <x v="4"/>
    <x v="10"/>
    <n v="27"/>
    <n v="13312.4"/>
    <s v="Female"/>
    <n v="3"/>
    <n v="4266.6000000000004"/>
    <n v="9045.7999999999993"/>
    <x v="8"/>
    <s v="Q4"/>
    <n v="2022"/>
    <x v="1"/>
  </r>
  <r>
    <x v="302"/>
    <x v="4"/>
    <x v="3"/>
    <x v="15"/>
    <n v="46"/>
    <n v="4697.76"/>
    <s v="Female"/>
    <n v="1"/>
    <n v="4921.1899999999996"/>
    <n v="-223.43"/>
    <x v="2"/>
    <s v="Q1"/>
    <n v="2022"/>
    <x v="2"/>
  </r>
  <r>
    <x v="226"/>
    <x v="2"/>
    <x v="1"/>
    <x v="9"/>
    <n v="25"/>
    <n v="10726.19"/>
    <s v="Male"/>
    <n v="5"/>
    <n v="2439.87"/>
    <n v="8286.32"/>
    <x v="9"/>
    <s v="Q3"/>
    <n v="2022"/>
    <x v="2"/>
  </r>
  <r>
    <x v="303"/>
    <x v="3"/>
    <x v="2"/>
    <x v="2"/>
    <n v="16"/>
    <n v="1476.66"/>
    <s v="Male"/>
    <n v="5"/>
    <n v="2761.04"/>
    <n v="-1284.3800000000001"/>
    <x v="3"/>
    <s v="Q2"/>
    <n v="2022"/>
    <x v="1"/>
  </r>
  <r>
    <x v="304"/>
    <x v="1"/>
    <x v="1"/>
    <x v="9"/>
    <n v="16"/>
    <n v="1537.34"/>
    <s v="Female"/>
    <n v="2"/>
    <n v="2463.7399999999998"/>
    <n v="-926.4"/>
    <x v="6"/>
    <s v="Q4"/>
    <n v="2022"/>
    <x v="1"/>
  </r>
  <r>
    <x v="305"/>
    <x v="4"/>
    <x v="3"/>
    <x v="4"/>
    <n v="12"/>
    <n v="3917.78"/>
    <s v="Female"/>
    <n v="2"/>
    <n v="783.84"/>
    <n v="3133.94"/>
    <x v="11"/>
    <s v="Q4"/>
    <n v="2022"/>
    <x v="1"/>
  </r>
  <r>
    <x v="306"/>
    <x v="1"/>
    <x v="3"/>
    <x v="4"/>
    <n v="39"/>
    <n v="16696.03"/>
    <s v="Male"/>
    <n v="1"/>
    <n v="1943.71"/>
    <n v="14752.32"/>
    <x v="1"/>
    <s v="Q1"/>
    <n v="2022"/>
    <x v="1"/>
  </r>
  <r>
    <x v="307"/>
    <x v="4"/>
    <x v="1"/>
    <x v="19"/>
    <n v="37"/>
    <n v="13636.54"/>
    <s v="Male"/>
    <n v="1"/>
    <n v="5475.09"/>
    <n v="8161.45"/>
    <x v="8"/>
    <s v="Q4"/>
    <n v="2023"/>
    <x v="2"/>
  </r>
  <r>
    <x v="229"/>
    <x v="3"/>
    <x v="3"/>
    <x v="15"/>
    <n v="5"/>
    <n v="2131.21"/>
    <s v="Female"/>
    <n v="2"/>
    <n v="88.63"/>
    <n v="2042.58"/>
    <x v="8"/>
    <s v="Q4"/>
    <n v="2023"/>
    <x v="4"/>
  </r>
  <r>
    <x v="45"/>
    <x v="4"/>
    <x v="4"/>
    <x v="10"/>
    <n v="20"/>
    <n v="9791.25"/>
    <s v="Male"/>
    <n v="5"/>
    <n v="2590.04"/>
    <n v="7201.21"/>
    <x v="10"/>
    <s v="Q3"/>
    <n v="2023"/>
    <x v="1"/>
  </r>
  <r>
    <x v="255"/>
    <x v="2"/>
    <x v="1"/>
    <x v="9"/>
    <n v="11"/>
    <n v="5473.25"/>
    <s v="Female"/>
    <n v="2"/>
    <n v="977.54"/>
    <n v="4495.71"/>
    <x v="5"/>
    <s v="Q1"/>
    <n v="2022"/>
    <x v="3"/>
  </r>
  <r>
    <x v="56"/>
    <x v="2"/>
    <x v="1"/>
    <x v="1"/>
    <n v="27"/>
    <n v="11219.24"/>
    <s v="Male"/>
    <n v="2"/>
    <n v="2022.51"/>
    <n v="9196.73"/>
    <x v="7"/>
    <s v="Q3"/>
    <n v="2022"/>
    <x v="2"/>
  </r>
  <r>
    <x v="39"/>
    <x v="3"/>
    <x v="2"/>
    <x v="2"/>
    <n v="20"/>
    <n v="4100.8100000000004"/>
    <s v="Female"/>
    <n v="2"/>
    <n v="2805.21"/>
    <n v="1295.5999999999999"/>
    <x v="7"/>
    <s v="Q3"/>
    <n v="2022"/>
    <x v="2"/>
  </r>
  <r>
    <x v="308"/>
    <x v="0"/>
    <x v="1"/>
    <x v="9"/>
    <n v="12"/>
    <n v="5913.59"/>
    <s v="Female"/>
    <n v="2"/>
    <n v="321.54000000000002"/>
    <n v="5592.05"/>
    <x v="5"/>
    <s v="Q1"/>
    <n v="2022"/>
    <x v="1"/>
  </r>
  <r>
    <x v="309"/>
    <x v="3"/>
    <x v="4"/>
    <x v="10"/>
    <n v="33"/>
    <n v="8568.1"/>
    <s v="Male"/>
    <n v="4"/>
    <n v="4654.46"/>
    <n v="3913.64"/>
    <x v="5"/>
    <s v="Q1"/>
    <n v="2022"/>
    <x v="1"/>
  </r>
  <r>
    <x v="107"/>
    <x v="0"/>
    <x v="2"/>
    <x v="5"/>
    <n v="28"/>
    <n v="3941.99"/>
    <s v="Male"/>
    <n v="5"/>
    <n v="6696.26"/>
    <n v="-2754.27"/>
    <x v="11"/>
    <s v="Q4"/>
    <n v="2022"/>
    <x v="2"/>
  </r>
  <r>
    <x v="155"/>
    <x v="4"/>
    <x v="2"/>
    <x v="7"/>
    <n v="11"/>
    <n v="4351.8599999999997"/>
    <s v="Female"/>
    <n v="1"/>
    <n v="2253.02"/>
    <n v="2098.84"/>
    <x v="6"/>
    <s v="Q4"/>
    <n v="2022"/>
    <x v="3"/>
  </r>
  <r>
    <x v="310"/>
    <x v="0"/>
    <x v="4"/>
    <x v="10"/>
    <n v="20"/>
    <n v="3622.76"/>
    <s v="Male"/>
    <n v="3"/>
    <n v="719.37"/>
    <n v="2903.39"/>
    <x v="4"/>
    <s v="Q2"/>
    <n v="2022"/>
    <x v="1"/>
  </r>
  <r>
    <x v="311"/>
    <x v="0"/>
    <x v="4"/>
    <x v="17"/>
    <n v="22"/>
    <n v="10966.05"/>
    <s v="Female"/>
    <n v="2"/>
    <n v="3434.59"/>
    <n v="7531.46"/>
    <x v="10"/>
    <s v="Q3"/>
    <n v="2023"/>
    <x v="1"/>
  </r>
  <r>
    <x v="312"/>
    <x v="0"/>
    <x v="0"/>
    <x v="14"/>
    <n v="31"/>
    <n v="2402.61"/>
    <s v="Female"/>
    <n v="2"/>
    <n v="2110.4499999999998"/>
    <n v="292.16000000000003"/>
    <x v="1"/>
    <s v="Q1"/>
    <n v="2023"/>
    <x v="2"/>
  </r>
  <r>
    <x v="95"/>
    <x v="2"/>
    <x v="0"/>
    <x v="8"/>
    <n v="25"/>
    <n v="3876.68"/>
    <s v="Male"/>
    <n v="2"/>
    <n v="2204.5"/>
    <n v="1672.18"/>
    <x v="4"/>
    <s v="Q2"/>
    <n v="2022"/>
    <x v="1"/>
  </r>
  <r>
    <x v="313"/>
    <x v="2"/>
    <x v="1"/>
    <x v="1"/>
    <n v="4"/>
    <n v="1845.82"/>
    <s v="Male"/>
    <n v="5"/>
    <n v="90.28"/>
    <n v="1755.54"/>
    <x v="6"/>
    <s v="Q4"/>
    <n v="2022"/>
    <x v="2"/>
  </r>
  <r>
    <x v="314"/>
    <x v="0"/>
    <x v="1"/>
    <x v="1"/>
    <n v="1"/>
    <n v="450.25"/>
    <s v="Female"/>
    <n v="3"/>
    <n v="151.77000000000001"/>
    <n v="298.48"/>
    <x v="10"/>
    <s v="Q3"/>
    <n v="2022"/>
    <x v="2"/>
  </r>
  <r>
    <x v="315"/>
    <x v="2"/>
    <x v="1"/>
    <x v="3"/>
    <n v="48"/>
    <n v="7274.42"/>
    <s v="Female"/>
    <n v="1"/>
    <n v="4475.6000000000004"/>
    <n v="2798.82"/>
    <x v="11"/>
    <s v="Q4"/>
    <n v="2023"/>
    <x v="1"/>
  </r>
  <r>
    <x v="316"/>
    <x v="3"/>
    <x v="4"/>
    <x v="10"/>
    <n v="22"/>
    <n v="6709.83"/>
    <s v="Female"/>
    <n v="3"/>
    <n v="3373.01"/>
    <n v="3336.82"/>
    <x v="1"/>
    <s v="Q1"/>
    <n v="2022"/>
    <x v="3"/>
  </r>
  <r>
    <x v="317"/>
    <x v="3"/>
    <x v="0"/>
    <x v="0"/>
    <n v="30"/>
    <n v="370.26"/>
    <s v="Female"/>
    <n v="1"/>
    <n v="870.08"/>
    <n v="-499.82"/>
    <x v="4"/>
    <s v="Q2"/>
    <n v="2022"/>
    <x v="1"/>
  </r>
  <r>
    <x v="318"/>
    <x v="3"/>
    <x v="1"/>
    <x v="9"/>
    <n v="37"/>
    <n v="2916.65"/>
    <s v="Male"/>
    <n v="2"/>
    <n v="6850.91"/>
    <n v="-3934.26"/>
    <x v="10"/>
    <s v="Q3"/>
    <n v="2022"/>
    <x v="1"/>
  </r>
  <r>
    <x v="319"/>
    <x v="3"/>
    <x v="1"/>
    <x v="1"/>
    <n v="44"/>
    <n v="8885.34"/>
    <s v="Female"/>
    <n v="5"/>
    <n v="2892.8"/>
    <n v="5992.54"/>
    <x v="8"/>
    <s v="Q4"/>
    <n v="2022"/>
    <x v="3"/>
  </r>
  <r>
    <x v="320"/>
    <x v="3"/>
    <x v="1"/>
    <x v="9"/>
    <n v="17"/>
    <n v="6268.52"/>
    <s v="Male"/>
    <n v="4"/>
    <n v="3881.89"/>
    <n v="2386.63"/>
    <x v="0"/>
    <s v="Q2"/>
    <n v="2022"/>
    <x v="3"/>
  </r>
  <r>
    <x v="215"/>
    <x v="2"/>
    <x v="1"/>
    <x v="9"/>
    <n v="10"/>
    <n v="3188.74"/>
    <s v="Female"/>
    <n v="2"/>
    <n v="865.98"/>
    <n v="2322.7600000000002"/>
    <x v="4"/>
    <s v="Q2"/>
    <n v="2023"/>
    <x v="1"/>
  </r>
  <r>
    <x v="221"/>
    <x v="3"/>
    <x v="4"/>
    <x v="6"/>
    <n v="30"/>
    <n v="506.52"/>
    <s v="Male"/>
    <n v="1"/>
    <n v="1447.45"/>
    <n v="-940.93"/>
    <x v="3"/>
    <s v="Q2"/>
    <n v="2023"/>
    <x v="2"/>
  </r>
  <r>
    <x v="233"/>
    <x v="0"/>
    <x v="0"/>
    <x v="8"/>
    <n v="37"/>
    <n v="17522.77"/>
    <s v="Female"/>
    <n v="5"/>
    <n v="3667.34"/>
    <n v="13855.43"/>
    <x v="3"/>
    <s v="Q2"/>
    <n v="2023"/>
    <x v="1"/>
  </r>
  <r>
    <x v="136"/>
    <x v="0"/>
    <x v="4"/>
    <x v="18"/>
    <n v="20"/>
    <n v="7145.59"/>
    <s v="Female"/>
    <n v="5"/>
    <n v="2202.11"/>
    <n v="4943.4799999999996"/>
    <x v="10"/>
    <s v="Q3"/>
    <n v="2023"/>
    <x v="2"/>
  </r>
  <r>
    <x v="297"/>
    <x v="2"/>
    <x v="2"/>
    <x v="2"/>
    <n v="1"/>
    <n v="79.05"/>
    <s v="Female"/>
    <n v="3"/>
    <n v="136.38999999999999"/>
    <n v="-57.34"/>
    <x v="2"/>
    <s v="Q1"/>
    <n v="2022"/>
    <x v="3"/>
  </r>
  <r>
    <x v="61"/>
    <x v="4"/>
    <x v="2"/>
    <x v="7"/>
    <n v="5"/>
    <n v="759.23"/>
    <s v="Female"/>
    <n v="4"/>
    <n v="217.1"/>
    <n v="542.13"/>
    <x v="0"/>
    <s v="Q2"/>
    <n v="2022"/>
    <x v="3"/>
  </r>
  <r>
    <x v="321"/>
    <x v="4"/>
    <x v="2"/>
    <x v="2"/>
    <n v="36"/>
    <n v="11180.46"/>
    <s v="Male"/>
    <n v="2"/>
    <n v="5220.08"/>
    <n v="5960.38"/>
    <x v="10"/>
    <s v="Q3"/>
    <n v="2023"/>
    <x v="3"/>
  </r>
  <r>
    <x v="322"/>
    <x v="2"/>
    <x v="0"/>
    <x v="13"/>
    <n v="44"/>
    <n v="20388.86"/>
    <s v="Female"/>
    <n v="4"/>
    <n v="9790.35"/>
    <n v="10598.51"/>
    <x v="11"/>
    <s v="Q4"/>
    <n v="2022"/>
    <x v="3"/>
  </r>
  <r>
    <x v="230"/>
    <x v="4"/>
    <x v="1"/>
    <x v="1"/>
    <n v="21"/>
    <n v="2817.91"/>
    <s v="Female"/>
    <n v="2"/>
    <n v="1342.6"/>
    <n v="1475.31"/>
    <x v="10"/>
    <s v="Q3"/>
    <n v="2022"/>
    <x v="1"/>
  </r>
  <r>
    <x v="150"/>
    <x v="3"/>
    <x v="0"/>
    <x v="14"/>
    <n v="48"/>
    <n v="13907.65"/>
    <s v="Female"/>
    <n v="4"/>
    <n v="11438.25"/>
    <n v="2469.4"/>
    <x v="7"/>
    <s v="Q3"/>
    <n v="2023"/>
    <x v="1"/>
  </r>
  <r>
    <x v="299"/>
    <x v="3"/>
    <x v="1"/>
    <x v="9"/>
    <n v="44"/>
    <n v="10043.77"/>
    <s v="Male"/>
    <n v="4"/>
    <n v="1187.22"/>
    <n v="8856.5499999999993"/>
    <x v="2"/>
    <s v="Q1"/>
    <n v="2022"/>
    <x v="4"/>
  </r>
  <r>
    <x v="254"/>
    <x v="0"/>
    <x v="4"/>
    <x v="18"/>
    <n v="45"/>
    <n v="6946.85"/>
    <s v="Female"/>
    <n v="5"/>
    <n v="4001.77"/>
    <n v="2945.08"/>
    <x v="1"/>
    <s v="Q1"/>
    <n v="2022"/>
    <x v="2"/>
  </r>
  <r>
    <x v="323"/>
    <x v="1"/>
    <x v="3"/>
    <x v="12"/>
    <n v="11"/>
    <n v="3523.86"/>
    <s v="Male"/>
    <n v="4"/>
    <n v="2117.54"/>
    <n v="1406.32"/>
    <x v="7"/>
    <s v="Q3"/>
    <n v="2023"/>
    <x v="4"/>
  </r>
  <r>
    <x v="324"/>
    <x v="0"/>
    <x v="3"/>
    <x v="15"/>
    <n v="10"/>
    <n v="4500.2"/>
    <s v="Male"/>
    <n v="2"/>
    <n v="1821.12"/>
    <n v="2679.08"/>
    <x v="4"/>
    <s v="Q2"/>
    <n v="2023"/>
    <x v="1"/>
  </r>
  <r>
    <x v="9"/>
    <x v="1"/>
    <x v="1"/>
    <x v="3"/>
    <n v="12"/>
    <n v="4956.16"/>
    <s v="Female"/>
    <n v="1"/>
    <n v="2674.3"/>
    <n v="2281.86"/>
    <x v="6"/>
    <s v="Q4"/>
    <n v="2023"/>
    <x v="3"/>
  </r>
  <r>
    <x v="325"/>
    <x v="0"/>
    <x v="4"/>
    <x v="6"/>
    <n v="39"/>
    <n v="440.53"/>
    <s v="Male"/>
    <n v="4"/>
    <n v="1201.1400000000001"/>
    <n v="-760.61"/>
    <x v="0"/>
    <s v="Q2"/>
    <n v="2023"/>
    <x v="3"/>
  </r>
  <r>
    <x v="100"/>
    <x v="0"/>
    <x v="2"/>
    <x v="16"/>
    <n v="50"/>
    <n v="12151.36"/>
    <s v="Female"/>
    <n v="4"/>
    <n v="498.37"/>
    <n v="11652.99"/>
    <x v="7"/>
    <s v="Q3"/>
    <n v="2022"/>
    <x v="4"/>
  </r>
  <r>
    <x v="213"/>
    <x v="0"/>
    <x v="4"/>
    <x v="18"/>
    <n v="32"/>
    <n v="12404.55"/>
    <s v="Female"/>
    <n v="1"/>
    <n v="5754.85"/>
    <n v="6649.7"/>
    <x v="8"/>
    <s v="Q4"/>
    <n v="2022"/>
    <x v="1"/>
  </r>
  <r>
    <x v="326"/>
    <x v="0"/>
    <x v="1"/>
    <x v="1"/>
    <n v="7"/>
    <n v="579.41999999999996"/>
    <s v="Female"/>
    <n v="5"/>
    <n v="848.54"/>
    <n v="-269.12"/>
    <x v="7"/>
    <s v="Q3"/>
    <n v="2023"/>
    <x v="4"/>
  </r>
  <r>
    <x v="210"/>
    <x v="1"/>
    <x v="2"/>
    <x v="2"/>
    <n v="33"/>
    <n v="13718.2"/>
    <s v="Female"/>
    <n v="1"/>
    <n v="2876.19"/>
    <n v="10842.01"/>
    <x v="1"/>
    <s v="Q1"/>
    <n v="2023"/>
    <x v="1"/>
  </r>
  <r>
    <x v="16"/>
    <x v="3"/>
    <x v="3"/>
    <x v="15"/>
    <n v="4"/>
    <n v="1448.93"/>
    <s v="Female"/>
    <n v="1"/>
    <n v="621.11"/>
    <n v="827.82"/>
    <x v="3"/>
    <s v="Q2"/>
    <n v="2023"/>
    <x v="2"/>
  </r>
  <r>
    <x v="216"/>
    <x v="1"/>
    <x v="0"/>
    <x v="0"/>
    <n v="19"/>
    <n v="2782.17"/>
    <s v="Female"/>
    <n v="4"/>
    <n v="3778.79"/>
    <n v="-996.62"/>
    <x v="0"/>
    <s v="Q2"/>
    <n v="2023"/>
    <x v="1"/>
  </r>
  <r>
    <x v="327"/>
    <x v="3"/>
    <x v="3"/>
    <x v="4"/>
    <n v="22"/>
    <n v="585.08000000000004"/>
    <s v="Male"/>
    <n v="4"/>
    <n v="2842.81"/>
    <n v="-2257.73"/>
    <x v="9"/>
    <s v="Q3"/>
    <n v="2023"/>
    <x v="2"/>
  </r>
  <r>
    <x v="32"/>
    <x v="0"/>
    <x v="3"/>
    <x v="12"/>
    <n v="23"/>
    <n v="1910.01"/>
    <s v="Female"/>
    <n v="4"/>
    <n v="3298.56"/>
    <n v="-1388.55"/>
    <x v="4"/>
    <s v="Q2"/>
    <n v="2023"/>
    <x v="1"/>
  </r>
  <r>
    <x v="328"/>
    <x v="3"/>
    <x v="2"/>
    <x v="7"/>
    <n v="10"/>
    <n v="3647.6"/>
    <s v="Male"/>
    <n v="5"/>
    <n v="2455.5"/>
    <n v="1192.0999999999999"/>
    <x v="10"/>
    <s v="Q3"/>
    <n v="2022"/>
    <x v="4"/>
  </r>
  <r>
    <x v="128"/>
    <x v="4"/>
    <x v="1"/>
    <x v="9"/>
    <n v="2"/>
    <n v="941.25"/>
    <s v="Female"/>
    <n v="4"/>
    <n v="291.66000000000003"/>
    <n v="649.59"/>
    <x v="8"/>
    <s v="Q4"/>
    <n v="2023"/>
    <x v="1"/>
  </r>
  <r>
    <x v="329"/>
    <x v="4"/>
    <x v="3"/>
    <x v="15"/>
    <n v="46"/>
    <n v="18326.61"/>
    <s v="Male"/>
    <n v="1"/>
    <n v="4438.04"/>
    <n v="13888.57"/>
    <x v="3"/>
    <s v="Q2"/>
    <n v="2022"/>
    <x v="2"/>
  </r>
  <r>
    <x v="330"/>
    <x v="1"/>
    <x v="2"/>
    <x v="16"/>
    <n v="1"/>
    <n v="148.19999999999999"/>
    <s v="Male"/>
    <n v="1"/>
    <n v="39.71"/>
    <n v="108.49"/>
    <x v="0"/>
    <s v="Q2"/>
    <n v="2022"/>
    <x v="3"/>
  </r>
  <r>
    <x v="331"/>
    <x v="4"/>
    <x v="4"/>
    <x v="6"/>
    <n v="14"/>
    <n v="1490.5"/>
    <s v="Male"/>
    <n v="4"/>
    <n v="486.5"/>
    <n v="1004"/>
    <x v="8"/>
    <s v="Q4"/>
    <n v="2022"/>
    <x v="3"/>
  </r>
  <r>
    <x v="332"/>
    <x v="0"/>
    <x v="3"/>
    <x v="12"/>
    <n v="49"/>
    <n v="1718.77"/>
    <s v="Male"/>
    <n v="5"/>
    <n v="9389.77"/>
    <n v="-7671"/>
    <x v="6"/>
    <s v="Q4"/>
    <n v="2023"/>
    <x v="1"/>
  </r>
  <r>
    <x v="232"/>
    <x v="3"/>
    <x v="1"/>
    <x v="9"/>
    <n v="1"/>
    <n v="381.13"/>
    <s v="Female"/>
    <n v="4"/>
    <n v="172.82"/>
    <n v="208.31"/>
    <x v="11"/>
    <s v="Q4"/>
    <n v="2023"/>
    <x v="1"/>
  </r>
  <r>
    <x v="333"/>
    <x v="3"/>
    <x v="2"/>
    <x v="2"/>
    <n v="38"/>
    <n v="16480.75"/>
    <s v="Male"/>
    <n v="5"/>
    <n v="1739.28"/>
    <n v="14741.47"/>
    <x v="0"/>
    <s v="Q2"/>
    <n v="2023"/>
    <x v="1"/>
  </r>
  <r>
    <x v="334"/>
    <x v="4"/>
    <x v="4"/>
    <x v="18"/>
    <n v="9"/>
    <n v="3343.31"/>
    <s v="Male"/>
    <n v="5"/>
    <n v="1206.45"/>
    <n v="2136.86"/>
    <x v="7"/>
    <s v="Q3"/>
    <n v="2023"/>
    <x v="3"/>
  </r>
  <r>
    <x v="61"/>
    <x v="3"/>
    <x v="0"/>
    <x v="0"/>
    <n v="20"/>
    <n v="9535.0499999999993"/>
    <s v="Male"/>
    <n v="3"/>
    <n v="1619.31"/>
    <n v="7915.74"/>
    <x v="0"/>
    <s v="Q2"/>
    <n v="2022"/>
    <x v="1"/>
  </r>
  <r>
    <x v="335"/>
    <x v="0"/>
    <x v="0"/>
    <x v="0"/>
    <n v="33"/>
    <n v="2498.54"/>
    <s v="Female"/>
    <n v="5"/>
    <n v="6840.5"/>
    <n v="-4341.96"/>
    <x v="11"/>
    <s v="Q4"/>
    <n v="2022"/>
    <x v="1"/>
  </r>
  <r>
    <x v="336"/>
    <x v="0"/>
    <x v="0"/>
    <x v="14"/>
    <n v="16"/>
    <n v="2508.1799999999998"/>
    <s v="Female"/>
    <n v="5"/>
    <n v="3918.62"/>
    <n v="-1410.44"/>
    <x v="3"/>
    <s v="Q2"/>
    <n v="2023"/>
    <x v="1"/>
  </r>
  <r>
    <x v="69"/>
    <x v="0"/>
    <x v="1"/>
    <x v="1"/>
    <n v="29"/>
    <n v="2954.67"/>
    <s v="Male"/>
    <n v="2"/>
    <n v="2435.1799999999998"/>
    <n v="519.49"/>
    <x v="3"/>
    <s v="Q2"/>
    <n v="2023"/>
    <x v="1"/>
  </r>
  <r>
    <x v="263"/>
    <x v="1"/>
    <x v="1"/>
    <x v="3"/>
    <n v="26"/>
    <n v="10568.85"/>
    <s v="Male"/>
    <n v="1"/>
    <n v="622.84"/>
    <n v="9946.01"/>
    <x v="8"/>
    <s v="Q4"/>
    <n v="2023"/>
    <x v="1"/>
  </r>
  <r>
    <x v="337"/>
    <x v="1"/>
    <x v="0"/>
    <x v="13"/>
    <n v="14"/>
    <n v="5658.07"/>
    <s v="Female"/>
    <n v="2"/>
    <n v="818.8"/>
    <n v="4839.2700000000004"/>
    <x v="0"/>
    <s v="Q2"/>
    <n v="2023"/>
    <x v="1"/>
  </r>
  <r>
    <x v="338"/>
    <x v="1"/>
    <x v="1"/>
    <x v="3"/>
    <n v="20"/>
    <n v="8322.41"/>
    <s v="Female"/>
    <n v="3"/>
    <n v="3327.07"/>
    <n v="4995.34"/>
    <x v="4"/>
    <s v="Q2"/>
    <n v="2022"/>
    <x v="3"/>
  </r>
  <r>
    <x v="120"/>
    <x v="2"/>
    <x v="1"/>
    <x v="9"/>
    <n v="38"/>
    <n v="7339.99"/>
    <s v="Female"/>
    <n v="2"/>
    <n v="5818.78"/>
    <n v="1521.21"/>
    <x v="3"/>
    <s v="Q2"/>
    <n v="2023"/>
    <x v="4"/>
  </r>
  <r>
    <x v="339"/>
    <x v="2"/>
    <x v="4"/>
    <x v="17"/>
    <n v="7"/>
    <n v="1590.94"/>
    <s v="Male"/>
    <n v="3"/>
    <n v="42.35"/>
    <n v="1548.59"/>
    <x v="9"/>
    <s v="Q3"/>
    <n v="2022"/>
    <x v="2"/>
  </r>
  <r>
    <x v="258"/>
    <x v="1"/>
    <x v="4"/>
    <x v="6"/>
    <n v="35"/>
    <n v="11263.52"/>
    <s v="Male"/>
    <n v="1"/>
    <n v="7263"/>
    <n v="4000.52"/>
    <x v="5"/>
    <s v="Q1"/>
    <n v="2023"/>
    <x v="1"/>
  </r>
  <r>
    <x v="133"/>
    <x v="0"/>
    <x v="1"/>
    <x v="1"/>
    <n v="19"/>
    <n v="2796.6"/>
    <s v="Female"/>
    <n v="1"/>
    <n v="2528.44"/>
    <n v="268.16000000000003"/>
    <x v="7"/>
    <s v="Q3"/>
    <n v="2023"/>
    <x v="1"/>
  </r>
  <r>
    <x v="289"/>
    <x v="1"/>
    <x v="3"/>
    <x v="11"/>
    <n v="3"/>
    <n v="856.22"/>
    <s v="Female"/>
    <n v="5"/>
    <n v="314.85000000000002"/>
    <n v="541.37"/>
    <x v="9"/>
    <s v="Q3"/>
    <n v="2023"/>
    <x v="1"/>
  </r>
  <r>
    <x v="38"/>
    <x v="4"/>
    <x v="4"/>
    <x v="10"/>
    <n v="22"/>
    <n v="5503.13"/>
    <s v="Male"/>
    <n v="5"/>
    <n v="1176.48"/>
    <n v="4326.6499999999996"/>
    <x v="7"/>
    <s v="Q3"/>
    <n v="2022"/>
    <x v="4"/>
  </r>
  <r>
    <x v="340"/>
    <x v="2"/>
    <x v="0"/>
    <x v="13"/>
    <n v="40"/>
    <n v="13807.58"/>
    <s v="Male"/>
    <n v="2"/>
    <n v="3375.88"/>
    <n v="10431.700000000001"/>
    <x v="5"/>
    <s v="Q1"/>
    <n v="2022"/>
    <x v="4"/>
  </r>
  <r>
    <x v="341"/>
    <x v="3"/>
    <x v="1"/>
    <x v="3"/>
    <n v="7"/>
    <n v="767.65"/>
    <s v="Female"/>
    <n v="4"/>
    <n v="311.29000000000002"/>
    <n v="456.36"/>
    <x v="5"/>
    <s v="Q1"/>
    <n v="2023"/>
    <x v="1"/>
  </r>
  <r>
    <x v="342"/>
    <x v="0"/>
    <x v="0"/>
    <x v="0"/>
    <n v="45"/>
    <n v="11830.81"/>
    <s v="Female"/>
    <n v="5"/>
    <n v="8881.5"/>
    <n v="2949.31"/>
    <x v="7"/>
    <s v="Q3"/>
    <n v="2022"/>
    <x v="2"/>
  </r>
  <r>
    <x v="343"/>
    <x v="3"/>
    <x v="3"/>
    <x v="11"/>
    <n v="24"/>
    <n v="5008.9399999999996"/>
    <s v="Male"/>
    <n v="3"/>
    <n v="5836.38"/>
    <n v="-827.44"/>
    <x v="3"/>
    <s v="Q2"/>
    <n v="2022"/>
    <x v="2"/>
  </r>
  <r>
    <x v="344"/>
    <x v="0"/>
    <x v="2"/>
    <x v="2"/>
    <n v="5"/>
    <n v="722.63"/>
    <s v="Female"/>
    <n v="4"/>
    <n v="524.29"/>
    <n v="198.34"/>
    <x v="7"/>
    <s v="Q3"/>
    <n v="2023"/>
    <x v="1"/>
  </r>
  <r>
    <x v="345"/>
    <x v="3"/>
    <x v="2"/>
    <x v="16"/>
    <n v="17"/>
    <n v="2334.44"/>
    <s v="Female"/>
    <n v="1"/>
    <n v="4246.01"/>
    <n v="-1911.57"/>
    <x v="4"/>
    <s v="Q2"/>
    <n v="2023"/>
    <x v="4"/>
  </r>
  <r>
    <x v="315"/>
    <x v="0"/>
    <x v="4"/>
    <x v="18"/>
    <n v="10"/>
    <n v="2716.21"/>
    <s v="Female"/>
    <n v="2"/>
    <n v="1755.08"/>
    <n v="961.13"/>
    <x v="11"/>
    <s v="Q4"/>
    <n v="2023"/>
    <x v="1"/>
  </r>
  <r>
    <x v="201"/>
    <x v="0"/>
    <x v="0"/>
    <x v="13"/>
    <n v="8"/>
    <n v="508.86"/>
    <s v="Male"/>
    <n v="2"/>
    <n v="547.76"/>
    <n v="-38.9"/>
    <x v="5"/>
    <s v="Q1"/>
    <n v="2023"/>
    <x v="2"/>
  </r>
  <r>
    <x v="346"/>
    <x v="4"/>
    <x v="4"/>
    <x v="18"/>
    <n v="32"/>
    <n v="10133.14"/>
    <s v="Female"/>
    <n v="5"/>
    <n v="3991.78"/>
    <n v="6141.36"/>
    <x v="9"/>
    <s v="Q3"/>
    <n v="2023"/>
    <x v="1"/>
  </r>
  <r>
    <x v="204"/>
    <x v="0"/>
    <x v="4"/>
    <x v="18"/>
    <n v="34"/>
    <n v="11349.27"/>
    <s v="Male"/>
    <n v="2"/>
    <n v="6944.08"/>
    <n v="4405.1899999999996"/>
    <x v="8"/>
    <s v="Q4"/>
    <n v="2022"/>
    <x v="4"/>
  </r>
  <r>
    <x v="32"/>
    <x v="2"/>
    <x v="4"/>
    <x v="10"/>
    <n v="11"/>
    <n v="1611.29"/>
    <s v="Female"/>
    <n v="2"/>
    <n v="2495.19"/>
    <n v="-883.9"/>
    <x v="4"/>
    <s v="Q2"/>
    <n v="2023"/>
    <x v="4"/>
  </r>
  <r>
    <x v="12"/>
    <x v="3"/>
    <x v="3"/>
    <x v="4"/>
    <n v="48"/>
    <n v="12956.18"/>
    <s v="Female"/>
    <n v="2"/>
    <n v="4388.87"/>
    <n v="8567.31"/>
    <x v="4"/>
    <s v="Q2"/>
    <n v="2023"/>
    <x v="2"/>
  </r>
  <r>
    <x v="6"/>
    <x v="0"/>
    <x v="3"/>
    <x v="11"/>
    <n v="44"/>
    <n v="14710.25"/>
    <s v="Female"/>
    <n v="3"/>
    <n v="10431.969999999999"/>
    <n v="4278.28"/>
    <x v="1"/>
    <s v="Q1"/>
    <n v="2022"/>
    <x v="2"/>
  </r>
  <r>
    <x v="336"/>
    <x v="0"/>
    <x v="0"/>
    <x v="13"/>
    <n v="20"/>
    <n v="6120.62"/>
    <s v="Female"/>
    <n v="5"/>
    <n v="4938.21"/>
    <n v="1182.4100000000001"/>
    <x v="3"/>
    <s v="Q2"/>
    <n v="2023"/>
    <x v="1"/>
  </r>
  <r>
    <x v="347"/>
    <x v="4"/>
    <x v="2"/>
    <x v="7"/>
    <n v="30"/>
    <n v="12238.16"/>
    <s v="Male"/>
    <n v="3"/>
    <n v="5166.46"/>
    <n v="7071.7"/>
    <x v="3"/>
    <s v="Q2"/>
    <n v="2022"/>
    <x v="4"/>
  </r>
  <r>
    <x v="127"/>
    <x v="2"/>
    <x v="1"/>
    <x v="19"/>
    <n v="39"/>
    <n v="15878.38"/>
    <s v="Female"/>
    <n v="5"/>
    <n v="8700.1299999999992"/>
    <n v="7178.25"/>
    <x v="8"/>
    <s v="Q4"/>
    <n v="2023"/>
    <x v="2"/>
  </r>
  <r>
    <x v="348"/>
    <x v="2"/>
    <x v="4"/>
    <x v="17"/>
    <n v="48"/>
    <n v="11575.7"/>
    <s v="Female"/>
    <n v="2"/>
    <n v="2800.13"/>
    <n v="8775.57"/>
    <x v="6"/>
    <s v="Q4"/>
    <n v="2022"/>
    <x v="1"/>
  </r>
  <r>
    <x v="41"/>
    <x v="0"/>
    <x v="4"/>
    <x v="17"/>
    <n v="11"/>
    <n v="5056.49"/>
    <s v="Male"/>
    <n v="2"/>
    <n v="2258.36"/>
    <n v="2798.13"/>
    <x v="9"/>
    <s v="Q3"/>
    <n v="2022"/>
    <x v="1"/>
  </r>
  <r>
    <x v="59"/>
    <x v="1"/>
    <x v="1"/>
    <x v="9"/>
    <n v="50"/>
    <n v="5122.82"/>
    <s v="Male"/>
    <n v="5"/>
    <n v="3850.83"/>
    <n v="1271.99"/>
    <x v="7"/>
    <s v="Q3"/>
    <n v="2023"/>
    <x v="2"/>
  </r>
  <r>
    <x v="72"/>
    <x v="3"/>
    <x v="4"/>
    <x v="17"/>
    <n v="34"/>
    <n v="3010.29"/>
    <s v="Female"/>
    <n v="5"/>
    <n v="249.44"/>
    <n v="2760.85"/>
    <x v="1"/>
    <s v="Q1"/>
    <n v="2022"/>
    <x v="2"/>
  </r>
  <r>
    <x v="349"/>
    <x v="2"/>
    <x v="1"/>
    <x v="9"/>
    <n v="49"/>
    <n v="21035.38"/>
    <s v="Female"/>
    <n v="4"/>
    <n v="5436.16"/>
    <n v="15599.22"/>
    <x v="2"/>
    <s v="Q1"/>
    <n v="2022"/>
    <x v="1"/>
  </r>
  <r>
    <x v="350"/>
    <x v="1"/>
    <x v="2"/>
    <x v="7"/>
    <n v="45"/>
    <n v="9868.15"/>
    <s v="Male"/>
    <n v="1"/>
    <n v="6419.07"/>
    <n v="3449.08"/>
    <x v="6"/>
    <s v="Q4"/>
    <n v="2023"/>
    <x v="1"/>
  </r>
  <r>
    <x v="351"/>
    <x v="0"/>
    <x v="1"/>
    <x v="3"/>
    <n v="26"/>
    <n v="2426.27"/>
    <s v="Male"/>
    <n v="5"/>
    <n v="5669.15"/>
    <n v="-3242.88"/>
    <x v="11"/>
    <s v="Q4"/>
    <n v="2022"/>
    <x v="1"/>
  </r>
  <r>
    <x v="352"/>
    <x v="1"/>
    <x v="0"/>
    <x v="13"/>
    <n v="29"/>
    <n v="12382.87"/>
    <s v="Male"/>
    <n v="2"/>
    <n v="6027.94"/>
    <n v="6354.93"/>
    <x v="9"/>
    <s v="Q3"/>
    <n v="2023"/>
    <x v="1"/>
  </r>
  <r>
    <x v="353"/>
    <x v="0"/>
    <x v="4"/>
    <x v="18"/>
    <n v="34"/>
    <n v="3304.56"/>
    <s v="Male"/>
    <n v="1"/>
    <n v="7604.14"/>
    <n v="-4299.58"/>
    <x v="10"/>
    <s v="Q3"/>
    <n v="2022"/>
    <x v="1"/>
  </r>
  <r>
    <x v="354"/>
    <x v="3"/>
    <x v="4"/>
    <x v="18"/>
    <n v="2"/>
    <n v="660.58"/>
    <s v="Female"/>
    <n v="4"/>
    <n v="370.75"/>
    <n v="289.83"/>
    <x v="8"/>
    <s v="Q4"/>
    <n v="2023"/>
    <x v="2"/>
  </r>
  <r>
    <x v="355"/>
    <x v="0"/>
    <x v="4"/>
    <x v="6"/>
    <n v="34"/>
    <n v="14957.83"/>
    <s v="Female"/>
    <n v="5"/>
    <n v="4162.54"/>
    <n v="10795.29"/>
    <x v="8"/>
    <s v="Q4"/>
    <n v="2023"/>
    <x v="3"/>
  </r>
  <r>
    <x v="51"/>
    <x v="4"/>
    <x v="2"/>
    <x v="16"/>
    <n v="9"/>
    <n v="3427.58"/>
    <s v="Male"/>
    <n v="1"/>
    <n v="1400"/>
    <n v="2027.58"/>
    <x v="0"/>
    <s v="Q2"/>
    <n v="2022"/>
    <x v="3"/>
  </r>
  <r>
    <x v="10"/>
    <x v="0"/>
    <x v="1"/>
    <x v="1"/>
    <n v="18"/>
    <n v="2339.94"/>
    <s v="Female"/>
    <n v="2"/>
    <n v="1324.64"/>
    <n v="1015.3"/>
    <x v="0"/>
    <s v="Q2"/>
    <n v="2022"/>
    <x v="2"/>
  </r>
  <r>
    <x v="356"/>
    <x v="0"/>
    <x v="0"/>
    <x v="13"/>
    <n v="28"/>
    <n v="3609.29"/>
    <s v="Male"/>
    <n v="4"/>
    <n v="5920.39"/>
    <n v="-2311.1"/>
    <x v="5"/>
    <s v="Q1"/>
    <n v="2022"/>
    <x v="4"/>
  </r>
  <r>
    <x v="357"/>
    <x v="3"/>
    <x v="1"/>
    <x v="9"/>
    <n v="1"/>
    <n v="86.89"/>
    <s v="Male"/>
    <n v="5"/>
    <n v="228.07"/>
    <n v="-141.18"/>
    <x v="4"/>
    <s v="Q2"/>
    <n v="2023"/>
    <x v="2"/>
  </r>
  <r>
    <x v="358"/>
    <x v="1"/>
    <x v="1"/>
    <x v="3"/>
    <n v="27"/>
    <n v="9781.9599999999991"/>
    <s v="Male"/>
    <n v="3"/>
    <n v="1293.32"/>
    <n v="8488.64"/>
    <x v="7"/>
    <s v="Q3"/>
    <n v="2023"/>
    <x v="2"/>
  </r>
  <r>
    <x v="235"/>
    <x v="2"/>
    <x v="0"/>
    <x v="0"/>
    <n v="30"/>
    <n v="4713.5200000000004"/>
    <s v="Male"/>
    <n v="5"/>
    <n v="310.70999999999998"/>
    <n v="4402.8100000000004"/>
    <x v="10"/>
    <s v="Q3"/>
    <n v="2023"/>
    <x v="4"/>
  </r>
  <r>
    <x v="301"/>
    <x v="2"/>
    <x v="2"/>
    <x v="5"/>
    <n v="12"/>
    <n v="5965.05"/>
    <s v="Female"/>
    <n v="3"/>
    <n v="2284.89"/>
    <n v="3680.16"/>
    <x v="5"/>
    <s v="Q1"/>
    <n v="2023"/>
    <x v="3"/>
  </r>
  <r>
    <x v="209"/>
    <x v="1"/>
    <x v="1"/>
    <x v="3"/>
    <n v="49"/>
    <n v="18009"/>
    <s v="Male"/>
    <n v="3"/>
    <n v="4702.1899999999996"/>
    <n v="13306.81"/>
    <x v="10"/>
    <s v="Q3"/>
    <n v="2022"/>
    <x v="4"/>
  </r>
  <r>
    <x v="359"/>
    <x v="2"/>
    <x v="3"/>
    <x v="4"/>
    <n v="29"/>
    <n v="13085.25"/>
    <s v="Female"/>
    <n v="2"/>
    <n v="6460.21"/>
    <n v="6625.04"/>
    <x v="10"/>
    <s v="Q3"/>
    <n v="2023"/>
    <x v="1"/>
  </r>
  <r>
    <x v="184"/>
    <x v="2"/>
    <x v="2"/>
    <x v="2"/>
    <n v="11"/>
    <n v="2771.56"/>
    <s v="Male"/>
    <n v="4"/>
    <n v="1598.38"/>
    <n v="1173.18"/>
    <x v="1"/>
    <s v="Q1"/>
    <n v="2023"/>
    <x v="1"/>
  </r>
  <r>
    <x v="276"/>
    <x v="3"/>
    <x v="0"/>
    <x v="13"/>
    <n v="15"/>
    <n v="7290.65"/>
    <s v="Female"/>
    <n v="4"/>
    <n v="2499.88"/>
    <n v="4790.7700000000004"/>
    <x v="0"/>
    <s v="Q2"/>
    <n v="2023"/>
    <x v="2"/>
  </r>
  <r>
    <x v="360"/>
    <x v="4"/>
    <x v="4"/>
    <x v="6"/>
    <n v="40"/>
    <n v="3993.48"/>
    <s v="Female"/>
    <n v="4"/>
    <n v="6377.09"/>
    <n v="-2383.61"/>
    <x v="9"/>
    <s v="Q3"/>
    <n v="2022"/>
    <x v="2"/>
  </r>
  <r>
    <x v="361"/>
    <x v="3"/>
    <x v="2"/>
    <x v="2"/>
    <n v="17"/>
    <n v="6336.95"/>
    <s v="Male"/>
    <n v="4"/>
    <n v="434.83"/>
    <n v="5902.12"/>
    <x v="8"/>
    <s v="Q4"/>
    <n v="2023"/>
    <x v="3"/>
  </r>
  <r>
    <x v="362"/>
    <x v="3"/>
    <x v="3"/>
    <x v="4"/>
    <n v="25"/>
    <n v="6257.77"/>
    <s v="Male"/>
    <n v="2"/>
    <n v="5119.9399999999996"/>
    <n v="1137.83"/>
    <x v="3"/>
    <s v="Q2"/>
    <n v="2023"/>
    <x v="1"/>
  </r>
  <r>
    <x v="340"/>
    <x v="0"/>
    <x v="2"/>
    <x v="16"/>
    <n v="36"/>
    <n v="16891.71"/>
    <s v="Female"/>
    <n v="4"/>
    <n v="8124.85"/>
    <n v="8766.86"/>
    <x v="5"/>
    <s v="Q1"/>
    <n v="2022"/>
    <x v="3"/>
  </r>
  <r>
    <x v="363"/>
    <x v="3"/>
    <x v="1"/>
    <x v="9"/>
    <n v="16"/>
    <n v="3439.33"/>
    <s v="Female"/>
    <n v="3"/>
    <n v="2797.05"/>
    <n v="642.28"/>
    <x v="0"/>
    <s v="Q2"/>
    <n v="2023"/>
    <x v="1"/>
  </r>
  <r>
    <x v="270"/>
    <x v="3"/>
    <x v="0"/>
    <x v="8"/>
    <n v="47"/>
    <n v="1981"/>
    <s v="Male"/>
    <n v="5"/>
    <n v="9354.83"/>
    <n v="-7373.83"/>
    <x v="11"/>
    <s v="Q4"/>
    <n v="2022"/>
    <x v="0"/>
  </r>
  <r>
    <x v="364"/>
    <x v="1"/>
    <x v="3"/>
    <x v="12"/>
    <n v="41"/>
    <n v="6554.41"/>
    <s v="Female"/>
    <n v="5"/>
    <n v="8826.39"/>
    <n v="-2271.98"/>
    <x v="0"/>
    <s v="Q2"/>
    <n v="2023"/>
    <x v="2"/>
  </r>
  <r>
    <x v="365"/>
    <x v="0"/>
    <x v="1"/>
    <x v="9"/>
    <n v="2"/>
    <n v="402.02"/>
    <s v="Female"/>
    <n v="5"/>
    <n v="484.28"/>
    <n v="-82.26"/>
    <x v="5"/>
    <s v="Q1"/>
    <n v="2023"/>
    <x v="2"/>
  </r>
  <r>
    <x v="366"/>
    <x v="3"/>
    <x v="4"/>
    <x v="18"/>
    <n v="2"/>
    <n v="509.77"/>
    <s v="Male"/>
    <n v="3"/>
    <n v="104.74"/>
    <n v="405.03"/>
    <x v="1"/>
    <s v="Q1"/>
    <n v="2022"/>
    <x v="1"/>
  </r>
  <r>
    <x v="367"/>
    <x v="3"/>
    <x v="1"/>
    <x v="9"/>
    <n v="18"/>
    <n v="393.56"/>
    <s v="Male"/>
    <n v="1"/>
    <n v="3229.27"/>
    <n v="-2835.71"/>
    <x v="10"/>
    <s v="Q3"/>
    <n v="2022"/>
    <x v="0"/>
  </r>
  <r>
    <x v="368"/>
    <x v="3"/>
    <x v="2"/>
    <x v="16"/>
    <n v="44"/>
    <n v="13597.97"/>
    <s v="Female"/>
    <n v="1"/>
    <n v="8891.6200000000008"/>
    <n v="4706.3500000000004"/>
    <x v="2"/>
    <s v="Q1"/>
    <n v="2022"/>
    <x v="0"/>
  </r>
  <r>
    <x v="184"/>
    <x v="0"/>
    <x v="0"/>
    <x v="13"/>
    <n v="30"/>
    <n v="2729.07"/>
    <s v="Male"/>
    <n v="5"/>
    <n v="662.28"/>
    <n v="2066.79"/>
    <x v="1"/>
    <s v="Q1"/>
    <n v="2023"/>
    <x v="0"/>
  </r>
  <r>
    <x v="334"/>
    <x v="3"/>
    <x v="2"/>
    <x v="16"/>
    <n v="7"/>
    <n v="988.2"/>
    <s v="Female"/>
    <n v="3"/>
    <n v="429.77"/>
    <n v="558.42999999999995"/>
    <x v="7"/>
    <s v="Q3"/>
    <n v="2023"/>
    <x v="3"/>
  </r>
  <r>
    <x v="216"/>
    <x v="3"/>
    <x v="1"/>
    <x v="19"/>
    <n v="23"/>
    <n v="9326.5499999999993"/>
    <s v="Male"/>
    <n v="4"/>
    <n v="2122.83"/>
    <n v="7203.72"/>
    <x v="0"/>
    <s v="Q2"/>
    <n v="2023"/>
    <x v="3"/>
  </r>
  <r>
    <x v="369"/>
    <x v="3"/>
    <x v="3"/>
    <x v="4"/>
    <n v="43"/>
    <n v="13323.15"/>
    <s v="Female"/>
    <n v="3"/>
    <n v="4080.38"/>
    <n v="9242.77"/>
    <x v="1"/>
    <s v="Q1"/>
    <n v="2023"/>
    <x v="3"/>
  </r>
  <r>
    <x v="370"/>
    <x v="0"/>
    <x v="3"/>
    <x v="11"/>
    <n v="34"/>
    <n v="11267.92"/>
    <s v="Female"/>
    <n v="1"/>
    <n v="3942.07"/>
    <n v="7325.85"/>
    <x v="4"/>
    <s v="Q2"/>
    <n v="2022"/>
    <x v="1"/>
  </r>
  <r>
    <x v="209"/>
    <x v="0"/>
    <x v="4"/>
    <x v="18"/>
    <n v="49"/>
    <n v="10022.74"/>
    <s v="Male"/>
    <n v="2"/>
    <n v="3612.23"/>
    <n v="6410.51"/>
    <x v="10"/>
    <s v="Q3"/>
    <n v="2022"/>
    <x v="2"/>
  </r>
  <r>
    <x v="74"/>
    <x v="1"/>
    <x v="3"/>
    <x v="15"/>
    <n v="44"/>
    <n v="20710.12"/>
    <s v="Female"/>
    <n v="5"/>
    <n v="5785.26"/>
    <n v="14924.86"/>
    <x v="9"/>
    <s v="Q3"/>
    <n v="2022"/>
    <x v="3"/>
  </r>
  <r>
    <x v="371"/>
    <x v="1"/>
    <x v="2"/>
    <x v="7"/>
    <n v="26"/>
    <n v="11061.31"/>
    <s v="Female"/>
    <n v="1"/>
    <n v="2224.39"/>
    <n v="8836.92"/>
    <x v="6"/>
    <s v="Q4"/>
    <n v="2023"/>
    <x v="1"/>
  </r>
  <r>
    <x v="85"/>
    <x v="4"/>
    <x v="0"/>
    <x v="8"/>
    <n v="25"/>
    <n v="1332.45"/>
    <s v="Female"/>
    <n v="2"/>
    <n v="3465.83"/>
    <n v="-2133.38"/>
    <x v="2"/>
    <s v="Q1"/>
    <n v="2022"/>
    <x v="1"/>
  </r>
  <r>
    <x v="372"/>
    <x v="1"/>
    <x v="4"/>
    <x v="6"/>
    <n v="32"/>
    <n v="9886.06"/>
    <s v="Female"/>
    <n v="4"/>
    <n v="4713.2299999999996"/>
    <n v="5172.83"/>
    <x v="11"/>
    <s v="Q4"/>
    <n v="2023"/>
    <x v="2"/>
  </r>
  <r>
    <x v="180"/>
    <x v="4"/>
    <x v="3"/>
    <x v="4"/>
    <n v="14"/>
    <n v="5358.84"/>
    <s v="Female"/>
    <n v="1"/>
    <n v="1531.83"/>
    <n v="3827.01"/>
    <x v="8"/>
    <s v="Q4"/>
    <n v="2023"/>
    <x v="1"/>
  </r>
  <r>
    <x v="235"/>
    <x v="4"/>
    <x v="4"/>
    <x v="17"/>
    <n v="28"/>
    <n v="2609.33"/>
    <s v="Female"/>
    <n v="5"/>
    <n v="6198.92"/>
    <n v="-3589.59"/>
    <x v="10"/>
    <s v="Q3"/>
    <n v="2023"/>
    <x v="2"/>
  </r>
  <r>
    <x v="373"/>
    <x v="3"/>
    <x v="4"/>
    <x v="10"/>
    <n v="44"/>
    <n v="7038.29"/>
    <s v="Female"/>
    <n v="5"/>
    <n v="3465.96"/>
    <n v="3572.33"/>
    <x v="0"/>
    <s v="Q2"/>
    <n v="2023"/>
    <x v="4"/>
  </r>
  <r>
    <x v="288"/>
    <x v="0"/>
    <x v="1"/>
    <x v="9"/>
    <n v="25"/>
    <n v="4071.63"/>
    <s v="Male"/>
    <n v="3"/>
    <n v="2900.33"/>
    <n v="1171.3"/>
    <x v="11"/>
    <s v="Q4"/>
    <n v="2022"/>
    <x v="2"/>
  </r>
  <r>
    <x v="167"/>
    <x v="1"/>
    <x v="3"/>
    <x v="15"/>
    <n v="50"/>
    <n v="13462.43"/>
    <s v="Female"/>
    <n v="3"/>
    <n v="6515.57"/>
    <n v="6946.86"/>
    <x v="7"/>
    <s v="Q3"/>
    <n v="2022"/>
    <x v="4"/>
  </r>
  <r>
    <x v="374"/>
    <x v="3"/>
    <x v="2"/>
    <x v="5"/>
    <n v="11"/>
    <n v="2435.17"/>
    <s v="Female"/>
    <n v="1"/>
    <n v="2392.9299999999998"/>
    <n v="42.24"/>
    <x v="8"/>
    <s v="Q4"/>
    <n v="2022"/>
    <x v="1"/>
  </r>
  <r>
    <x v="375"/>
    <x v="2"/>
    <x v="2"/>
    <x v="2"/>
    <n v="6"/>
    <n v="566.14"/>
    <s v="Male"/>
    <n v="2"/>
    <n v="327.48"/>
    <n v="238.66"/>
    <x v="1"/>
    <s v="Q1"/>
    <n v="2022"/>
    <x v="2"/>
  </r>
  <r>
    <x v="240"/>
    <x v="0"/>
    <x v="1"/>
    <x v="1"/>
    <n v="37"/>
    <n v="14806.1"/>
    <s v="Male"/>
    <n v="1"/>
    <n v="5570.69"/>
    <n v="9235.41"/>
    <x v="3"/>
    <s v="Q2"/>
    <n v="2022"/>
    <x v="0"/>
  </r>
  <r>
    <x v="169"/>
    <x v="2"/>
    <x v="0"/>
    <x v="13"/>
    <n v="24"/>
    <n v="711.95"/>
    <s v="Female"/>
    <n v="5"/>
    <n v="1291.8499999999999"/>
    <n v="-579.9"/>
    <x v="7"/>
    <s v="Q3"/>
    <n v="2022"/>
    <x v="1"/>
  </r>
  <r>
    <x v="376"/>
    <x v="4"/>
    <x v="4"/>
    <x v="17"/>
    <n v="30"/>
    <n v="14643.54"/>
    <s v="Female"/>
    <n v="1"/>
    <n v="5143.3"/>
    <n v="9500.24"/>
    <x v="4"/>
    <s v="Q2"/>
    <n v="2022"/>
    <x v="2"/>
  </r>
  <r>
    <x v="58"/>
    <x v="1"/>
    <x v="4"/>
    <x v="6"/>
    <n v="25"/>
    <n v="1508.22"/>
    <s v="Male"/>
    <n v="1"/>
    <n v="1935.13"/>
    <n v="-426.91"/>
    <x v="11"/>
    <s v="Q4"/>
    <n v="2023"/>
    <x v="0"/>
  </r>
  <r>
    <x v="377"/>
    <x v="0"/>
    <x v="3"/>
    <x v="4"/>
    <n v="14"/>
    <n v="3571.33"/>
    <s v="Male"/>
    <n v="4"/>
    <n v="2843.1"/>
    <n v="728.23"/>
    <x v="8"/>
    <s v="Q4"/>
    <n v="2022"/>
    <x v="2"/>
  </r>
  <r>
    <x v="378"/>
    <x v="0"/>
    <x v="2"/>
    <x v="7"/>
    <n v="38"/>
    <n v="13702.55"/>
    <s v="Female"/>
    <n v="1"/>
    <n v="3028.47"/>
    <n v="10674.08"/>
    <x v="5"/>
    <s v="Q1"/>
    <n v="2023"/>
    <x v="2"/>
  </r>
  <r>
    <x v="379"/>
    <x v="4"/>
    <x v="4"/>
    <x v="18"/>
    <n v="16"/>
    <n v="356.27"/>
    <s v="Male"/>
    <n v="1"/>
    <n v="222.6"/>
    <n v="133.66999999999999"/>
    <x v="10"/>
    <s v="Q3"/>
    <n v="2023"/>
    <x v="1"/>
  </r>
  <r>
    <x v="380"/>
    <x v="2"/>
    <x v="3"/>
    <x v="4"/>
    <n v="27"/>
    <n v="12255.57"/>
    <s v="Female"/>
    <n v="5"/>
    <n v="3317.29"/>
    <n v="8938.2800000000007"/>
    <x v="10"/>
    <s v="Q3"/>
    <n v="2023"/>
    <x v="1"/>
  </r>
  <r>
    <x v="381"/>
    <x v="3"/>
    <x v="4"/>
    <x v="10"/>
    <n v="5"/>
    <n v="1624.64"/>
    <s v="Female"/>
    <n v="5"/>
    <n v="929.23"/>
    <n v="695.41"/>
    <x v="1"/>
    <s v="Q1"/>
    <n v="2023"/>
    <x v="4"/>
  </r>
  <r>
    <x v="307"/>
    <x v="3"/>
    <x v="0"/>
    <x v="14"/>
    <n v="20"/>
    <n v="4984.17"/>
    <s v="Female"/>
    <n v="5"/>
    <n v="1282.44"/>
    <n v="3701.73"/>
    <x v="8"/>
    <s v="Q4"/>
    <n v="2023"/>
    <x v="1"/>
  </r>
  <r>
    <x v="153"/>
    <x v="3"/>
    <x v="2"/>
    <x v="5"/>
    <n v="44"/>
    <n v="9728.39"/>
    <s v="Male"/>
    <n v="5"/>
    <n v="3524.92"/>
    <n v="6203.47"/>
    <x v="0"/>
    <s v="Q2"/>
    <n v="2023"/>
    <x v="4"/>
  </r>
  <r>
    <x v="277"/>
    <x v="1"/>
    <x v="1"/>
    <x v="19"/>
    <n v="22"/>
    <n v="7863.48"/>
    <s v="Female"/>
    <n v="5"/>
    <n v="5176.87"/>
    <n v="2686.61"/>
    <x v="1"/>
    <s v="Q1"/>
    <n v="2023"/>
    <x v="1"/>
  </r>
  <r>
    <x v="50"/>
    <x v="4"/>
    <x v="1"/>
    <x v="1"/>
    <n v="17"/>
    <n v="6103.41"/>
    <s v="Male"/>
    <n v="3"/>
    <n v="4059.81"/>
    <n v="2043.6"/>
    <x v="1"/>
    <s v="Q1"/>
    <n v="2022"/>
    <x v="2"/>
  </r>
  <r>
    <x v="65"/>
    <x v="2"/>
    <x v="3"/>
    <x v="11"/>
    <n v="45"/>
    <n v="987.45"/>
    <s v="Female"/>
    <n v="1"/>
    <n v="4150.16"/>
    <n v="-3162.71"/>
    <x v="11"/>
    <s v="Q4"/>
    <n v="2022"/>
    <x v="1"/>
  </r>
  <r>
    <x v="382"/>
    <x v="3"/>
    <x v="0"/>
    <x v="14"/>
    <n v="23"/>
    <n v="9730.5400000000009"/>
    <s v="Male"/>
    <n v="5"/>
    <n v="5530.56"/>
    <n v="4199.9799999999996"/>
    <x v="9"/>
    <s v="Q3"/>
    <n v="2023"/>
    <x v="0"/>
  </r>
  <r>
    <x v="192"/>
    <x v="2"/>
    <x v="4"/>
    <x v="18"/>
    <n v="5"/>
    <n v="971.15"/>
    <s v="Female"/>
    <n v="1"/>
    <n v="724.91"/>
    <n v="246.24"/>
    <x v="0"/>
    <s v="Q2"/>
    <n v="2022"/>
    <x v="4"/>
  </r>
  <r>
    <x v="383"/>
    <x v="4"/>
    <x v="4"/>
    <x v="18"/>
    <n v="44"/>
    <n v="21862.26"/>
    <s v="Male"/>
    <n v="1"/>
    <n v="585.84"/>
    <n v="21276.42"/>
    <x v="8"/>
    <s v="Q4"/>
    <n v="2022"/>
    <x v="0"/>
  </r>
  <r>
    <x v="18"/>
    <x v="2"/>
    <x v="2"/>
    <x v="7"/>
    <n v="18"/>
    <n v="2700.56"/>
    <s v="Female"/>
    <n v="5"/>
    <n v="1054.21"/>
    <n v="1646.35"/>
    <x v="7"/>
    <s v="Q3"/>
    <n v="2022"/>
    <x v="2"/>
  </r>
  <r>
    <x v="323"/>
    <x v="3"/>
    <x v="4"/>
    <x v="6"/>
    <n v="22"/>
    <n v="9881.43"/>
    <s v="Female"/>
    <n v="3"/>
    <n v="4616.08"/>
    <n v="5265.35"/>
    <x v="7"/>
    <s v="Q3"/>
    <n v="2023"/>
    <x v="1"/>
  </r>
  <r>
    <x v="84"/>
    <x v="1"/>
    <x v="0"/>
    <x v="0"/>
    <n v="6"/>
    <n v="1197.3499999999999"/>
    <s v="Female"/>
    <n v="2"/>
    <n v="1161.17"/>
    <n v="36.18"/>
    <x v="8"/>
    <s v="Q4"/>
    <n v="2022"/>
    <x v="1"/>
  </r>
  <r>
    <x v="384"/>
    <x v="4"/>
    <x v="3"/>
    <x v="4"/>
    <n v="14"/>
    <n v="3757.52"/>
    <s v="Female"/>
    <n v="3"/>
    <n v="3062.72"/>
    <n v="694.8"/>
    <x v="9"/>
    <s v="Q3"/>
    <n v="2022"/>
    <x v="4"/>
  </r>
  <r>
    <x v="385"/>
    <x v="0"/>
    <x v="2"/>
    <x v="16"/>
    <n v="9"/>
    <n v="2298.7399999999998"/>
    <s v="Male"/>
    <n v="4"/>
    <n v="1839.67"/>
    <n v="459.07"/>
    <x v="0"/>
    <s v="Q2"/>
    <n v="2023"/>
    <x v="0"/>
  </r>
  <r>
    <x v="95"/>
    <x v="2"/>
    <x v="1"/>
    <x v="9"/>
    <n v="3"/>
    <n v="330.77"/>
    <s v="Male"/>
    <n v="5"/>
    <n v="673.43"/>
    <n v="-342.66"/>
    <x v="4"/>
    <s v="Q2"/>
    <n v="2022"/>
    <x v="1"/>
  </r>
  <r>
    <x v="386"/>
    <x v="0"/>
    <x v="2"/>
    <x v="2"/>
    <n v="27"/>
    <n v="4050.84"/>
    <s v="Male"/>
    <n v="1"/>
    <n v="5158.87"/>
    <n v="-1108.03"/>
    <x v="5"/>
    <s v="Q1"/>
    <n v="2022"/>
    <x v="4"/>
  </r>
  <r>
    <x v="387"/>
    <x v="4"/>
    <x v="3"/>
    <x v="11"/>
    <n v="37"/>
    <n v="11784.37"/>
    <s v="Male"/>
    <n v="4"/>
    <n v="7448.69"/>
    <n v="4335.68"/>
    <x v="2"/>
    <s v="Q1"/>
    <n v="2022"/>
    <x v="1"/>
  </r>
  <r>
    <x v="388"/>
    <x v="0"/>
    <x v="3"/>
    <x v="4"/>
    <n v="50"/>
    <n v="22208.65"/>
    <s v="Male"/>
    <n v="4"/>
    <n v="2235.31"/>
    <n v="19973.34"/>
    <x v="4"/>
    <s v="Q2"/>
    <n v="2023"/>
    <x v="1"/>
  </r>
  <r>
    <x v="231"/>
    <x v="2"/>
    <x v="4"/>
    <x v="18"/>
    <n v="16"/>
    <n v="7823.09"/>
    <s v="Female"/>
    <n v="5"/>
    <n v="1841.1"/>
    <n v="5981.99"/>
    <x v="9"/>
    <s v="Q3"/>
    <n v="2022"/>
    <x v="1"/>
  </r>
  <r>
    <x v="219"/>
    <x v="4"/>
    <x v="0"/>
    <x v="8"/>
    <n v="21"/>
    <n v="4917.9399999999996"/>
    <s v="Male"/>
    <n v="2"/>
    <n v="997.68"/>
    <n v="3920.26"/>
    <x v="6"/>
    <s v="Q4"/>
    <n v="2023"/>
    <x v="0"/>
  </r>
  <r>
    <x v="389"/>
    <x v="1"/>
    <x v="0"/>
    <x v="0"/>
    <n v="6"/>
    <n v="2941.29"/>
    <s v="Male"/>
    <n v="4"/>
    <n v="228.99"/>
    <n v="2712.3"/>
    <x v="2"/>
    <s v="Q1"/>
    <n v="2023"/>
    <x v="0"/>
  </r>
  <r>
    <x v="213"/>
    <x v="3"/>
    <x v="2"/>
    <x v="7"/>
    <n v="42"/>
    <n v="20284.099999999999"/>
    <s v="Male"/>
    <n v="5"/>
    <n v="1043.05"/>
    <n v="19241.05"/>
    <x v="8"/>
    <s v="Q4"/>
    <n v="2022"/>
    <x v="2"/>
  </r>
  <r>
    <x v="390"/>
    <x v="0"/>
    <x v="4"/>
    <x v="10"/>
    <n v="19"/>
    <n v="849.73"/>
    <s v="Male"/>
    <n v="3"/>
    <n v="3724.59"/>
    <n v="-2874.86"/>
    <x v="9"/>
    <s v="Q3"/>
    <n v="2023"/>
    <x v="0"/>
  </r>
  <r>
    <x v="144"/>
    <x v="1"/>
    <x v="1"/>
    <x v="19"/>
    <n v="8"/>
    <n v="2037.82"/>
    <s v="Male"/>
    <n v="5"/>
    <n v="1048.6300000000001"/>
    <n v="989.19"/>
    <x v="0"/>
    <s v="Q2"/>
    <n v="2022"/>
    <x v="0"/>
  </r>
  <r>
    <x v="391"/>
    <x v="4"/>
    <x v="4"/>
    <x v="17"/>
    <n v="9"/>
    <n v="3121.03"/>
    <s v="Female"/>
    <n v="3"/>
    <n v="805.45"/>
    <n v="2315.58"/>
    <x v="11"/>
    <s v="Q4"/>
    <n v="2022"/>
    <x v="1"/>
  </r>
  <r>
    <x v="392"/>
    <x v="3"/>
    <x v="1"/>
    <x v="19"/>
    <n v="5"/>
    <n v="1664.36"/>
    <s v="Male"/>
    <n v="5"/>
    <n v="799.22"/>
    <n v="865.14"/>
    <x v="4"/>
    <s v="Q2"/>
    <n v="2023"/>
    <x v="2"/>
  </r>
  <r>
    <x v="393"/>
    <x v="1"/>
    <x v="3"/>
    <x v="11"/>
    <n v="31"/>
    <n v="5694.37"/>
    <s v="Male"/>
    <n v="2"/>
    <n v="6482.92"/>
    <n v="-788.55"/>
    <x v="10"/>
    <s v="Q3"/>
    <n v="2023"/>
    <x v="1"/>
  </r>
  <r>
    <x v="394"/>
    <x v="4"/>
    <x v="0"/>
    <x v="0"/>
    <n v="8"/>
    <n v="930.38"/>
    <s v="Male"/>
    <n v="2"/>
    <n v="1324.41"/>
    <n v="-394.03"/>
    <x v="11"/>
    <s v="Q4"/>
    <n v="2022"/>
    <x v="3"/>
  </r>
  <r>
    <x v="277"/>
    <x v="1"/>
    <x v="0"/>
    <x v="8"/>
    <n v="33"/>
    <n v="4160.54"/>
    <s v="Male"/>
    <n v="3"/>
    <n v="788.61"/>
    <n v="3371.93"/>
    <x v="1"/>
    <s v="Q1"/>
    <n v="2023"/>
    <x v="3"/>
  </r>
  <r>
    <x v="303"/>
    <x v="3"/>
    <x v="3"/>
    <x v="4"/>
    <n v="11"/>
    <n v="5093.3100000000004"/>
    <s v="Male"/>
    <n v="4"/>
    <n v="321.51"/>
    <n v="4771.8"/>
    <x v="3"/>
    <s v="Q2"/>
    <n v="2022"/>
    <x v="3"/>
  </r>
  <r>
    <x v="33"/>
    <x v="2"/>
    <x v="0"/>
    <x v="14"/>
    <n v="44"/>
    <n v="18112.36"/>
    <s v="Female"/>
    <n v="3"/>
    <n v="3283.42"/>
    <n v="14828.94"/>
    <x v="6"/>
    <s v="Q4"/>
    <n v="2023"/>
    <x v="1"/>
  </r>
  <r>
    <x v="206"/>
    <x v="1"/>
    <x v="4"/>
    <x v="17"/>
    <n v="3"/>
    <n v="971.88"/>
    <s v="Male"/>
    <n v="2"/>
    <n v="75.31"/>
    <n v="896.57"/>
    <x v="9"/>
    <s v="Q3"/>
    <n v="2023"/>
    <x v="1"/>
  </r>
  <r>
    <x v="395"/>
    <x v="1"/>
    <x v="4"/>
    <x v="10"/>
    <n v="27"/>
    <n v="5562.07"/>
    <s v="Male"/>
    <n v="2"/>
    <n v="6236.09"/>
    <n v="-674.02"/>
    <x v="11"/>
    <s v="Q4"/>
    <n v="2023"/>
    <x v="3"/>
  </r>
  <r>
    <x v="46"/>
    <x v="4"/>
    <x v="3"/>
    <x v="12"/>
    <n v="18"/>
    <n v="5972.55"/>
    <s v="Male"/>
    <n v="2"/>
    <n v="1488.77"/>
    <n v="4483.78"/>
    <x v="2"/>
    <s v="Q1"/>
    <n v="2023"/>
    <x v="1"/>
  </r>
  <r>
    <x v="211"/>
    <x v="0"/>
    <x v="1"/>
    <x v="19"/>
    <n v="48"/>
    <n v="11662.84"/>
    <s v="Female"/>
    <n v="5"/>
    <n v="4307.4799999999996"/>
    <n v="7355.36"/>
    <x v="10"/>
    <s v="Q3"/>
    <n v="2022"/>
    <x v="0"/>
  </r>
  <r>
    <x v="384"/>
    <x v="4"/>
    <x v="2"/>
    <x v="5"/>
    <n v="40"/>
    <n v="11796.11"/>
    <s v="Male"/>
    <n v="5"/>
    <n v="551.89"/>
    <n v="11244.22"/>
    <x v="9"/>
    <s v="Q3"/>
    <n v="2022"/>
    <x v="1"/>
  </r>
  <r>
    <x v="205"/>
    <x v="1"/>
    <x v="4"/>
    <x v="10"/>
    <n v="26"/>
    <n v="3443.25"/>
    <s v="Female"/>
    <n v="5"/>
    <n v="874.16"/>
    <n v="2569.09"/>
    <x v="3"/>
    <s v="Q2"/>
    <n v="2023"/>
    <x v="0"/>
  </r>
  <r>
    <x v="396"/>
    <x v="0"/>
    <x v="0"/>
    <x v="8"/>
    <n v="15"/>
    <n v="4165.67"/>
    <s v="Female"/>
    <n v="4"/>
    <n v="1497.88"/>
    <n v="2667.79"/>
    <x v="11"/>
    <s v="Q4"/>
    <n v="2022"/>
    <x v="0"/>
  </r>
  <r>
    <x v="397"/>
    <x v="3"/>
    <x v="3"/>
    <x v="15"/>
    <n v="24"/>
    <n v="10085.26"/>
    <s v="Male"/>
    <n v="3"/>
    <n v="2719.09"/>
    <n v="7366.17"/>
    <x v="1"/>
    <s v="Q1"/>
    <n v="2022"/>
    <x v="0"/>
  </r>
  <r>
    <x v="398"/>
    <x v="0"/>
    <x v="2"/>
    <x v="7"/>
    <n v="29"/>
    <n v="1873.73"/>
    <s v="Female"/>
    <n v="3"/>
    <n v="2370.1"/>
    <n v="-496.37"/>
    <x v="3"/>
    <s v="Q2"/>
    <n v="2023"/>
    <x v="0"/>
  </r>
  <r>
    <x v="399"/>
    <x v="2"/>
    <x v="1"/>
    <x v="3"/>
    <n v="44"/>
    <n v="1538.52"/>
    <s v="Female"/>
    <n v="1"/>
    <n v="3035.13"/>
    <n v="-1496.61"/>
    <x v="3"/>
    <s v="Q2"/>
    <n v="2022"/>
    <x v="1"/>
  </r>
  <r>
    <x v="232"/>
    <x v="0"/>
    <x v="3"/>
    <x v="11"/>
    <n v="19"/>
    <n v="232.48"/>
    <s v="Male"/>
    <n v="4"/>
    <n v="3749.57"/>
    <n v="-3517.09"/>
    <x v="11"/>
    <s v="Q4"/>
    <n v="2023"/>
    <x v="0"/>
  </r>
  <r>
    <x v="400"/>
    <x v="3"/>
    <x v="2"/>
    <x v="2"/>
    <n v="3"/>
    <n v="230.84"/>
    <s v="Male"/>
    <n v="3"/>
    <n v="318.62"/>
    <n v="-87.78"/>
    <x v="0"/>
    <s v="Q2"/>
    <n v="2022"/>
    <x v="0"/>
  </r>
  <r>
    <x v="401"/>
    <x v="0"/>
    <x v="2"/>
    <x v="16"/>
    <n v="22"/>
    <n v="5054.42"/>
    <s v="Female"/>
    <n v="5"/>
    <n v="1672.84"/>
    <n v="3381.58"/>
    <x v="1"/>
    <s v="Q1"/>
    <n v="2022"/>
    <x v="0"/>
  </r>
  <r>
    <x v="368"/>
    <x v="3"/>
    <x v="1"/>
    <x v="1"/>
    <n v="12"/>
    <n v="4662.7700000000004"/>
    <s v="Male"/>
    <n v="2"/>
    <n v="2744.4"/>
    <n v="1918.37"/>
    <x v="2"/>
    <s v="Q1"/>
    <n v="2022"/>
    <x v="1"/>
  </r>
  <r>
    <x v="402"/>
    <x v="3"/>
    <x v="0"/>
    <x v="0"/>
    <n v="24"/>
    <n v="624.41"/>
    <s v="Female"/>
    <n v="4"/>
    <n v="2733.08"/>
    <n v="-2108.67"/>
    <x v="3"/>
    <s v="Q2"/>
    <n v="2022"/>
    <x v="1"/>
  </r>
  <r>
    <x v="403"/>
    <x v="4"/>
    <x v="0"/>
    <x v="14"/>
    <n v="45"/>
    <n v="14749.72"/>
    <s v="Male"/>
    <n v="2"/>
    <n v="6947.97"/>
    <n v="7801.75"/>
    <x v="0"/>
    <s v="Q2"/>
    <n v="2022"/>
    <x v="1"/>
  </r>
  <r>
    <x v="404"/>
    <x v="0"/>
    <x v="3"/>
    <x v="12"/>
    <n v="47"/>
    <n v="13098.96"/>
    <s v="Female"/>
    <n v="5"/>
    <n v="10613.33"/>
    <n v="2485.63"/>
    <x v="4"/>
    <s v="Q2"/>
    <n v="2022"/>
    <x v="0"/>
  </r>
  <r>
    <x v="331"/>
    <x v="4"/>
    <x v="3"/>
    <x v="15"/>
    <n v="11"/>
    <n v="3283.24"/>
    <s v="Male"/>
    <n v="1"/>
    <n v="1846.25"/>
    <n v="1436.99"/>
    <x v="8"/>
    <s v="Q4"/>
    <n v="2022"/>
    <x v="4"/>
  </r>
  <r>
    <x v="405"/>
    <x v="1"/>
    <x v="4"/>
    <x v="17"/>
    <n v="8"/>
    <n v="1034.99"/>
    <s v="Male"/>
    <n v="5"/>
    <n v="1510.43"/>
    <n v="-475.44"/>
    <x v="11"/>
    <s v="Q4"/>
    <n v="2022"/>
    <x v="2"/>
  </r>
  <r>
    <x v="132"/>
    <x v="3"/>
    <x v="1"/>
    <x v="9"/>
    <n v="38"/>
    <n v="1645.74"/>
    <s v="Female"/>
    <n v="4"/>
    <n v="2630.16"/>
    <n v="-984.42"/>
    <x v="2"/>
    <s v="Q1"/>
    <n v="2023"/>
    <x v="4"/>
  </r>
  <r>
    <x v="406"/>
    <x v="2"/>
    <x v="0"/>
    <x v="14"/>
    <n v="33"/>
    <n v="13465.91"/>
    <s v="Male"/>
    <n v="2"/>
    <n v="7255.85"/>
    <n v="6210.06"/>
    <x v="6"/>
    <s v="Q4"/>
    <n v="2022"/>
    <x v="1"/>
  </r>
  <r>
    <x v="248"/>
    <x v="1"/>
    <x v="4"/>
    <x v="18"/>
    <n v="16"/>
    <n v="1462.89"/>
    <s v="Male"/>
    <n v="4"/>
    <n v="991.24"/>
    <n v="471.65"/>
    <x v="9"/>
    <s v="Q3"/>
    <n v="2022"/>
    <x v="0"/>
  </r>
  <r>
    <x v="96"/>
    <x v="0"/>
    <x v="4"/>
    <x v="10"/>
    <n v="19"/>
    <n v="1487.91"/>
    <s v="Male"/>
    <n v="1"/>
    <n v="4063.34"/>
    <n v="-2575.4299999999998"/>
    <x v="11"/>
    <s v="Q4"/>
    <n v="2023"/>
    <x v="2"/>
  </r>
  <r>
    <x v="407"/>
    <x v="2"/>
    <x v="0"/>
    <x v="14"/>
    <n v="29"/>
    <n v="6338.53"/>
    <s v="Male"/>
    <n v="2"/>
    <n v="2869.25"/>
    <n v="3469.28"/>
    <x v="5"/>
    <s v="Q1"/>
    <n v="2022"/>
    <x v="0"/>
  </r>
  <r>
    <x v="408"/>
    <x v="3"/>
    <x v="3"/>
    <x v="11"/>
    <n v="21"/>
    <n v="8583.2800000000007"/>
    <s v="Male"/>
    <n v="2"/>
    <n v="4980.34"/>
    <n v="3602.94"/>
    <x v="4"/>
    <s v="Q2"/>
    <n v="2022"/>
    <x v="2"/>
  </r>
  <r>
    <x v="323"/>
    <x v="4"/>
    <x v="3"/>
    <x v="11"/>
    <n v="36"/>
    <n v="4432.3"/>
    <s v="Male"/>
    <n v="2"/>
    <n v="2329.0100000000002"/>
    <n v="2103.29"/>
    <x v="7"/>
    <s v="Q3"/>
    <n v="2023"/>
    <x v="0"/>
  </r>
  <r>
    <x v="179"/>
    <x v="0"/>
    <x v="4"/>
    <x v="18"/>
    <n v="18"/>
    <n v="3066.27"/>
    <s v="Male"/>
    <n v="1"/>
    <n v="3094.28"/>
    <n v="-28.01"/>
    <x v="3"/>
    <s v="Q2"/>
    <n v="2022"/>
    <x v="2"/>
  </r>
  <r>
    <x v="409"/>
    <x v="4"/>
    <x v="2"/>
    <x v="5"/>
    <n v="32"/>
    <n v="8979.24"/>
    <s v="Male"/>
    <n v="3"/>
    <n v="4108.24"/>
    <n v="4871"/>
    <x v="2"/>
    <s v="Q1"/>
    <n v="2022"/>
    <x v="2"/>
  </r>
  <r>
    <x v="410"/>
    <x v="2"/>
    <x v="3"/>
    <x v="12"/>
    <n v="33"/>
    <n v="13901.74"/>
    <s v="Male"/>
    <n v="4"/>
    <n v="3080.71"/>
    <n v="10821.03"/>
    <x v="7"/>
    <s v="Q3"/>
    <n v="2023"/>
    <x v="2"/>
  </r>
  <r>
    <x v="411"/>
    <x v="1"/>
    <x v="0"/>
    <x v="13"/>
    <n v="18"/>
    <n v="8886.74"/>
    <s v="Male"/>
    <n v="5"/>
    <n v="150.71"/>
    <n v="8736.0300000000007"/>
    <x v="5"/>
    <s v="Q1"/>
    <n v="2022"/>
    <x v="2"/>
  </r>
  <r>
    <x v="412"/>
    <x v="0"/>
    <x v="4"/>
    <x v="18"/>
    <n v="44"/>
    <n v="16606.25"/>
    <s v="Female"/>
    <n v="2"/>
    <n v="5384.56"/>
    <n v="11221.69"/>
    <x v="5"/>
    <s v="Q1"/>
    <n v="2022"/>
    <x v="2"/>
  </r>
  <r>
    <x v="150"/>
    <x v="3"/>
    <x v="2"/>
    <x v="2"/>
    <n v="25"/>
    <n v="2090.17"/>
    <s v="Female"/>
    <n v="1"/>
    <n v="6146.21"/>
    <n v="-4056.04"/>
    <x v="7"/>
    <s v="Q3"/>
    <n v="2023"/>
    <x v="1"/>
  </r>
  <r>
    <x v="410"/>
    <x v="2"/>
    <x v="2"/>
    <x v="7"/>
    <n v="40"/>
    <n v="15182.68"/>
    <s v="Female"/>
    <n v="2"/>
    <n v="7612.41"/>
    <n v="7570.27"/>
    <x v="7"/>
    <s v="Q3"/>
    <n v="2023"/>
    <x v="2"/>
  </r>
  <r>
    <x v="165"/>
    <x v="2"/>
    <x v="4"/>
    <x v="10"/>
    <n v="15"/>
    <n v="6592"/>
    <s v="Male"/>
    <n v="1"/>
    <n v="2103.9299999999998"/>
    <n v="4488.07"/>
    <x v="0"/>
    <s v="Q2"/>
    <n v="2022"/>
    <x v="2"/>
  </r>
  <r>
    <x v="413"/>
    <x v="2"/>
    <x v="1"/>
    <x v="1"/>
    <n v="29"/>
    <n v="6649.41"/>
    <s v="Female"/>
    <n v="2"/>
    <n v="3343.44"/>
    <n v="3305.97"/>
    <x v="5"/>
    <s v="Q1"/>
    <n v="2023"/>
    <x v="1"/>
  </r>
  <r>
    <x v="414"/>
    <x v="1"/>
    <x v="4"/>
    <x v="17"/>
    <n v="40"/>
    <n v="12095.54"/>
    <s v="Female"/>
    <n v="2"/>
    <n v="7155.74"/>
    <n v="4939.8"/>
    <x v="6"/>
    <s v="Q4"/>
    <n v="2022"/>
    <x v="4"/>
  </r>
  <r>
    <x v="415"/>
    <x v="4"/>
    <x v="0"/>
    <x v="8"/>
    <n v="33"/>
    <n v="3183.44"/>
    <s v="Female"/>
    <n v="3"/>
    <n v="3682.59"/>
    <n v="-499.15"/>
    <x v="6"/>
    <s v="Q4"/>
    <n v="2022"/>
    <x v="1"/>
  </r>
  <r>
    <x v="416"/>
    <x v="4"/>
    <x v="1"/>
    <x v="19"/>
    <n v="36"/>
    <n v="4646.59"/>
    <s v="Female"/>
    <n v="5"/>
    <n v="5945.21"/>
    <n v="-1298.6199999999999"/>
    <x v="2"/>
    <s v="Q1"/>
    <n v="2022"/>
    <x v="1"/>
  </r>
  <r>
    <x v="74"/>
    <x v="1"/>
    <x v="4"/>
    <x v="6"/>
    <n v="6"/>
    <n v="616.47"/>
    <s v="Male"/>
    <n v="3"/>
    <n v="1205.5999999999999"/>
    <n v="-589.13"/>
    <x v="9"/>
    <s v="Q3"/>
    <n v="2022"/>
    <x v="1"/>
  </r>
  <r>
    <x v="417"/>
    <x v="4"/>
    <x v="2"/>
    <x v="16"/>
    <n v="18"/>
    <n v="6951.06"/>
    <s v="Female"/>
    <n v="2"/>
    <n v="2441.6"/>
    <n v="4509.46"/>
    <x v="10"/>
    <s v="Q3"/>
    <n v="2022"/>
    <x v="1"/>
  </r>
  <r>
    <x v="72"/>
    <x v="3"/>
    <x v="0"/>
    <x v="8"/>
    <n v="42"/>
    <n v="8140.37"/>
    <s v="Male"/>
    <n v="3"/>
    <n v="6468.06"/>
    <n v="1672.31"/>
    <x v="1"/>
    <s v="Q1"/>
    <n v="2022"/>
    <x v="1"/>
  </r>
  <r>
    <x v="214"/>
    <x v="4"/>
    <x v="0"/>
    <x v="13"/>
    <n v="4"/>
    <n v="1813.18"/>
    <s v="Female"/>
    <n v="3"/>
    <n v="730.13"/>
    <n v="1083.05"/>
    <x v="10"/>
    <s v="Q3"/>
    <n v="2022"/>
    <x v="1"/>
  </r>
  <r>
    <x v="225"/>
    <x v="3"/>
    <x v="1"/>
    <x v="3"/>
    <n v="5"/>
    <n v="327.7"/>
    <s v="Male"/>
    <n v="1"/>
    <n v="39.950000000000003"/>
    <n v="287.75"/>
    <x v="9"/>
    <s v="Q3"/>
    <n v="2023"/>
    <x v="1"/>
  </r>
  <r>
    <x v="410"/>
    <x v="1"/>
    <x v="4"/>
    <x v="6"/>
    <n v="22"/>
    <n v="4104.29"/>
    <s v="Female"/>
    <n v="5"/>
    <n v="1184.5899999999999"/>
    <n v="2919.7"/>
    <x v="7"/>
    <s v="Q3"/>
    <n v="2023"/>
    <x v="1"/>
  </r>
  <r>
    <x v="418"/>
    <x v="1"/>
    <x v="2"/>
    <x v="16"/>
    <n v="8"/>
    <n v="2365.9499999999998"/>
    <s v="Female"/>
    <n v="2"/>
    <n v="1739.93"/>
    <n v="626.02"/>
    <x v="6"/>
    <s v="Q4"/>
    <n v="2022"/>
    <x v="0"/>
  </r>
  <r>
    <x v="419"/>
    <x v="3"/>
    <x v="1"/>
    <x v="9"/>
    <n v="24"/>
    <n v="6960.25"/>
    <s v="Female"/>
    <n v="5"/>
    <n v="4632.0200000000004"/>
    <n v="2328.23"/>
    <x v="6"/>
    <s v="Q4"/>
    <n v="2023"/>
    <x v="2"/>
  </r>
  <r>
    <x v="420"/>
    <x v="0"/>
    <x v="0"/>
    <x v="8"/>
    <n v="26"/>
    <n v="3721.09"/>
    <s v="Female"/>
    <n v="1"/>
    <n v="2638.74"/>
    <n v="1082.3499999999999"/>
    <x v="4"/>
    <s v="Q2"/>
    <n v="2023"/>
    <x v="1"/>
  </r>
  <r>
    <x v="421"/>
    <x v="2"/>
    <x v="1"/>
    <x v="3"/>
    <n v="35"/>
    <n v="14277.75"/>
    <s v="Female"/>
    <n v="2"/>
    <n v="1603.43"/>
    <n v="12674.32"/>
    <x v="11"/>
    <s v="Q4"/>
    <n v="2022"/>
    <x v="4"/>
  </r>
  <r>
    <x v="69"/>
    <x v="4"/>
    <x v="4"/>
    <x v="18"/>
    <n v="45"/>
    <n v="14800.23"/>
    <s v="Female"/>
    <n v="4"/>
    <n v="8782.17"/>
    <n v="6018.06"/>
    <x v="3"/>
    <s v="Q2"/>
    <n v="2023"/>
    <x v="2"/>
  </r>
  <r>
    <x v="311"/>
    <x v="3"/>
    <x v="3"/>
    <x v="15"/>
    <n v="17"/>
    <n v="8227.52"/>
    <s v="Female"/>
    <n v="2"/>
    <n v="489.44"/>
    <n v="7738.08"/>
    <x v="10"/>
    <s v="Q3"/>
    <n v="2023"/>
    <x v="2"/>
  </r>
  <r>
    <x v="300"/>
    <x v="0"/>
    <x v="2"/>
    <x v="2"/>
    <n v="26"/>
    <n v="8690.7099999999991"/>
    <s v="Female"/>
    <n v="5"/>
    <n v="3710.38"/>
    <n v="4980.33"/>
    <x v="0"/>
    <s v="Q2"/>
    <n v="2023"/>
    <x v="4"/>
  </r>
  <r>
    <x v="422"/>
    <x v="0"/>
    <x v="3"/>
    <x v="4"/>
    <n v="45"/>
    <n v="10391.02"/>
    <s v="Male"/>
    <n v="4"/>
    <n v="9272.49"/>
    <n v="1118.53"/>
    <x v="4"/>
    <s v="Q2"/>
    <n v="2022"/>
    <x v="4"/>
  </r>
  <r>
    <x v="423"/>
    <x v="4"/>
    <x v="3"/>
    <x v="11"/>
    <n v="19"/>
    <n v="1883.04"/>
    <s v="Male"/>
    <n v="4"/>
    <n v="2386.37"/>
    <n v="-503.33"/>
    <x v="7"/>
    <s v="Q3"/>
    <n v="2023"/>
    <x v="1"/>
  </r>
  <r>
    <x v="424"/>
    <x v="4"/>
    <x v="0"/>
    <x v="14"/>
    <n v="30"/>
    <n v="12799.01"/>
    <s v="Female"/>
    <n v="1"/>
    <n v="4359.5"/>
    <n v="8439.51"/>
    <x v="2"/>
    <s v="Q1"/>
    <n v="2022"/>
    <x v="1"/>
  </r>
  <r>
    <x v="143"/>
    <x v="4"/>
    <x v="2"/>
    <x v="2"/>
    <n v="10"/>
    <n v="2931"/>
    <s v="Male"/>
    <n v="5"/>
    <n v="1330.81"/>
    <n v="1600.19"/>
    <x v="9"/>
    <s v="Q3"/>
    <n v="2023"/>
    <x v="1"/>
  </r>
  <r>
    <x v="392"/>
    <x v="3"/>
    <x v="3"/>
    <x v="15"/>
    <n v="43"/>
    <n v="6064.36"/>
    <s v="Female"/>
    <n v="4"/>
    <n v="3978.53"/>
    <n v="2085.83"/>
    <x v="4"/>
    <s v="Q2"/>
    <n v="2023"/>
    <x v="3"/>
  </r>
  <r>
    <x v="383"/>
    <x v="3"/>
    <x v="3"/>
    <x v="11"/>
    <n v="14"/>
    <n v="2804.74"/>
    <s v="Female"/>
    <n v="2"/>
    <n v="1820.7"/>
    <n v="984.04"/>
    <x v="8"/>
    <s v="Q4"/>
    <n v="2022"/>
    <x v="1"/>
  </r>
  <r>
    <x v="425"/>
    <x v="3"/>
    <x v="0"/>
    <x v="8"/>
    <n v="27"/>
    <n v="8737.6299999999992"/>
    <s v="Female"/>
    <n v="2"/>
    <n v="2167.3000000000002"/>
    <n v="6570.33"/>
    <x v="11"/>
    <s v="Q4"/>
    <n v="2022"/>
    <x v="1"/>
  </r>
  <r>
    <x v="426"/>
    <x v="1"/>
    <x v="0"/>
    <x v="13"/>
    <n v="21"/>
    <n v="341.82"/>
    <s v="Female"/>
    <n v="2"/>
    <n v="4636.8"/>
    <n v="-4294.9799999999996"/>
    <x v="3"/>
    <s v="Q2"/>
    <n v="2023"/>
    <x v="1"/>
  </r>
  <r>
    <x v="419"/>
    <x v="2"/>
    <x v="2"/>
    <x v="16"/>
    <n v="42"/>
    <n v="10196.1"/>
    <s v="Female"/>
    <n v="4"/>
    <n v="10490.24"/>
    <n v="-294.14"/>
    <x v="6"/>
    <s v="Q4"/>
    <n v="2023"/>
    <x v="3"/>
  </r>
  <r>
    <x v="272"/>
    <x v="2"/>
    <x v="3"/>
    <x v="15"/>
    <n v="15"/>
    <n v="5410.28"/>
    <s v="Male"/>
    <n v="4"/>
    <n v="2815.63"/>
    <n v="2594.65"/>
    <x v="10"/>
    <s v="Q3"/>
    <n v="2023"/>
    <x v="1"/>
  </r>
  <r>
    <x v="219"/>
    <x v="3"/>
    <x v="0"/>
    <x v="13"/>
    <n v="28"/>
    <n v="13548.86"/>
    <s v="Male"/>
    <n v="4"/>
    <n v="6007.64"/>
    <n v="7541.22"/>
    <x v="6"/>
    <s v="Q4"/>
    <n v="2023"/>
    <x v="1"/>
  </r>
  <r>
    <x v="427"/>
    <x v="0"/>
    <x v="3"/>
    <x v="12"/>
    <n v="38"/>
    <n v="9334.93"/>
    <s v="Male"/>
    <n v="4"/>
    <n v="8589.1299999999992"/>
    <n v="745.8"/>
    <x v="5"/>
    <s v="Q1"/>
    <n v="2022"/>
    <x v="1"/>
  </r>
  <r>
    <x v="221"/>
    <x v="2"/>
    <x v="3"/>
    <x v="4"/>
    <n v="41"/>
    <n v="6805.98"/>
    <s v="Male"/>
    <n v="2"/>
    <n v="5379.16"/>
    <n v="1426.82"/>
    <x v="3"/>
    <s v="Q2"/>
    <n v="2023"/>
    <x v="3"/>
  </r>
  <r>
    <x v="428"/>
    <x v="2"/>
    <x v="1"/>
    <x v="9"/>
    <n v="39"/>
    <n v="14974.48"/>
    <s v="Female"/>
    <n v="5"/>
    <n v="6765.98"/>
    <n v="8208.5"/>
    <x v="4"/>
    <s v="Q2"/>
    <n v="2022"/>
    <x v="1"/>
  </r>
  <r>
    <x v="361"/>
    <x v="4"/>
    <x v="4"/>
    <x v="10"/>
    <n v="47"/>
    <n v="473.22"/>
    <s v="Male"/>
    <n v="4"/>
    <n v="594.80999999999995"/>
    <n v="-121.59"/>
    <x v="8"/>
    <s v="Q4"/>
    <n v="2023"/>
    <x v="1"/>
  </r>
  <r>
    <x v="370"/>
    <x v="4"/>
    <x v="3"/>
    <x v="15"/>
    <n v="15"/>
    <n v="6254.53"/>
    <s v="Male"/>
    <n v="1"/>
    <n v="2068.39"/>
    <n v="4186.1400000000003"/>
    <x v="4"/>
    <s v="Q2"/>
    <n v="2022"/>
    <x v="2"/>
  </r>
  <r>
    <x v="429"/>
    <x v="2"/>
    <x v="1"/>
    <x v="1"/>
    <n v="16"/>
    <n v="5208.91"/>
    <s v="Male"/>
    <n v="5"/>
    <n v="2330.1999999999998"/>
    <n v="2878.71"/>
    <x v="0"/>
    <s v="Q2"/>
    <n v="2022"/>
    <x v="1"/>
  </r>
  <r>
    <x v="45"/>
    <x v="2"/>
    <x v="3"/>
    <x v="15"/>
    <n v="13"/>
    <n v="5152.55"/>
    <s v="Female"/>
    <n v="5"/>
    <n v="1101.3599999999999"/>
    <n v="4051.19"/>
    <x v="10"/>
    <s v="Q3"/>
    <n v="2023"/>
    <x v="1"/>
  </r>
  <r>
    <x v="200"/>
    <x v="0"/>
    <x v="3"/>
    <x v="15"/>
    <n v="36"/>
    <n v="2404.2399999999998"/>
    <s v="Female"/>
    <n v="2"/>
    <n v="4255.17"/>
    <n v="-1850.93"/>
    <x v="5"/>
    <s v="Q1"/>
    <n v="2022"/>
    <x v="1"/>
  </r>
  <r>
    <x v="163"/>
    <x v="0"/>
    <x v="2"/>
    <x v="2"/>
    <n v="34"/>
    <n v="5325.46"/>
    <s v="Female"/>
    <n v="4"/>
    <n v="3004.23"/>
    <n v="2321.23"/>
    <x v="1"/>
    <s v="Q1"/>
    <n v="2022"/>
    <x v="1"/>
  </r>
  <r>
    <x v="363"/>
    <x v="3"/>
    <x v="0"/>
    <x v="8"/>
    <n v="33"/>
    <n v="5030.46"/>
    <s v="Male"/>
    <n v="4"/>
    <n v="5347.83"/>
    <n v="-317.37"/>
    <x v="0"/>
    <s v="Q2"/>
    <n v="2023"/>
    <x v="3"/>
  </r>
  <r>
    <x v="430"/>
    <x v="3"/>
    <x v="3"/>
    <x v="15"/>
    <n v="42"/>
    <n v="20321.02"/>
    <s v="Male"/>
    <n v="3"/>
    <n v="9698.5"/>
    <n v="10622.52"/>
    <x v="5"/>
    <s v="Q1"/>
    <n v="2023"/>
    <x v="3"/>
  </r>
  <r>
    <x v="223"/>
    <x v="2"/>
    <x v="0"/>
    <x v="13"/>
    <n v="41"/>
    <n v="7358.74"/>
    <s v="Female"/>
    <n v="4"/>
    <n v="8420.2099999999991"/>
    <n v="-1061.47"/>
    <x v="8"/>
    <s v="Q4"/>
    <n v="2022"/>
    <x v="1"/>
  </r>
  <r>
    <x v="431"/>
    <x v="2"/>
    <x v="1"/>
    <x v="19"/>
    <n v="20"/>
    <n v="4518.74"/>
    <s v="Male"/>
    <n v="1"/>
    <n v="1024.73"/>
    <n v="3494.01"/>
    <x v="6"/>
    <s v="Q4"/>
    <n v="2022"/>
    <x v="1"/>
  </r>
  <r>
    <x v="268"/>
    <x v="2"/>
    <x v="2"/>
    <x v="16"/>
    <n v="18"/>
    <n v="7501.52"/>
    <s v="Male"/>
    <n v="4"/>
    <n v="2235.9499999999998"/>
    <n v="5265.57"/>
    <x v="11"/>
    <s v="Q4"/>
    <n v="2022"/>
    <x v="2"/>
  </r>
  <r>
    <x v="89"/>
    <x v="3"/>
    <x v="3"/>
    <x v="12"/>
    <n v="25"/>
    <n v="5224"/>
    <s v="Male"/>
    <n v="3"/>
    <n v="3009.3"/>
    <n v="2214.6999999999998"/>
    <x v="8"/>
    <s v="Q4"/>
    <n v="2022"/>
    <x v="1"/>
  </r>
  <r>
    <x v="422"/>
    <x v="1"/>
    <x v="4"/>
    <x v="18"/>
    <n v="24"/>
    <n v="10605.65"/>
    <s v="Male"/>
    <n v="4"/>
    <n v="1236.1400000000001"/>
    <n v="9369.51"/>
    <x v="4"/>
    <s v="Q2"/>
    <n v="2022"/>
    <x v="1"/>
  </r>
  <r>
    <x v="379"/>
    <x v="2"/>
    <x v="3"/>
    <x v="12"/>
    <n v="22"/>
    <n v="2817.42"/>
    <s v="Male"/>
    <n v="4"/>
    <n v="5256.7"/>
    <n v="-2439.2800000000002"/>
    <x v="10"/>
    <s v="Q3"/>
    <n v="2023"/>
    <x v="3"/>
  </r>
  <r>
    <x v="169"/>
    <x v="1"/>
    <x v="2"/>
    <x v="16"/>
    <n v="18"/>
    <n v="3574.96"/>
    <s v="Female"/>
    <n v="2"/>
    <n v="2159.59"/>
    <n v="1415.37"/>
    <x v="7"/>
    <s v="Q3"/>
    <n v="2022"/>
    <x v="1"/>
  </r>
  <r>
    <x v="432"/>
    <x v="4"/>
    <x v="1"/>
    <x v="19"/>
    <n v="24"/>
    <n v="8149.93"/>
    <s v="Female"/>
    <n v="2"/>
    <n v="598.85"/>
    <n v="7551.08"/>
    <x v="7"/>
    <s v="Q3"/>
    <n v="2023"/>
    <x v="1"/>
  </r>
  <r>
    <x v="433"/>
    <x v="3"/>
    <x v="4"/>
    <x v="17"/>
    <n v="27"/>
    <n v="12207.23"/>
    <s v="Male"/>
    <n v="2"/>
    <n v="6726.36"/>
    <n v="5480.87"/>
    <x v="5"/>
    <s v="Q1"/>
    <n v="2022"/>
    <x v="2"/>
  </r>
  <r>
    <x v="352"/>
    <x v="4"/>
    <x v="0"/>
    <x v="8"/>
    <n v="32"/>
    <n v="7062.28"/>
    <s v="Male"/>
    <n v="2"/>
    <n v="5450.48"/>
    <n v="1611.8"/>
    <x v="9"/>
    <s v="Q3"/>
    <n v="2023"/>
    <x v="3"/>
  </r>
  <r>
    <x v="434"/>
    <x v="2"/>
    <x v="3"/>
    <x v="11"/>
    <n v="21"/>
    <n v="8169.97"/>
    <s v="Female"/>
    <n v="2"/>
    <n v="1156.96"/>
    <n v="7013.01"/>
    <x v="7"/>
    <s v="Q3"/>
    <n v="2023"/>
    <x v="3"/>
  </r>
  <r>
    <x v="434"/>
    <x v="3"/>
    <x v="3"/>
    <x v="11"/>
    <n v="45"/>
    <n v="22188.7"/>
    <s v="Male"/>
    <n v="4"/>
    <n v="8047.71"/>
    <n v="14140.99"/>
    <x v="7"/>
    <s v="Q3"/>
    <n v="2023"/>
    <x v="1"/>
  </r>
  <r>
    <x v="14"/>
    <x v="4"/>
    <x v="4"/>
    <x v="17"/>
    <n v="4"/>
    <n v="1210.55"/>
    <s v="Female"/>
    <n v="3"/>
    <n v="88.78"/>
    <n v="1121.77"/>
    <x v="1"/>
    <s v="Q1"/>
    <n v="2023"/>
    <x v="3"/>
  </r>
  <r>
    <x v="357"/>
    <x v="0"/>
    <x v="4"/>
    <x v="18"/>
    <n v="32"/>
    <n v="14105.36"/>
    <s v="Female"/>
    <n v="2"/>
    <n v="2857.72"/>
    <n v="11247.64"/>
    <x v="4"/>
    <s v="Q2"/>
    <n v="2023"/>
    <x v="1"/>
  </r>
  <r>
    <x v="435"/>
    <x v="3"/>
    <x v="3"/>
    <x v="11"/>
    <n v="7"/>
    <n v="3251.33"/>
    <s v="Female"/>
    <n v="3"/>
    <n v="1302.3499999999999"/>
    <n v="1948.98"/>
    <x v="8"/>
    <s v="Q4"/>
    <n v="2022"/>
    <x v="2"/>
  </r>
  <r>
    <x v="156"/>
    <x v="1"/>
    <x v="4"/>
    <x v="10"/>
    <n v="18"/>
    <n v="8870.85"/>
    <s v="Female"/>
    <n v="5"/>
    <n v="4022.1"/>
    <n v="4848.75"/>
    <x v="6"/>
    <s v="Q4"/>
    <n v="2023"/>
    <x v="1"/>
  </r>
  <r>
    <x v="194"/>
    <x v="2"/>
    <x v="1"/>
    <x v="9"/>
    <n v="4"/>
    <n v="1118.33"/>
    <s v="Male"/>
    <n v="2"/>
    <n v="101.84"/>
    <n v="1016.49"/>
    <x v="6"/>
    <s v="Q4"/>
    <n v="2022"/>
    <x v="3"/>
  </r>
  <r>
    <x v="436"/>
    <x v="3"/>
    <x v="1"/>
    <x v="19"/>
    <n v="45"/>
    <n v="5584.11"/>
    <s v="Male"/>
    <n v="5"/>
    <n v="10181.040000000001"/>
    <n v="-4596.93"/>
    <x v="5"/>
    <s v="Q1"/>
    <n v="2024"/>
    <x v="1"/>
  </r>
  <r>
    <x v="345"/>
    <x v="2"/>
    <x v="0"/>
    <x v="0"/>
    <n v="35"/>
    <n v="9292.0499999999993"/>
    <s v="Female"/>
    <n v="4"/>
    <n v="446.85"/>
    <n v="8845.2000000000007"/>
    <x v="4"/>
    <s v="Q2"/>
    <n v="2023"/>
    <x v="2"/>
  </r>
  <r>
    <x v="437"/>
    <x v="2"/>
    <x v="1"/>
    <x v="3"/>
    <n v="3"/>
    <n v="641.91999999999996"/>
    <s v="Male"/>
    <n v="1"/>
    <n v="20.059999999999999"/>
    <n v="621.86"/>
    <x v="3"/>
    <s v="Q2"/>
    <n v="2023"/>
    <x v="3"/>
  </r>
  <r>
    <x v="438"/>
    <x v="0"/>
    <x v="3"/>
    <x v="12"/>
    <n v="25"/>
    <n v="6475.4"/>
    <s v="Female"/>
    <n v="2"/>
    <n v="178.17"/>
    <n v="6297.23"/>
    <x v="5"/>
    <s v="Q1"/>
    <n v="2022"/>
    <x v="2"/>
  </r>
  <r>
    <x v="409"/>
    <x v="3"/>
    <x v="0"/>
    <x v="0"/>
    <n v="34"/>
    <n v="9075.7900000000009"/>
    <s v="Male"/>
    <n v="3"/>
    <n v="2561.06"/>
    <n v="6514.73"/>
    <x v="2"/>
    <s v="Q1"/>
    <n v="2022"/>
    <x v="3"/>
  </r>
  <r>
    <x v="439"/>
    <x v="1"/>
    <x v="4"/>
    <x v="10"/>
    <n v="30"/>
    <n v="3562.66"/>
    <s v="Female"/>
    <n v="1"/>
    <n v="1307.24"/>
    <n v="2255.42"/>
    <x v="2"/>
    <s v="Q1"/>
    <n v="2022"/>
    <x v="3"/>
  </r>
  <r>
    <x v="440"/>
    <x v="3"/>
    <x v="1"/>
    <x v="19"/>
    <n v="2"/>
    <n v="767.78"/>
    <s v="Male"/>
    <n v="3"/>
    <n v="211.93"/>
    <n v="555.85"/>
    <x v="11"/>
    <s v="Q4"/>
    <n v="2023"/>
    <x v="1"/>
  </r>
  <r>
    <x v="441"/>
    <x v="2"/>
    <x v="4"/>
    <x v="10"/>
    <n v="3"/>
    <n v="197.66"/>
    <s v="Female"/>
    <n v="2"/>
    <n v="565.28"/>
    <n v="-367.62"/>
    <x v="8"/>
    <s v="Q4"/>
    <n v="2022"/>
    <x v="1"/>
  </r>
  <r>
    <x v="333"/>
    <x v="2"/>
    <x v="2"/>
    <x v="16"/>
    <n v="47"/>
    <n v="16956.66"/>
    <s v="Male"/>
    <n v="3"/>
    <n v="6684.24"/>
    <n v="10272.42"/>
    <x v="0"/>
    <s v="Q2"/>
    <n v="2023"/>
    <x v="2"/>
  </r>
  <r>
    <x v="442"/>
    <x v="4"/>
    <x v="4"/>
    <x v="6"/>
    <n v="13"/>
    <n v="5315.32"/>
    <s v="Male"/>
    <n v="5"/>
    <n v="2149.5100000000002"/>
    <n v="3165.81"/>
    <x v="2"/>
    <s v="Q1"/>
    <n v="2023"/>
    <x v="3"/>
  </r>
  <r>
    <x v="393"/>
    <x v="4"/>
    <x v="1"/>
    <x v="9"/>
    <n v="49"/>
    <n v="14255.9"/>
    <s v="Female"/>
    <n v="4"/>
    <n v="10577.63"/>
    <n v="3678.27"/>
    <x v="10"/>
    <s v="Q3"/>
    <n v="2023"/>
    <x v="1"/>
  </r>
  <r>
    <x v="443"/>
    <x v="0"/>
    <x v="2"/>
    <x v="7"/>
    <n v="40"/>
    <n v="8647.3799999999992"/>
    <s v="Female"/>
    <n v="3"/>
    <n v="1084.03"/>
    <n v="7563.35"/>
    <x v="6"/>
    <s v="Q4"/>
    <n v="2022"/>
    <x v="2"/>
  </r>
  <r>
    <x v="444"/>
    <x v="3"/>
    <x v="0"/>
    <x v="8"/>
    <n v="28"/>
    <n v="5526.46"/>
    <s v="Female"/>
    <n v="5"/>
    <n v="6618.43"/>
    <n v="-1091.97"/>
    <x v="7"/>
    <s v="Q3"/>
    <n v="2023"/>
    <x v="2"/>
  </r>
  <r>
    <x v="331"/>
    <x v="2"/>
    <x v="4"/>
    <x v="10"/>
    <n v="19"/>
    <n v="8623.44"/>
    <s v="Male"/>
    <n v="1"/>
    <n v="347.51"/>
    <n v="8275.93"/>
    <x v="8"/>
    <s v="Q4"/>
    <n v="2022"/>
    <x v="2"/>
  </r>
  <r>
    <x v="425"/>
    <x v="1"/>
    <x v="0"/>
    <x v="14"/>
    <n v="6"/>
    <n v="741.49"/>
    <s v="Female"/>
    <n v="3"/>
    <n v="993.34"/>
    <n v="-251.85"/>
    <x v="11"/>
    <s v="Q4"/>
    <n v="2022"/>
    <x v="4"/>
  </r>
  <r>
    <x v="304"/>
    <x v="4"/>
    <x v="4"/>
    <x v="10"/>
    <n v="40"/>
    <n v="10706.53"/>
    <s v="Male"/>
    <n v="4"/>
    <n v="4982.9399999999996"/>
    <n v="5723.59"/>
    <x v="6"/>
    <s v="Q4"/>
    <n v="2022"/>
    <x v="1"/>
  </r>
  <r>
    <x v="445"/>
    <x v="3"/>
    <x v="1"/>
    <x v="3"/>
    <n v="28"/>
    <n v="13079.72"/>
    <s v="Female"/>
    <n v="2"/>
    <n v="3697.13"/>
    <n v="9382.59"/>
    <x v="4"/>
    <s v="Q2"/>
    <n v="2023"/>
    <x v="1"/>
  </r>
  <r>
    <x v="107"/>
    <x v="1"/>
    <x v="1"/>
    <x v="1"/>
    <n v="29"/>
    <n v="8185.88"/>
    <s v="Female"/>
    <n v="5"/>
    <n v="3129.8"/>
    <n v="5056.08"/>
    <x v="11"/>
    <s v="Q4"/>
    <n v="2022"/>
    <x v="1"/>
  </r>
  <r>
    <x v="385"/>
    <x v="2"/>
    <x v="4"/>
    <x v="10"/>
    <n v="27"/>
    <n v="5839.13"/>
    <s v="Female"/>
    <n v="4"/>
    <n v="1689.63"/>
    <n v="4149.5"/>
    <x v="0"/>
    <s v="Q2"/>
    <n v="2023"/>
    <x v="1"/>
  </r>
  <r>
    <x v="446"/>
    <x v="4"/>
    <x v="0"/>
    <x v="8"/>
    <n v="14"/>
    <n v="212.26"/>
    <s v="Female"/>
    <n v="2"/>
    <n v="2354.11"/>
    <n v="-2141.85"/>
    <x v="3"/>
    <s v="Q2"/>
    <n v="2023"/>
    <x v="2"/>
  </r>
  <r>
    <x v="373"/>
    <x v="4"/>
    <x v="1"/>
    <x v="3"/>
    <n v="11"/>
    <n v="1665.39"/>
    <s v="Female"/>
    <n v="5"/>
    <n v="491.84"/>
    <n v="1173.55"/>
    <x v="0"/>
    <s v="Q2"/>
    <n v="2023"/>
    <x v="1"/>
  </r>
  <r>
    <x v="447"/>
    <x v="4"/>
    <x v="1"/>
    <x v="3"/>
    <n v="26"/>
    <n v="7225.27"/>
    <s v="Female"/>
    <n v="2"/>
    <n v="2148.11"/>
    <n v="5077.16"/>
    <x v="0"/>
    <s v="Q2"/>
    <n v="2023"/>
    <x v="4"/>
  </r>
  <r>
    <x v="330"/>
    <x v="3"/>
    <x v="1"/>
    <x v="1"/>
    <n v="18"/>
    <n v="5765.24"/>
    <s v="Female"/>
    <n v="5"/>
    <n v="3269.84"/>
    <n v="2495.4"/>
    <x v="0"/>
    <s v="Q2"/>
    <n v="2022"/>
    <x v="2"/>
  </r>
  <r>
    <x v="448"/>
    <x v="0"/>
    <x v="0"/>
    <x v="0"/>
    <n v="29"/>
    <n v="2374.6799999999998"/>
    <s v="Female"/>
    <n v="4"/>
    <n v="7041.77"/>
    <n v="-4667.09"/>
    <x v="3"/>
    <s v="Q2"/>
    <n v="2022"/>
    <x v="1"/>
  </r>
  <r>
    <x v="195"/>
    <x v="0"/>
    <x v="1"/>
    <x v="19"/>
    <n v="43"/>
    <n v="1490.92"/>
    <s v="Female"/>
    <n v="4"/>
    <n v="7103.22"/>
    <n v="-5612.3"/>
    <x v="3"/>
    <s v="Q2"/>
    <n v="2023"/>
    <x v="4"/>
  </r>
  <r>
    <x v="449"/>
    <x v="2"/>
    <x v="3"/>
    <x v="15"/>
    <n v="42"/>
    <n v="7199.97"/>
    <s v="Male"/>
    <n v="4"/>
    <n v="8864.5"/>
    <n v="-1664.53"/>
    <x v="6"/>
    <s v="Q4"/>
    <n v="2023"/>
    <x v="2"/>
  </r>
  <r>
    <x v="167"/>
    <x v="0"/>
    <x v="0"/>
    <x v="13"/>
    <n v="22"/>
    <n v="7856.15"/>
    <s v="Male"/>
    <n v="1"/>
    <n v="2179.4299999999998"/>
    <n v="5676.72"/>
    <x v="7"/>
    <s v="Q3"/>
    <n v="2022"/>
    <x v="1"/>
  </r>
  <r>
    <x v="100"/>
    <x v="1"/>
    <x v="2"/>
    <x v="5"/>
    <n v="45"/>
    <n v="9964.4599999999991"/>
    <s v="Male"/>
    <n v="3"/>
    <n v="4105.8900000000003"/>
    <n v="5858.57"/>
    <x v="7"/>
    <s v="Q3"/>
    <n v="2022"/>
    <x v="1"/>
  </r>
  <r>
    <x v="18"/>
    <x v="4"/>
    <x v="2"/>
    <x v="2"/>
    <n v="13"/>
    <n v="2496.0700000000002"/>
    <s v="Male"/>
    <n v="4"/>
    <n v="3213.42"/>
    <n v="-717.35"/>
    <x v="7"/>
    <s v="Q3"/>
    <n v="2022"/>
    <x v="4"/>
  </r>
  <r>
    <x v="114"/>
    <x v="0"/>
    <x v="2"/>
    <x v="7"/>
    <n v="12"/>
    <n v="2395.42"/>
    <s v="Female"/>
    <n v="1"/>
    <n v="2969.16"/>
    <n v="-573.74"/>
    <x v="11"/>
    <s v="Q4"/>
    <n v="2023"/>
    <x v="1"/>
  </r>
  <r>
    <x v="450"/>
    <x v="2"/>
    <x v="1"/>
    <x v="9"/>
    <n v="29"/>
    <n v="13018.9"/>
    <s v="Female"/>
    <n v="4"/>
    <n v="5623.93"/>
    <n v="7394.97"/>
    <x v="0"/>
    <s v="Q2"/>
    <n v="2022"/>
    <x v="1"/>
  </r>
  <r>
    <x v="451"/>
    <x v="2"/>
    <x v="4"/>
    <x v="10"/>
    <n v="37"/>
    <n v="10796.88"/>
    <s v="Female"/>
    <n v="1"/>
    <n v="4220.4799999999996"/>
    <n v="6576.4"/>
    <x v="4"/>
    <s v="Q2"/>
    <n v="2022"/>
    <x v="1"/>
  </r>
  <r>
    <x v="125"/>
    <x v="1"/>
    <x v="2"/>
    <x v="2"/>
    <n v="47"/>
    <n v="8377.2099999999991"/>
    <s v="Male"/>
    <n v="4"/>
    <n v="1532.22"/>
    <n v="6844.99"/>
    <x v="1"/>
    <s v="Q1"/>
    <n v="2022"/>
    <x v="1"/>
  </r>
  <r>
    <x v="452"/>
    <x v="0"/>
    <x v="4"/>
    <x v="6"/>
    <n v="41"/>
    <n v="19912.77"/>
    <s v="Male"/>
    <n v="5"/>
    <n v="8029.84"/>
    <n v="11882.93"/>
    <x v="0"/>
    <s v="Q2"/>
    <n v="2023"/>
    <x v="2"/>
  </r>
  <r>
    <x v="109"/>
    <x v="4"/>
    <x v="3"/>
    <x v="15"/>
    <n v="16"/>
    <n v="3572.08"/>
    <s v="Female"/>
    <n v="4"/>
    <n v="1244.05"/>
    <n v="2328.0300000000002"/>
    <x v="10"/>
    <s v="Q3"/>
    <n v="2022"/>
    <x v="2"/>
  </r>
  <r>
    <x v="91"/>
    <x v="2"/>
    <x v="2"/>
    <x v="2"/>
    <n v="11"/>
    <n v="4542.09"/>
    <s v="Female"/>
    <n v="1"/>
    <n v="1073.44"/>
    <n v="3468.65"/>
    <x v="8"/>
    <s v="Q4"/>
    <n v="2022"/>
    <x v="1"/>
  </r>
  <r>
    <x v="430"/>
    <x v="2"/>
    <x v="4"/>
    <x v="10"/>
    <n v="12"/>
    <n v="4333.3"/>
    <s v="Female"/>
    <n v="5"/>
    <n v="2328.21"/>
    <n v="2005.09"/>
    <x v="5"/>
    <s v="Q1"/>
    <n v="2023"/>
    <x v="1"/>
  </r>
  <r>
    <x v="185"/>
    <x v="3"/>
    <x v="3"/>
    <x v="12"/>
    <n v="9"/>
    <n v="3272.36"/>
    <s v="Female"/>
    <n v="1"/>
    <n v="2248.6"/>
    <n v="1023.76"/>
    <x v="4"/>
    <s v="Q2"/>
    <n v="2023"/>
    <x v="1"/>
  </r>
  <r>
    <x v="204"/>
    <x v="1"/>
    <x v="1"/>
    <x v="3"/>
    <n v="35"/>
    <n v="17246.21"/>
    <s v="Female"/>
    <n v="2"/>
    <n v="5490.5"/>
    <n v="11755.71"/>
    <x v="8"/>
    <s v="Q4"/>
    <n v="2022"/>
    <x v="1"/>
  </r>
  <r>
    <x v="453"/>
    <x v="4"/>
    <x v="3"/>
    <x v="4"/>
    <n v="20"/>
    <n v="6372.66"/>
    <s v="Female"/>
    <n v="2"/>
    <n v="4158.78"/>
    <n v="2213.88"/>
    <x v="9"/>
    <s v="Q3"/>
    <n v="2022"/>
    <x v="1"/>
  </r>
  <r>
    <x v="305"/>
    <x v="4"/>
    <x v="2"/>
    <x v="16"/>
    <n v="49"/>
    <n v="23130.78"/>
    <s v="Female"/>
    <n v="2"/>
    <n v="6582.97"/>
    <n v="16547.810000000001"/>
    <x v="11"/>
    <s v="Q4"/>
    <n v="2022"/>
    <x v="4"/>
  </r>
  <r>
    <x v="377"/>
    <x v="4"/>
    <x v="2"/>
    <x v="2"/>
    <n v="17"/>
    <n v="6167.03"/>
    <s v="Female"/>
    <n v="5"/>
    <n v="3474.77"/>
    <n v="2692.26"/>
    <x v="8"/>
    <s v="Q4"/>
    <n v="2022"/>
    <x v="2"/>
  </r>
  <r>
    <x v="314"/>
    <x v="3"/>
    <x v="1"/>
    <x v="1"/>
    <n v="18"/>
    <n v="7384.05"/>
    <s v="Female"/>
    <n v="2"/>
    <n v="2723.95"/>
    <n v="4660.1000000000004"/>
    <x v="10"/>
    <s v="Q3"/>
    <n v="2022"/>
    <x v="1"/>
  </r>
  <r>
    <x v="454"/>
    <x v="4"/>
    <x v="0"/>
    <x v="8"/>
    <n v="7"/>
    <n v="766.28"/>
    <s v="Male"/>
    <n v="5"/>
    <n v="50.56"/>
    <n v="715.72"/>
    <x v="3"/>
    <s v="Q2"/>
    <n v="2022"/>
    <x v="2"/>
  </r>
  <r>
    <x v="79"/>
    <x v="2"/>
    <x v="1"/>
    <x v="19"/>
    <n v="8"/>
    <n v="641.33000000000004"/>
    <s v="Male"/>
    <n v="1"/>
    <n v="1929.86"/>
    <n v="-1288.53"/>
    <x v="9"/>
    <s v="Q3"/>
    <n v="2022"/>
    <x v="1"/>
  </r>
  <r>
    <x v="455"/>
    <x v="2"/>
    <x v="2"/>
    <x v="7"/>
    <n v="37"/>
    <n v="15698.68"/>
    <s v="Female"/>
    <n v="5"/>
    <n v="408.35"/>
    <n v="15290.33"/>
    <x v="1"/>
    <s v="Q1"/>
    <n v="2022"/>
    <x v="2"/>
  </r>
  <r>
    <x v="284"/>
    <x v="0"/>
    <x v="3"/>
    <x v="12"/>
    <n v="38"/>
    <n v="3417.2"/>
    <s v="Female"/>
    <n v="4"/>
    <n v="3805.12"/>
    <n v="-387.92"/>
    <x v="10"/>
    <s v="Q3"/>
    <n v="2023"/>
    <x v="1"/>
  </r>
  <r>
    <x v="139"/>
    <x v="1"/>
    <x v="4"/>
    <x v="18"/>
    <n v="38"/>
    <n v="7911.73"/>
    <s v="Male"/>
    <n v="2"/>
    <n v="8214.58"/>
    <n v="-302.85000000000002"/>
    <x v="4"/>
    <s v="Q2"/>
    <n v="2023"/>
    <x v="4"/>
  </r>
  <r>
    <x v="456"/>
    <x v="0"/>
    <x v="1"/>
    <x v="3"/>
    <n v="33"/>
    <n v="2549.46"/>
    <s v="Male"/>
    <n v="1"/>
    <n v="6177.39"/>
    <n v="-3627.93"/>
    <x v="2"/>
    <s v="Q1"/>
    <n v="2023"/>
    <x v="4"/>
  </r>
  <r>
    <x v="457"/>
    <x v="0"/>
    <x v="3"/>
    <x v="15"/>
    <n v="36"/>
    <n v="9531.73"/>
    <s v="Female"/>
    <n v="1"/>
    <n v="7991.56"/>
    <n v="1540.17"/>
    <x v="0"/>
    <s v="Q2"/>
    <n v="2022"/>
    <x v="1"/>
  </r>
  <r>
    <x v="56"/>
    <x v="3"/>
    <x v="4"/>
    <x v="17"/>
    <n v="5"/>
    <n v="1071.25"/>
    <s v="Male"/>
    <n v="1"/>
    <n v="1063.0999999999999"/>
    <n v="8.15"/>
    <x v="7"/>
    <s v="Q3"/>
    <n v="2022"/>
    <x v="2"/>
  </r>
  <r>
    <x v="183"/>
    <x v="0"/>
    <x v="2"/>
    <x v="2"/>
    <n v="30"/>
    <n v="6835.99"/>
    <s v="Male"/>
    <n v="4"/>
    <n v="5657.65"/>
    <n v="1178.3399999999999"/>
    <x v="3"/>
    <s v="Q2"/>
    <n v="2023"/>
    <x v="2"/>
  </r>
  <r>
    <x v="158"/>
    <x v="4"/>
    <x v="3"/>
    <x v="4"/>
    <n v="15"/>
    <n v="2921"/>
    <s v="Male"/>
    <n v="1"/>
    <n v="100.31"/>
    <n v="2820.69"/>
    <x v="4"/>
    <s v="Q2"/>
    <n v="2023"/>
    <x v="1"/>
  </r>
  <r>
    <x v="458"/>
    <x v="2"/>
    <x v="4"/>
    <x v="6"/>
    <n v="20"/>
    <n v="4070.52"/>
    <s v="Male"/>
    <n v="2"/>
    <n v="939.07"/>
    <n v="3131.45"/>
    <x v="8"/>
    <s v="Q4"/>
    <n v="2022"/>
    <x v="1"/>
  </r>
  <r>
    <x v="9"/>
    <x v="3"/>
    <x v="3"/>
    <x v="11"/>
    <n v="30"/>
    <n v="9780.7000000000007"/>
    <s v="Female"/>
    <n v="1"/>
    <n v="4621.88"/>
    <n v="5158.82"/>
    <x v="6"/>
    <s v="Q4"/>
    <n v="2023"/>
    <x v="2"/>
  </r>
  <r>
    <x v="178"/>
    <x v="0"/>
    <x v="2"/>
    <x v="2"/>
    <n v="20"/>
    <n v="3015.63"/>
    <s v="Female"/>
    <n v="4"/>
    <n v="1012.49"/>
    <n v="2003.14"/>
    <x v="0"/>
    <s v="Q2"/>
    <n v="2022"/>
    <x v="1"/>
  </r>
  <r>
    <x v="372"/>
    <x v="3"/>
    <x v="0"/>
    <x v="14"/>
    <n v="23"/>
    <n v="560.33000000000004"/>
    <s v="Female"/>
    <n v="5"/>
    <n v="2523.94"/>
    <n v="-1963.61"/>
    <x v="11"/>
    <s v="Q4"/>
    <n v="2023"/>
    <x v="1"/>
  </r>
  <r>
    <x v="410"/>
    <x v="3"/>
    <x v="0"/>
    <x v="13"/>
    <n v="43"/>
    <n v="21391.87"/>
    <s v="Female"/>
    <n v="4"/>
    <n v="3076.41"/>
    <n v="18315.46"/>
    <x v="7"/>
    <s v="Q3"/>
    <n v="2023"/>
    <x v="2"/>
  </r>
  <r>
    <x v="67"/>
    <x v="3"/>
    <x v="3"/>
    <x v="4"/>
    <n v="42"/>
    <n v="10033.91"/>
    <s v="Male"/>
    <n v="1"/>
    <n v="2375.9499999999998"/>
    <n v="7657.96"/>
    <x v="8"/>
    <s v="Q4"/>
    <n v="2022"/>
    <x v="2"/>
  </r>
  <r>
    <x v="28"/>
    <x v="0"/>
    <x v="1"/>
    <x v="19"/>
    <n v="38"/>
    <n v="18134.490000000002"/>
    <s v="Male"/>
    <n v="1"/>
    <n v="5214.59"/>
    <n v="12919.9"/>
    <x v="10"/>
    <s v="Q3"/>
    <n v="2022"/>
    <x v="2"/>
  </r>
  <r>
    <x v="27"/>
    <x v="4"/>
    <x v="2"/>
    <x v="5"/>
    <n v="6"/>
    <n v="514.03"/>
    <s v="Female"/>
    <n v="3"/>
    <n v="321.38"/>
    <n v="192.65"/>
    <x v="6"/>
    <s v="Q4"/>
    <n v="2023"/>
    <x v="1"/>
  </r>
  <r>
    <x v="189"/>
    <x v="3"/>
    <x v="1"/>
    <x v="19"/>
    <n v="46"/>
    <n v="10885.92"/>
    <s v="Male"/>
    <n v="4"/>
    <n v="1273.3900000000001"/>
    <n v="9612.5300000000007"/>
    <x v="7"/>
    <s v="Q3"/>
    <n v="2022"/>
    <x v="4"/>
  </r>
  <r>
    <x v="447"/>
    <x v="2"/>
    <x v="4"/>
    <x v="18"/>
    <n v="49"/>
    <n v="13766.18"/>
    <s v="Male"/>
    <n v="4"/>
    <n v="5836.17"/>
    <n v="7930.01"/>
    <x v="0"/>
    <s v="Q2"/>
    <n v="2023"/>
    <x v="1"/>
  </r>
  <r>
    <x v="459"/>
    <x v="0"/>
    <x v="0"/>
    <x v="8"/>
    <n v="7"/>
    <n v="2064.64"/>
    <s v="Male"/>
    <n v="4"/>
    <n v="507.33"/>
    <n v="1557.31"/>
    <x v="8"/>
    <s v="Q4"/>
    <n v="2022"/>
    <x v="1"/>
  </r>
  <r>
    <x v="460"/>
    <x v="4"/>
    <x v="0"/>
    <x v="14"/>
    <n v="20"/>
    <n v="7465.54"/>
    <s v="Female"/>
    <n v="2"/>
    <n v="4515.5600000000004"/>
    <n v="2949.98"/>
    <x v="6"/>
    <s v="Q4"/>
    <n v="2022"/>
    <x v="1"/>
  </r>
  <r>
    <x v="195"/>
    <x v="0"/>
    <x v="0"/>
    <x v="14"/>
    <n v="14"/>
    <n v="5370.02"/>
    <s v="Male"/>
    <n v="1"/>
    <n v="2017.13"/>
    <n v="3352.89"/>
    <x v="3"/>
    <s v="Q2"/>
    <n v="2023"/>
    <x v="4"/>
  </r>
  <r>
    <x v="189"/>
    <x v="1"/>
    <x v="1"/>
    <x v="3"/>
    <n v="2"/>
    <n v="418.36"/>
    <s v="Male"/>
    <n v="1"/>
    <n v="132.46"/>
    <n v="285.89999999999998"/>
    <x v="7"/>
    <s v="Q3"/>
    <n v="2022"/>
    <x v="2"/>
  </r>
  <r>
    <x v="461"/>
    <x v="0"/>
    <x v="4"/>
    <x v="10"/>
    <n v="11"/>
    <n v="1881.67"/>
    <s v="Male"/>
    <n v="4"/>
    <n v="1001.36"/>
    <n v="880.31"/>
    <x v="0"/>
    <s v="Q2"/>
    <n v="2023"/>
    <x v="4"/>
  </r>
  <r>
    <x v="462"/>
    <x v="2"/>
    <x v="3"/>
    <x v="12"/>
    <n v="43"/>
    <n v="17439.509999999998"/>
    <s v="Female"/>
    <n v="4"/>
    <n v="10505.51"/>
    <n v="6934"/>
    <x v="11"/>
    <s v="Q4"/>
    <n v="2023"/>
    <x v="2"/>
  </r>
  <r>
    <x v="330"/>
    <x v="4"/>
    <x v="0"/>
    <x v="14"/>
    <n v="2"/>
    <n v="293.22000000000003"/>
    <s v="Female"/>
    <n v="4"/>
    <n v="417.62"/>
    <n v="-124.4"/>
    <x v="0"/>
    <s v="Q2"/>
    <n v="2022"/>
    <x v="1"/>
  </r>
  <r>
    <x v="116"/>
    <x v="4"/>
    <x v="0"/>
    <x v="0"/>
    <n v="38"/>
    <n v="12598.33"/>
    <s v="Female"/>
    <n v="4"/>
    <n v="6459.65"/>
    <n v="6138.68"/>
    <x v="9"/>
    <s v="Q3"/>
    <n v="2022"/>
    <x v="1"/>
  </r>
  <r>
    <x v="267"/>
    <x v="4"/>
    <x v="3"/>
    <x v="12"/>
    <n v="3"/>
    <n v="805.36"/>
    <s v="Male"/>
    <n v="1"/>
    <n v="411.46"/>
    <n v="393.9"/>
    <x v="5"/>
    <s v="Q1"/>
    <n v="2023"/>
    <x v="4"/>
  </r>
  <r>
    <x v="463"/>
    <x v="3"/>
    <x v="4"/>
    <x v="6"/>
    <n v="43"/>
    <n v="6104.09"/>
    <s v="Male"/>
    <n v="4"/>
    <n v="6239.74"/>
    <n v="-135.65"/>
    <x v="5"/>
    <s v="Q1"/>
    <n v="2023"/>
    <x v="4"/>
  </r>
  <r>
    <x v="464"/>
    <x v="0"/>
    <x v="2"/>
    <x v="2"/>
    <n v="33"/>
    <n v="2748.76"/>
    <s v="Female"/>
    <n v="2"/>
    <n v="3428.72"/>
    <n v="-679.96"/>
    <x v="1"/>
    <s v="Q1"/>
    <n v="2022"/>
    <x v="1"/>
  </r>
  <r>
    <x v="225"/>
    <x v="0"/>
    <x v="3"/>
    <x v="4"/>
    <n v="38"/>
    <n v="14911.37"/>
    <s v="Male"/>
    <n v="1"/>
    <n v="577.54"/>
    <n v="14333.83"/>
    <x v="9"/>
    <s v="Q3"/>
    <n v="2023"/>
    <x v="1"/>
  </r>
  <r>
    <x v="465"/>
    <x v="0"/>
    <x v="2"/>
    <x v="2"/>
    <n v="1"/>
    <n v="118.91"/>
    <s v="Male"/>
    <n v="3"/>
    <n v="200.77"/>
    <n v="-81.86"/>
    <x v="2"/>
    <s v="Q1"/>
    <n v="2022"/>
    <x v="2"/>
  </r>
  <r>
    <x v="234"/>
    <x v="4"/>
    <x v="4"/>
    <x v="18"/>
    <n v="27"/>
    <n v="2336.66"/>
    <s v="Male"/>
    <n v="4"/>
    <n v="5504.1"/>
    <n v="-3167.44"/>
    <x v="3"/>
    <s v="Q2"/>
    <n v="2023"/>
    <x v="1"/>
  </r>
  <r>
    <x v="301"/>
    <x v="4"/>
    <x v="2"/>
    <x v="2"/>
    <n v="40"/>
    <n v="1284.3499999999999"/>
    <s v="Male"/>
    <n v="2"/>
    <n v="7578.82"/>
    <n v="-6294.47"/>
    <x v="5"/>
    <s v="Q1"/>
    <n v="2023"/>
    <x v="3"/>
  </r>
  <r>
    <x v="91"/>
    <x v="1"/>
    <x v="4"/>
    <x v="6"/>
    <n v="8"/>
    <n v="1144.51"/>
    <s v="Male"/>
    <n v="3"/>
    <n v="1828.1"/>
    <n v="-683.59"/>
    <x v="8"/>
    <s v="Q4"/>
    <n v="2022"/>
    <x v="1"/>
  </r>
  <r>
    <x v="295"/>
    <x v="0"/>
    <x v="1"/>
    <x v="3"/>
    <n v="40"/>
    <n v="16892.509999999998"/>
    <s v="Female"/>
    <n v="4"/>
    <n v="5666.23"/>
    <n v="11226.28"/>
    <x v="10"/>
    <s v="Q3"/>
    <n v="2023"/>
    <x v="1"/>
  </r>
  <r>
    <x v="164"/>
    <x v="1"/>
    <x v="0"/>
    <x v="14"/>
    <n v="45"/>
    <n v="10946.02"/>
    <s v="Male"/>
    <n v="2"/>
    <n v="4866.58"/>
    <n v="6079.44"/>
    <x v="9"/>
    <s v="Q3"/>
    <n v="2022"/>
    <x v="3"/>
  </r>
  <r>
    <x v="277"/>
    <x v="1"/>
    <x v="3"/>
    <x v="4"/>
    <n v="24"/>
    <n v="7182.93"/>
    <s v="Male"/>
    <n v="1"/>
    <n v="825.5"/>
    <n v="6357.43"/>
    <x v="1"/>
    <s v="Q1"/>
    <n v="2023"/>
    <x v="1"/>
  </r>
  <r>
    <x v="466"/>
    <x v="1"/>
    <x v="3"/>
    <x v="4"/>
    <n v="29"/>
    <n v="13023.01"/>
    <s v="Female"/>
    <n v="5"/>
    <n v="920.13"/>
    <n v="12102.88"/>
    <x v="0"/>
    <s v="Q2"/>
    <n v="2022"/>
    <x v="4"/>
  </r>
  <r>
    <x v="416"/>
    <x v="3"/>
    <x v="0"/>
    <x v="13"/>
    <n v="38"/>
    <n v="18064.490000000002"/>
    <s v="Male"/>
    <n v="5"/>
    <n v="722.35"/>
    <n v="17342.14"/>
    <x v="2"/>
    <s v="Q1"/>
    <n v="2022"/>
    <x v="1"/>
  </r>
  <r>
    <x v="159"/>
    <x v="0"/>
    <x v="3"/>
    <x v="11"/>
    <n v="28"/>
    <n v="1255.78"/>
    <s v="Male"/>
    <n v="3"/>
    <n v="2895.64"/>
    <n v="-1639.86"/>
    <x v="3"/>
    <s v="Q2"/>
    <n v="2022"/>
    <x v="3"/>
  </r>
  <r>
    <x v="467"/>
    <x v="0"/>
    <x v="2"/>
    <x v="7"/>
    <n v="19"/>
    <n v="5955.63"/>
    <s v="Female"/>
    <n v="1"/>
    <n v="3582.68"/>
    <n v="2372.9499999999998"/>
    <x v="9"/>
    <s v="Q3"/>
    <n v="2022"/>
    <x v="1"/>
  </r>
  <r>
    <x v="468"/>
    <x v="2"/>
    <x v="4"/>
    <x v="6"/>
    <n v="42"/>
    <n v="1518.41"/>
    <s v="Female"/>
    <n v="4"/>
    <n v="6083.85"/>
    <n v="-4565.4399999999996"/>
    <x v="7"/>
    <s v="Q3"/>
    <n v="2022"/>
    <x v="2"/>
  </r>
  <r>
    <x v="469"/>
    <x v="3"/>
    <x v="4"/>
    <x v="10"/>
    <n v="17"/>
    <n v="6876.35"/>
    <s v="Male"/>
    <n v="1"/>
    <n v="3104.81"/>
    <n v="3771.54"/>
    <x v="0"/>
    <s v="Q2"/>
    <n v="2023"/>
    <x v="1"/>
  </r>
  <r>
    <x v="309"/>
    <x v="3"/>
    <x v="1"/>
    <x v="19"/>
    <n v="30"/>
    <n v="10964.35"/>
    <s v="Male"/>
    <n v="5"/>
    <n v="3922.96"/>
    <n v="7041.39"/>
    <x v="5"/>
    <s v="Q1"/>
    <n v="2022"/>
    <x v="1"/>
  </r>
  <r>
    <x v="335"/>
    <x v="3"/>
    <x v="3"/>
    <x v="4"/>
    <n v="40"/>
    <n v="19933.34"/>
    <s v="Female"/>
    <n v="4"/>
    <n v="6505.43"/>
    <n v="13427.91"/>
    <x v="11"/>
    <s v="Q4"/>
    <n v="2022"/>
    <x v="1"/>
  </r>
  <r>
    <x v="470"/>
    <x v="1"/>
    <x v="2"/>
    <x v="16"/>
    <n v="32"/>
    <n v="4450.3599999999997"/>
    <s v="Female"/>
    <n v="3"/>
    <n v="2534.54"/>
    <n v="1915.82"/>
    <x v="2"/>
    <s v="Q1"/>
    <n v="2023"/>
    <x v="3"/>
  </r>
  <r>
    <x v="374"/>
    <x v="0"/>
    <x v="1"/>
    <x v="1"/>
    <n v="15"/>
    <n v="7372.62"/>
    <s v="Male"/>
    <n v="2"/>
    <n v="1385.73"/>
    <n v="5986.89"/>
    <x v="8"/>
    <s v="Q4"/>
    <n v="2022"/>
    <x v="2"/>
  </r>
  <r>
    <x v="81"/>
    <x v="1"/>
    <x v="1"/>
    <x v="9"/>
    <n v="13"/>
    <n v="1800.46"/>
    <s v="Female"/>
    <n v="5"/>
    <n v="3073.05"/>
    <n v="-1272.5899999999999"/>
    <x v="3"/>
    <s v="Q2"/>
    <n v="2023"/>
    <x v="1"/>
  </r>
  <r>
    <x v="355"/>
    <x v="4"/>
    <x v="3"/>
    <x v="4"/>
    <n v="41"/>
    <n v="9310.02"/>
    <s v="Male"/>
    <n v="5"/>
    <n v="2457.64"/>
    <n v="6852.38"/>
    <x v="8"/>
    <s v="Q4"/>
    <n v="2023"/>
    <x v="1"/>
  </r>
  <r>
    <x v="308"/>
    <x v="3"/>
    <x v="1"/>
    <x v="1"/>
    <n v="26"/>
    <n v="10852.34"/>
    <s v="Male"/>
    <n v="1"/>
    <n v="5331.92"/>
    <n v="5520.42"/>
    <x v="5"/>
    <s v="Q1"/>
    <n v="2022"/>
    <x v="3"/>
  </r>
  <r>
    <x v="471"/>
    <x v="0"/>
    <x v="4"/>
    <x v="17"/>
    <n v="9"/>
    <n v="2341.34"/>
    <s v="Female"/>
    <n v="5"/>
    <n v="1668.96"/>
    <n v="672.38"/>
    <x v="7"/>
    <s v="Q3"/>
    <n v="2022"/>
    <x v="1"/>
  </r>
  <r>
    <x v="249"/>
    <x v="3"/>
    <x v="2"/>
    <x v="5"/>
    <n v="48"/>
    <n v="17297.86"/>
    <s v="Male"/>
    <n v="5"/>
    <n v="10840.25"/>
    <n v="6457.61"/>
    <x v="3"/>
    <s v="Q2"/>
    <n v="2023"/>
    <x v="3"/>
  </r>
  <r>
    <x v="198"/>
    <x v="0"/>
    <x v="4"/>
    <x v="10"/>
    <n v="7"/>
    <n v="391.87"/>
    <s v="Male"/>
    <n v="4"/>
    <n v="812.74"/>
    <n v="-420.87"/>
    <x v="3"/>
    <s v="Q2"/>
    <n v="2022"/>
    <x v="3"/>
  </r>
  <r>
    <x v="80"/>
    <x v="3"/>
    <x v="2"/>
    <x v="7"/>
    <n v="24"/>
    <n v="11929.28"/>
    <s v="Male"/>
    <n v="1"/>
    <n v="2368.75"/>
    <n v="9560.5300000000007"/>
    <x v="4"/>
    <s v="Q2"/>
    <n v="2023"/>
    <x v="1"/>
  </r>
  <r>
    <x v="214"/>
    <x v="0"/>
    <x v="3"/>
    <x v="11"/>
    <n v="19"/>
    <n v="5280.12"/>
    <s v="Male"/>
    <n v="4"/>
    <n v="3196.83"/>
    <n v="2083.29"/>
    <x v="10"/>
    <s v="Q3"/>
    <n v="2022"/>
    <x v="1"/>
  </r>
  <r>
    <x v="468"/>
    <x v="4"/>
    <x v="2"/>
    <x v="16"/>
    <n v="21"/>
    <n v="3442.14"/>
    <s v="Female"/>
    <n v="5"/>
    <n v="3801.2"/>
    <n v="-359.06"/>
    <x v="7"/>
    <s v="Q3"/>
    <n v="2022"/>
    <x v="0"/>
  </r>
  <r>
    <x v="461"/>
    <x v="4"/>
    <x v="0"/>
    <x v="14"/>
    <n v="44"/>
    <n v="5426.86"/>
    <s v="Male"/>
    <n v="5"/>
    <n v="2864.85"/>
    <n v="2562.0100000000002"/>
    <x v="0"/>
    <s v="Q2"/>
    <n v="2023"/>
    <x v="1"/>
  </r>
  <r>
    <x v="163"/>
    <x v="1"/>
    <x v="1"/>
    <x v="3"/>
    <n v="26"/>
    <n v="9215.7199999999993"/>
    <s v="Female"/>
    <n v="2"/>
    <n v="5495.99"/>
    <n v="3719.73"/>
    <x v="1"/>
    <s v="Q1"/>
    <n v="2022"/>
    <x v="1"/>
  </r>
  <r>
    <x v="153"/>
    <x v="2"/>
    <x v="4"/>
    <x v="10"/>
    <n v="31"/>
    <n v="14183.1"/>
    <s v="Female"/>
    <n v="2"/>
    <n v="7326.73"/>
    <n v="6856.37"/>
    <x v="0"/>
    <s v="Q2"/>
    <n v="2023"/>
    <x v="1"/>
  </r>
  <r>
    <x v="53"/>
    <x v="4"/>
    <x v="1"/>
    <x v="9"/>
    <n v="26"/>
    <n v="9608.2999999999993"/>
    <s v="Male"/>
    <n v="4"/>
    <n v="4903.8599999999997"/>
    <n v="4704.4399999999996"/>
    <x v="7"/>
    <s v="Q3"/>
    <n v="2022"/>
    <x v="0"/>
  </r>
  <r>
    <x v="249"/>
    <x v="4"/>
    <x v="4"/>
    <x v="6"/>
    <n v="43"/>
    <n v="14360.52"/>
    <s v="Male"/>
    <n v="3"/>
    <n v="7146.88"/>
    <n v="7213.64"/>
    <x v="3"/>
    <s v="Q2"/>
    <n v="2023"/>
    <x v="2"/>
  </r>
  <r>
    <x v="472"/>
    <x v="3"/>
    <x v="0"/>
    <x v="0"/>
    <n v="13"/>
    <n v="6037.45"/>
    <s v="Male"/>
    <n v="1"/>
    <n v="3113.79"/>
    <n v="2923.66"/>
    <x v="11"/>
    <s v="Q4"/>
    <n v="2023"/>
    <x v="0"/>
  </r>
  <r>
    <x v="473"/>
    <x v="4"/>
    <x v="2"/>
    <x v="16"/>
    <n v="31"/>
    <n v="4772.37"/>
    <s v="Female"/>
    <n v="1"/>
    <n v="4660.5"/>
    <n v="111.87"/>
    <x v="8"/>
    <s v="Q4"/>
    <n v="2023"/>
    <x v="1"/>
  </r>
  <r>
    <x v="85"/>
    <x v="0"/>
    <x v="4"/>
    <x v="6"/>
    <n v="12"/>
    <n v="4239.01"/>
    <s v="Female"/>
    <n v="4"/>
    <n v="2857.51"/>
    <n v="1381.5"/>
    <x v="2"/>
    <s v="Q1"/>
    <n v="2022"/>
    <x v="1"/>
  </r>
  <r>
    <x v="387"/>
    <x v="4"/>
    <x v="1"/>
    <x v="3"/>
    <n v="30"/>
    <n v="550.85"/>
    <s v="Female"/>
    <n v="3"/>
    <n v="1632.81"/>
    <n v="-1081.96"/>
    <x v="2"/>
    <s v="Q1"/>
    <n v="2022"/>
    <x v="0"/>
  </r>
  <r>
    <x v="262"/>
    <x v="0"/>
    <x v="1"/>
    <x v="9"/>
    <n v="27"/>
    <n v="1404.42"/>
    <s v="Male"/>
    <n v="1"/>
    <n v="3319.84"/>
    <n v="-1915.42"/>
    <x v="2"/>
    <s v="Q1"/>
    <n v="2022"/>
    <x v="1"/>
  </r>
  <r>
    <x v="474"/>
    <x v="4"/>
    <x v="3"/>
    <x v="4"/>
    <n v="7"/>
    <n v="3084.47"/>
    <s v="Male"/>
    <n v="2"/>
    <n v="766.66"/>
    <n v="2317.81"/>
    <x v="0"/>
    <s v="Q2"/>
    <n v="2023"/>
    <x v="1"/>
  </r>
  <r>
    <x v="475"/>
    <x v="0"/>
    <x v="0"/>
    <x v="13"/>
    <n v="14"/>
    <n v="2378.0700000000002"/>
    <s v="Female"/>
    <n v="2"/>
    <n v="734.72"/>
    <n v="1643.35"/>
    <x v="4"/>
    <s v="Q2"/>
    <n v="2023"/>
    <x v="1"/>
  </r>
  <r>
    <x v="476"/>
    <x v="2"/>
    <x v="1"/>
    <x v="9"/>
    <n v="26"/>
    <n v="4842.26"/>
    <s v="Male"/>
    <n v="5"/>
    <n v="2266.4"/>
    <n v="2575.86"/>
    <x v="1"/>
    <s v="Q1"/>
    <n v="2023"/>
    <x v="2"/>
  </r>
  <r>
    <x v="320"/>
    <x v="2"/>
    <x v="3"/>
    <x v="12"/>
    <n v="24"/>
    <n v="11958.58"/>
    <s v="Female"/>
    <n v="2"/>
    <n v="378.11"/>
    <n v="11580.47"/>
    <x v="0"/>
    <s v="Q2"/>
    <n v="2022"/>
    <x v="1"/>
  </r>
  <r>
    <x v="477"/>
    <x v="1"/>
    <x v="4"/>
    <x v="18"/>
    <n v="21"/>
    <n v="8406.23"/>
    <s v="Male"/>
    <n v="2"/>
    <n v="1662.05"/>
    <n v="6744.18"/>
    <x v="11"/>
    <s v="Q4"/>
    <n v="2022"/>
    <x v="1"/>
  </r>
  <r>
    <x v="387"/>
    <x v="2"/>
    <x v="3"/>
    <x v="11"/>
    <n v="33"/>
    <n v="8110.77"/>
    <s v="Male"/>
    <n v="4"/>
    <n v="6955.27"/>
    <n v="1155.5"/>
    <x v="2"/>
    <s v="Q1"/>
    <n v="2022"/>
    <x v="4"/>
  </r>
  <r>
    <x v="192"/>
    <x v="0"/>
    <x v="0"/>
    <x v="14"/>
    <n v="28"/>
    <n v="6234.72"/>
    <s v="Female"/>
    <n v="2"/>
    <n v="2742.33"/>
    <n v="3492.39"/>
    <x v="0"/>
    <s v="Q2"/>
    <n v="2022"/>
    <x v="1"/>
  </r>
  <r>
    <x v="170"/>
    <x v="1"/>
    <x v="2"/>
    <x v="16"/>
    <n v="23"/>
    <n v="1664.07"/>
    <s v="Female"/>
    <n v="5"/>
    <n v="4314.4399999999996"/>
    <n v="-2650.37"/>
    <x v="3"/>
    <s v="Q2"/>
    <n v="2022"/>
    <x v="1"/>
  </r>
  <r>
    <x v="422"/>
    <x v="2"/>
    <x v="3"/>
    <x v="11"/>
    <n v="39"/>
    <n v="2953.35"/>
    <s v="Male"/>
    <n v="2"/>
    <n v="5702.95"/>
    <n v="-2749.6"/>
    <x v="4"/>
    <s v="Q2"/>
    <n v="2022"/>
    <x v="0"/>
  </r>
  <r>
    <x v="288"/>
    <x v="4"/>
    <x v="1"/>
    <x v="1"/>
    <n v="6"/>
    <n v="1490.56"/>
    <s v="Male"/>
    <n v="3"/>
    <n v="1091.6099999999999"/>
    <n v="398.95"/>
    <x v="11"/>
    <s v="Q4"/>
    <n v="2022"/>
    <x v="4"/>
  </r>
  <r>
    <x v="345"/>
    <x v="1"/>
    <x v="2"/>
    <x v="5"/>
    <n v="28"/>
    <n v="6481.44"/>
    <s v="Male"/>
    <n v="1"/>
    <n v="3202.63"/>
    <n v="3278.81"/>
    <x v="4"/>
    <s v="Q2"/>
    <n v="2023"/>
    <x v="1"/>
  </r>
  <r>
    <x v="213"/>
    <x v="3"/>
    <x v="4"/>
    <x v="10"/>
    <n v="34"/>
    <n v="6245.45"/>
    <s v="Female"/>
    <n v="3"/>
    <n v="2014.93"/>
    <n v="4230.5200000000004"/>
    <x v="8"/>
    <s v="Q4"/>
    <n v="2022"/>
    <x v="2"/>
  </r>
  <r>
    <x v="215"/>
    <x v="0"/>
    <x v="2"/>
    <x v="16"/>
    <n v="27"/>
    <n v="8149.81"/>
    <s v="Female"/>
    <n v="4"/>
    <n v="2872.43"/>
    <n v="5277.38"/>
    <x v="4"/>
    <s v="Q2"/>
    <n v="2023"/>
    <x v="1"/>
  </r>
  <r>
    <x v="107"/>
    <x v="4"/>
    <x v="4"/>
    <x v="6"/>
    <n v="12"/>
    <n v="5707.46"/>
    <s v="Male"/>
    <n v="3"/>
    <n v="1630.45"/>
    <n v="4077.01"/>
    <x v="11"/>
    <s v="Q4"/>
    <n v="2022"/>
    <x v="1"/>
  </r>
  <r>
    <x v="478"/>
    <x v="2"/>
    <x v="0"/>
    <x v="0"/>
    <n v="16"/>
    <n v="5474.4"/>
    <s v="Female"/>
    <n v="4"/>
    <n v="2604.64"/>
    <n v="2869.76"/>
    <x v="6"/>
    <s v="Q4"/>
    <n v="2023"/>
    <x v="2"/>
  </r>
  <r>
    <x v="354"/>
    <x v="4"/>
    <x v="2"/>
    <x v="5"/>
    <n v="23"/>
    <n v="8853.9"/>
    <s v="Female"/>
    <n v="3"/>
    <n v="771.36"/>
    <n v="8082.54"/>
    <x v="8"/>
    <s v="Q4"/>
    <n v="2023"/>
    <x v="1"/>
  </r>
  <r>
    <x v="413"/>
    <x v="1"/>
    <x v="4"/>
    <x v="17"/>
    <n v="5"/>
    <n v="2487.59"/>
    <s v="Female"/>
    <n v="1"/>
    <n v="1115.6600000000001"/>
    <n v="1371.93"/>
    <x v="5"/>
    <s v="Q1"/>
    <n v="2023"/>
    <x v="1"/>
  </r>
  <r>
    <x v="448"/>
    <x v="3"/>
    <x v="3"/>
    <x v="15"/>
    <n v="43"/>
    <n v="9359.94"/>
    <s v="Female"/>
    <n v="4"/>
    <n v="6885.39"/>
    <n v="2474.5500000000002"/>
    <x v="3"/>
    <s v="Q2"/>
    <n v="2022"/>
    <x v="0"/>
  </r>
  <r>
    <x v="342"/>
    <x v="2"/>
    <x v="3"/>
    <x v="4"/>
    <n v="29"/>
    <n v="10604.72"/>
    <s v="Female"/>
    <n v="3"/>
    <n v="3225.86"/>
    <n v="7378.86"/>
    <x v="7"/>
    <s v="Q3"/>
    <n v="2022"/>
    <x v="2"/>
  </r>
  <r>
    <x v="479"/>
    <x v="3"/>
    <x v="2"/>
    <x v="5"/>
    <n v="15"/>
    <n v="7208.78"/>
    <s v="Male"/>
    <n v="3"/>
    <n v="145.63"/>
    <n v="7063.15"/>
    <x v="5"/>
    <s v="Q1"/>
    <n v="2023"/>
    <x v="1"/>
  </r>
  <r>
    <x v="369"/>
    <x v="3"/>
    <x v="0"/>
    <x v="14"/>
    <n v="44"/>
    <n v="9383.07"/>
    <s v="Female"/>
    <n v="3"/>
    <n v="9123.2900000000009"/>
    <n v="259.77999999999997"/>
    <x v="1"/>
    <s v="Q1"/>
    <n v="2023"/>
    <x v="1"/>
  </r>
  <r>
    <x v="459"/>
    <x v="4"/>
    <x v="4"/>
    <x v="18"/>
    <n v="29"/>
    <n v="2658.8"/>
    <s v="Female"/>
    <n v="4"/>
    <n v="4077.67"/>
    <n v="-1418.87"/>
    <x v="8"/>
    <s v="Q4"/>
    <n v="2022"/>
    <x v="0"/>
  </r>
  <r>
    <x v="467"/>
    <x v="3"/>
    <x v="0"/>
    <x v="14"/>
    <n v="5"/>
    <n v="2418.9499999999998"/>
    <s v="Male"/>
    <n v="5"/>
    <n v="164.59"/>
    <n v="2254.36"/>
    <x v="9"/>
    <s v="Q3"/>
    <n v="2022"/>
    <x v="1"/>
  </r>
  <r>
    <x v="480"/>
    <x v="4"/>
    <x v="4"/>
    <x v="6"/>
    <n v="25"/>
    <n v="6024.93"/>
    <s v="Female"/>
    <n v="5"/>
    <n v="3967.36"/>
    <n v="2057.5700000000002"/>
    <x v="2"/>
    <s v="Q1"/>
    <n v="2023"/>
    <x v="2"/>
  </r>
  <r>
    <x v="481"/>
    <x v="2"/>
    <x v="3"/>
    <x v="4"/>
    <n v="37"/>
    <n v="16492.46"/>
    <s v="Male"/>
    <n v="1"/>
    <n v="3919.57"/>
    <n v="12572.89"/>
    <x v="5"/>
    <s v="Q1"/>
    <n v="2022"/>
    <x v="1"/>
  </r>
  <r>
    <x v="42"/>
    <x v="3"/>
    <x v="3"/>
    <x v="15"/>
    <n v="36"/>
    <n v="12468.59"/>
    <s v="Female"/>
    <n v="2"/>
    <n v="7143.61"/>
    <n v="5324.98"/>
    <x v="0"/>
    <s v="Q2"/>
    <n v="2022"/>
    <x v="0"/>
  </r>
  <r>
    <x v="161"/>
    <x v="0"/>
    <x v="0"/>
    <x v="14"/>
    <n v="19"/>
    <n v="3252.39"/>
    <s v="Female"/>
    <n v="5"/>
    <n v="2376.9"/>
    <n v="875.49"/>
    <x v="11"/>
    <s v="Q4"/>
    <n v="2022"/>
    <x v="0"/>
  </r>
  <r>
    <x v="175"/>
    <x v="3"/>
    <x v="2"/>
    <x v="5"/>
    <n v="36"/>
    <n v="5704.6"/>
    <s v="Female"/>
    <n v="5"/>
    <n v="8100.04"/>
    <n v="-2395.44"/>
    <x v="2"/>
    <s v="Q1"/>
    <n v="2023"/>
    <x v="4"/>
  </r>
  <r>
    <x v="86"/>
    <x v="4"/>
    <x v="3"/>
    <x v="15"/>
    <n v="23"/>
    <n v="2836.6"/>
    <s v="Male"/>
    <n v="2"/>
    <n v="1397.02"/>
    <n v="1439.58"/>
    <x v="7"/>
    <s v="Q3"/>
    <n v="2022"/>
    <x v="1"/>
  </r>
  <r>
    <x v="252"/>
    <x v="4"/>
    <x v="3"/>
    <x v="15"/>
    <n v="43"/>
    <n v="12805.84"/>
    <s v="Male"/>
    <n v="5"/>
    <n v="4027.2"/>
    <n v="8778.64"/>
    <x v="2"/>
    <s v="Q1"/>
    <n v="2022"/>
    <x v="2"/>
  </r>
  <r>
    <x v="482"/>
    <x v="3"/>
    <x v="4"/>
    <x v="10"/>
    <n v="5"/>
    <n v="1502.17"/>
    <s v="Female"/>
    <n v="3"/>
    <n v="50.25"/>
    <n v="1451.92"/>
    <x v="7"/>
    <s v="Q3"/>
    <n v="2022"/>
    <x v="4"/>
  </r>
  <r>
    <x v="483"/>
    <x v="1"/>
    <x v="3"/>
    <x v="4"/>
    <n v="38"/>
    <n v="14525.44"/>
    <s v="Female"/>
    <n v="2"/>
    <n v="7364.73"/>
    <n v="7160.71"/>
    <x v="0"/>
    <s v="Q2"/>
    <n v="2022"/>
    <x v="4"/>
  </r>
  <r>
    <x v="100"/>
    <x v="0"/>
    <x v="3"/>
    <x v="12"/>
    <n v="48"/>
    <n v="23697.95"/>
    <s v="Male"/>
    <n v="2"/>
    <n v="10676.93"/>
    <n v="13021.02"/>
    <x v="7"/>
    <s v="Q3"/>
    <n v="2022"/>
    <x v="1"/>
  </r>
  <r>
    <x v="484"/>
    <x v="2"/>
    <x v="4"/>
    <x v="17"/>
    <n v="45"/>
    <n v="21568.99"/>
    <s v="Female"/>
    <n v="2"/>
    <n v="3615.5"/>
    <n v="17953.490000000002"/>
    <x v="6"/>
    <s v="Q4"/>
    <n v="2022"/>
    <x v="1"/>
  </r>
  <r>
    <x v="441"/>
    <x v="2"/>
    <x v="1"/>
    <x v="9"/>
    <n v="41"/>
    <n v="11441.83"/>
    <s v="Female"/>
    <n v="3"/>
    <n v="6920.72"/>
    <n v="4521.1099999999997"/>
    <x v="8"/>
    <s v="Q4"/>
    <n v="2022"/>
    <x v="1"/>
  </r>
  <r>
    <x v="485"/>
    <x v="0"/>
    <x v="1"/>
    <x v="9"/>
    <n v="30"/>
    <n v="10172.02"/>
    <s v="Female"/>
    <n v="5"/>
    <n v="1908.27"/>
    <n v="8263.75"/>
    <x v="2"/>
    <s v="Q1"/>
    <n v="2022"/>
    <x v="0"/>
  </r>
  <r>
    <x v="416"/>
    <x v="2"/>
    <x v="4"/>
    <x v="6"/>
    <n v="26"/>
    <n v="11596.06"/>
    <s v="Female"/>
    <n v="4"/>
    <n v="3643.44"/>
    <n v="7952.62"/>
    <x v="2"/>
    <s v="Q1"/>
    <n v="2022"/>
    <x v="1"/>
  </r>
  <r>
    <x v="141"/>
    <x v="1"/>
    <x v="3"/>
    <x v="12"/>
    <n v="13"/>
    <n v="1822.46"/>
    <s v="Male"/>
    <n v="2"/>
    <n v="2294.59"/>
    <n v="-472.13"/>
    <x v="6"/>
    <s v="Q4"/>
    <n v="2022"/>
    <x v="1"/>
  </r>
  <r>
    <x v="486"/>
    <x v="4"/>
    <x v="1"/>
    <x v="19"/>
    <n v="17"/>
    <n v="5387.8"/>
    <s v="Female"/>
    <n v="3"/>
    <n v="979.96"/>
    <n v="4407.84"/>
    <x v="6"/>
    <s v="Q4"/>
    <n v="2023"/>
    <x v="1"/>
  </r>
  <r>
    <x v="101"/>
    <x v="3"/>
    <x v="1"/>
    <x v="9"/>
    <n v="34"/>
    <n v="5257.08"/>
    <s v="Female"/>
    <n v="1"/>
    <n v="7185.23"/>
    <n v="-1928.15"/>
    <x v="10"/>
    <s v="Q3"/>
    <n v="2022"/>
    <x v="1"/>
  </r>
  <r>
    <x v="375"/>
    <x v="3"/>
    <x v="1"/>
    <x v="9"/>
    <n v="41"/>
    <n v="16296.06"/>
    <s v="Female"/>
    <n v="1"/>
    <n v="3817.42"/>
    <n v="12478.64"/>
    <x v="1"/>
    <s v="Q1"/>
    <n v="2022"/>
    <x v="1"/>
  </r>
  <r>
    <x v="261"/>
    <x v="0"/>
    <x v="2"/>
    <x v="16"/>
    <n v="43"/>
    <n v="803.24"/>
    <s v="Female"/>
    <n v="1"/>
    <n v="8134.38"/>
    <n v="-7331.14"/>
    <x v="6"/>
    <s v="Q4"/>
    <n v="2022"/>
    <x v="0"/>
  </r>
  <r>
    <x v="77"/>
    <x v="3"/>
    <x v="0"/>
    <x v="13"/>
    <n v="1"/>
    <n v="41.69"/>
    <s v="Female"/>
    <n v="3"/>
    <n v="229.44"/>
    <n v="-187.75"/>
    <x v="1"/>
    <s v="Q1"/>
    <n v="2023"/>
    <x v="2"/>
  </r>
  <r>
    <x v="487"/>
    <x v="4"/>
    <x v="1"/>
    <x v="1"/>
    <n v="41"/>
    <n v="13332.51"/>
    <s v="Male"/>
    <n v="2"/>
    <n v="4143.88"/>
    <n v="9188.6299999999992"/>
    <x v="2"/>
    <s v="Q1"/>
    <n v="2023"/>
    <x v="1"/>
  </r>
  <r>
    <x v="488"/>
    <x v="3"/>
    <x v="4"/>
    <x v="10"/>
    <n v="36"/>
    <n v="4072.45"/>
    <s v="Male"/>
    <n v="3"/>
    <n v="4832.3999999999996"/>
    <n v="-759.95"/>
    <x v="3"/>
    <s v="Q2"/>
    <n v="2022"/>
    <x v="1"/>
  </r>
  <r>
    <x v="372"/>
    <x v="0"/>
    <x v="3"/>
    <x v="15"/>
    <n v="13"/>
    <n v="5288.36"/>
    <s v="Male"/>
    <n v="2"/>
    <n v="460"/>
    <n v="4828.3599999999997"/>
    <x v="11"/>
    <s v="Q4"/>
    <n v="2023"/>
    <x v="0"/>
  </r>
  <r>
    <x v="29"/>
    <x v="4"/>
    <x v="1"/>
    <x v="19"/>
    <n v="41"/>
    <n v="714.65"/>
    <s v="Male"/>
    <n v="2"/>
    <n v="6946.88"/>
    <n v="-6232.23"/>
    <x v="9"/>
    <s v="Q3"/>
    <n v="2023"/>
    <x v="1"/>
  </r>
  <r>
    <x v="116"/>
    <x v="3"/>
    <x v="0"/>
    <x v="14"/>
    <n v="45"/>
    <n v="1956.97"/>
    <s v="Male"/>
    <n v="4"/>
    <n v="1218.83"/>
    <n v="738.14"/>
    <x v="9"/>
    <s v="Q3"/>
    <n v="2022"/>
    <x v="1"/>
  </r>
  <r>
    <x v="18"/>
    <x v="1"/>
    <x v="1"/>
    <x v="19"/>
    <n v="12"/>
    <n v="881.56"/>
    <s v="Male"/>
    <n v="5"/>
    <n v="1431.98"/>
    <n v="-550.41999999999996"/>
    <x v="7"/>
    <s v="Q3"/>
    <n v="2022"/>
    <x v="1"/>
  </r>
  <r>
    <x v="289"/>
    <x v="4"/>
    <x v="3"/>
    <x v="12"/>
    <n v="29"/>
    <n v="437.17"/>
    <s v="Female"/>
    <n v="2"/>
    <n v="2587.4499999999998"/>
    <n v="-2150.2800000000002"/>
    <x v="9"/>
    <s v="Q3"/>
    <n v="2023"/>
    <x v="4"/>
  </r>
  <r>
    <x v="368"/>
    <x v="0"/>
    <x v="3"/>
    <x v="12"/>
    <n v="32"/>
    <n v="1027"/>
    <s v="Female"/>
    <n v="2"/>
    <n v="5536.74"/>
    <n v="-4509.74"/>
    <x v="2"/>
    <s v="Q1"/>
    <n v="2022"/>
    <x v="1"/>
  </r>
  <r>
    <x v="482"/>
    <x v="2"/>
    <x v="2"/>
    <x v="16"/>
    <n v="24"/>
    <n v="4118.1499999999996"/>
    <s v="Male"/>
    <n v="5"/>
    <n v="2576.39"/>
    <n v="1541.76"/>
    <x v="7"/>
    <s v="Q3"/>
    <n v="2022"/>
    <x v="1"/>
  </r>
  <r>
    <x v="94"/>
    <x v="1"/>
    <x v="2"/>
    <x v="16"/>
    <n v="50"/>
    <n v="17485.32"/>
    <s v="Female"/>
    <n v="5"/>
    <n v="6887.79"/>
    <n v="10597.53"/>
    <x v="11"/>
    <s v="Q4"/>
    <n v="2023"/>
    <x v="2"/>
  </r>
  <r>
    <x v="381"/>
    <x v="1"/>
    <x v="3"/>
    <x v="11"/>
    <n v="27"/>
    <n v="4916.0200000000004"/>
    <s v="Male"/>
    <n v="3"/>
    <n v="1711.04"/>
    <n v="3204.98"/>
    <x v="1"/>
    <s v="Q1"/>
    <n v="2023"/>
    <x v="1"/>
  </r>
  <r>
    <x v="297"/>
    <x v="2"/>
    <x v="2"/>
    <x v="5"/>
    <n v="33"/>
    <n v="12396.69"/>
    <s v="Male"/>
    <n v="5"/>
    <n v="7446.26"/>
    <n v="4950.43"/>
    <x v="2"/>
    <s v="Q1"/>
    <n v="2022"/>
    <x v="1"/>
  </r>
  <r>
    <x v="489"/>
    <x v="3"/>
    <x v="2"/>
    <x v="16"/>
    <n v="6"/>
    <n v="60.2"/>
    <s v="Male"/>
    <n v="2"/>
    <n v="379.68"/>
    <n v="-319.48"/>
    <x v="4"/>
    <s v="Q2"/>
    <n v="2022"/>
    <x v="1"/>
  </r>
  <r>
    <x v="309"/>
    <x v="4"/>
    <x v="4"/>
    <x v="10"/>
    <n v="25"/>
    <n v="4254.0200000000004"/>
    <s v="Female"/>
    <n v="4"/>
    <n v="301.98"/>
    <n v="3952.04"/>
    <x v="5"/>
    <s v="Q1"/>
    <n v="2022"/>
    <x v="2"/>
  </r>
  <r>
    <x v="490"/>
    <x v="2"/>
    <x v="3"/>
    <x v="15"/>
    <n v="23"/>
    <n v="3836.59"/>
    <s v="Female"/>
    <n v="1"/>
    <n v="3449.11"/>
    <n v="387.48"/>
    <x v="6"/>
    <s v="Q4"/>
    <n v="2022"/>
    <x v="1"/>
  </r>
  <r>
    <x v="491"/>
    <x v="1"/>
    <x v="1"/>
    <x v="9"/>
    <n v="6"/>
    <n v="1169.3699999999999"/>
    <s v="Female"/>
    <n v="2"/>
    <n v="529.91999999999996"/>
    <n v="639.45000000000005"/>
    <x v="5"/>
    <s v="Q1"/>
    <n v="2022"/>
    <x v="1"/>
  </r>
  <r>
    <x v="492"/>
    <x v="2"/>
    <x v="0"/>
    <x v="8"/>
    <n v="40"/>
    <n v="15782.09"/>
    <s v="Male"/>
    <n v="2"/>
    <n v="2175.12"/>
    <n v="13606.97"/>
    <x v="9"/>
    <s v="Q3"/>
    <n v="2022"/>
    <x v="1"/>
  </r>
  <r>
    <x v="317"/>
    <x v="4"/>
    <x v="0"/>
    <x v="8"/>
    <n v="7"/>
    <n v="691.09"/>
    <s v="Male"/>
    <n v="1"/>
    <n v="1186.26"/>
    <n v="-495.17"/>
    <x v="4"/>
    <s v="Q2"/>
    <n v="2022"/>
    <x v="1"/>
  </r>
  <r>
    <x v="493"/>
    <x v="4"/>
    <x v="2"/>
    <x v="16"/>
    <n v="43"/>
    <n v="6988.41"/>
    <s v="Female"/>
    <n v="2"/>
    <n v="5706.93"/>
    <n v="1281.48"/>
    <x v="6"/>
    <s v="Q4"/>
    <n v="2022"/>
    <x v="0"/>
  </r>
  <r>
    <x v="171"/>
    <x v="2"/>
    <x v="3"/>
    <x v="11"/>
    <n v="37"/>
    <n v="16500.599999999999"/>
    <s v="Male"/>
    <n v="4"/>
    <n v="7142.47"/>
    <n v="9358.1299999999992"/>
    <x v="7"/>
    <s v="Q3"/>
    <n v="2023"/>
    <x v="2"/>
  </r>
  <r>
    <x v="472"/>
    <x v="0"/>
    <x v="0"/>
    <x v="8"/>
    <n v="23"/>
    <n v="10902.31"/>
    <s v="Male"/>
    <n v="5"/>
    <n v="3721.27"/>
    <n v="7181.04"/>
    <x v="11"/>
    <s v="Q4"/>
    <n v="2023"/>
    <x v="2"/>
  </r>
  <r>
    <x v="100"/>
    <x v="4"/>
    <x v="4"/>
    <x v="18"/>
    <n v="4"/>
    <n v="1473.57"/>
    <s v="Female"/>
    <n v="3"/>
    <n v="151.29"/>
    <n v="1322.28"/>
    <x v="7"/>
    <s v="Q3"/>
    <n v="2022"/>
    <x v="2"/>
  </r>
  <r>
    <x v="494"/>
    <x v="1"/>
    <x v="1"/>
    <x v="9"/>
    <n v="17"/>
    <n v="3639.02"/>
    <s v="Female"/>
    <n v="3"/>
    <n v="2833.57"/>
    <n v="805.45"/>
    <x v="10"/>
    <s v="Q3"/>
    <n v="2023"/>
    <x v="2"/>
  </r>
  <r>
    <x v="495"/>
    <x v="1"/>
    <x v="2"/>
    <x v="5"/>
    <n v="21"/>
    <n v="6110.42"/>
    <s v="Male"/>
    <n v="1"/>
    <n v="4512.8500000000004"/>
    <n v="1597.57"/>
    <x v="1"/>
    <s v="Q1"/>
    <n v="2023"/>
    <x v="2"/>
  </r>
  <r>
    <x v="496"/>
    <x v="4"/>
    <x v="4"/>
    <x v="17"/>
    <n v="49"/>
    <n v="23388.31"/>
    <s v="Male"/>
    <n v="5"/>
    <n v="316.95"/>
    <n v="23071.360000000001"/>
    <x v="11"/>
    <s v="Q4"/>
    <n v="2022"/>
    <x v="1"/>
  </r>
  <r>
    <x v="38"/>
    <x v="0"/>
    <x v="2"/>
    <x v="2"/>
    <n v="38"/>
    <n v="17189.72"/>
    <s v="Female"/>
    <n v="2"/>
    <n v="4320.3100000000004"/>
    <n v="12869.41"/>
    <x v="7"/>
    <s v="Q3"/>
    <n v="2022"/>
    <x v="2"/>
  </r>
  <r>
    <x v="210"/>
    <x v="2"/>
    <x v="1"/>
    <x v="3"/>
    <n v="40"/>
    <n v="12711.29"/>
    <s v="Male"/>
    <n v="4"/>
    <n v="470.44"/>
    <n v="12240.85"/>
    <x v="1"/>
    <s v="Q1"/>
    <n v="2023"/>
    <x v="2"/>
  </r>
  <r>
    <x v="459"/>
    <x v="0"/>
    <x v="4"/>
    <x v="10"/>
    <n v="24"/>
    <n v="10663.3"/>
    <s v="Male"/>
    <n v="2"/>
    <n v="481.57"/>
    <n v="10181.73"/>
    <x v="8"/>
    <s v="Q4"/>
    <n v="2022"/>
    <x v="2"/>
  </r>
  <r>
    <x v="497"/>
    <x v="4"/>
    <x v="0"/>
    <x v="14"/>
    <n v="44"/>
    <n v="15587.57"/>
    <s v="Male"/>
    <n v="3"/>
    <n v="2566.66"/>
    <n v="13020.91"/>
    <x v="5"/>
    <s v="Q1"/>
    <n v="2023"/>
    <x v="1"/>
  </r>
  <r>
    <x v="239"/>
    <x v="1"/>
    <x v="1"/>
    <x v="1"/>
    <n v="41"/>
    <n v="12143.34"/>
    <s v="Female"/>
    <n v="5"/>
    <n v="3323.69"/>
    <n v="8819.65"/>
    <x v="6"/>
    <s v="Q4"/>
    <n v="2023"/>
    <x v="1"/>
  </r>
  <r>
    <x v="50"/>
    <x v="3"/>
    <x v="0"/>
    <x v="14"/>
    <n v="20"/>
    <n v="3383.9"/>
    <s v="Female"/>
    <n v="1"/>
    <n v="3682.91"/>
    <n v="-299.01"/>
    <x v="1"/>
    <s v="Q1"/>
    <n v="2022"/>
    <x v="1"/>
  </r>
  <r>
    <x v="233"/>
    <x v="0"/>
    <x v="1"/>
    <x v="3"/>
    <n v="49"/>
    <n v="963.63"/>
    <s v="Male"/>
    <n v="2"/>
    <n v="6381.31"/>
    <n v="-5417.68"/>
    <x v="3"/>
    <s v="Q2"/>
    <n v="2023"/>
    <x v="2"/>
  </r>
  <r>
    <x v="455"/>
    <x v="4"/>
    <x v="3"/>
    <x v="12"/>
    <n v="37"/>
    <n v="7509.05"/>
    <s v="Male"/>
    <n v="2"/>
    <n v="3120.24"/>
    <n v="4388.8100000000004"/>
    <x v="1"/>
    <s v="Q1"/>
    <n v="2022"/>
    <x v="1"/>
  </r>
  <r>
    <x v="498"/>
    <x v="3"/>
    <x v="0"/>
    <x v="13"/>
    <n v="35"/>
    <n v="15697.03"/>
    <s v="Female"/>
    <n v="1"/>
    <n v="3815.12"/>
    <n v="11881.91"/>
    <x v="5"/>
    <s v="Q1"/>
    <n v="2022"/>
    <x v="1"/>
  </r>
  <r>
    <x v="499"/>
    <x v="2"/>
    <x v="2"/>
    <x v="7"/>
    <n v="11"/>
    <n v="5179.43"/>
    <s v="Male"/>
    <n v="4"/>
    <n v="2673.67"/>
    <n v="2505.7600000000002"/>
    <x v="2"/>
    <s v="Q1"/>
    <n v="2022"/>
    <x v="2"/>
  </r>
  <r>
    <x v="500"/>
    <x v="3"/>
    <x v="1"/>
    <x v="3"/>
    <n v="38"/>
    <n v="5996.68"/>
    <s v="Male"/>
    <n v="1"/>
    <n v="2864.44"/>
    <n v="3132.24"/>
    <x v="7"/>
    <s v="Q3"/>
    <n v="2023"/>
    <x v="1"/>
  </r>
  <r>
    <x v="169"/>
    <x v="1"/>
    <x v="4"/>
    <x v="17"/>
    <n v="44"/>
    <n v="6963.89"/>
    <s v="Male"/>
    <n v="3"/>
    <n v="2053.09"/>
    <n v="4910.8"/>
    <x v="7"/>
    <s v="Q3"/>
    <n v="2022"/>
    <x v="4"/>
  </r>
  <r>
    <x v="167"/>
    <x v="2"/>
    <x v="1"/>
    <x v="19"/>
    <n v="20"/>
    <n v="1325.04"/>
    <s v="Male"/>
    <n v="5"/>
    <n v="2022.14"/>
    <n v="-697.1"/>
    <x v="7"/>
    <s v="Q3"/>
    <n v="2022"/>
    <x v="1"/>
  </r>
  <r>
    <x v="78"/>
    <x v="4"/>
    <x v="2"/>
    <x v="16"/>
    <n v="22"/>
    <n v="10838.8"/>
    <s v="Female"/>
    <n v="2"/>
    <n v="1427.5"/>
    <n v="9411.2999999999993"/>
    <x v="3"/>
    <s v="Q2"/>
    <n v="2022"/>
    <x v="1"/>
  </r>
  <r>
    <x v="41"/>
    <x v="1"/>
    <x v="0"/>
    <x v="13"/>
    <n v="11"/>
    <n v="2616.3000000000002"/>
    <s v="Female"/>
    <n v="5"/>
    <n v="287.27"/>
    <n v="2329.0300000000002"/>
    <x v="9"/>
    <s v="Q3"/>
    <n v="2022"/>
    <x v="2"/>
  </r>
  <r>
    <x v="65"/>
    <x v="4"/>
    <x v="1"/>
    <x v="3"/>
    <n v="33"/>
    <n v="14356.85"/>
    <s v="Male"/>
    <n v="1"/>
    <n v="3877.44"/>
    <n v="10479.41"/>
    <x v="11"/>
    <s v="Q4"/>
    <n v="2022"/>
    <x v="1"/>
  </r>
  <r>
    <x v="501"/>
    <x v="1"/>
    <x v="4"/>
    <x v="17"/>
    <n v="49"/>
    <n v="18716.36"/>
    <s v="Female"/>
    <n v="2"/>
    <n v="7073.52"/>
    <n v="11642.84"/>
    <x v="2"/>
    <s v="Q1"/>
    <n v="2022"/>
    <x v="1"/>
  </r>
  <r>
    <x v="245"/>
    <x v="2"/>
    <x v="2"/>
    <x v="2"/>
    <n v="4"/>
    <n v="1873.16"/>
    <s v="Female"/>
    <n v="2"/>
    <n v="601.27"/>
    <n v="1271.8900000000001"/>
    <x v="2"/>
    <s v="Q1"/>
    <n v="2023"/>
    <x v="2"/>
  </r>
  <r>
    <x v="395"/>
    <x v="4"/>
    <x v="4"/>
    <x v="6"/>
    <n v="10"/>
    <n v="351.15"/>
    <s v="Male"/>
    <n v="5"/>
    <n v="2407.0500000000002"/>
    <n v="-2055.9"/>
    <x v="11"/>
    <s v="Q4"/>
    <n v="2023"/>
    <x v="2"/>
  </r>
  <r>
    <x v="175"/>
    <x v="0"/>
    <x v="1"/>
    <x v="19"/>
    <n v="26"/>
    <n v="12296.44"/>
    <s v="Male"/>
    <n v="4"/>
    <n v="2555.48"/>
    <n v="9740.9599999999991"/>
    <x v="2"/>
    <s v="Q1"/>
    <n v="2023"/>
    <x v="1"/>
  </r>
  <r>
    <x v="502"/>
    <x v="2"/>
    <x v="1"/>
    <x v="3"/>
    <n v="49"/>
    <n v="17471.28"/>
    <s v="Female"/>
    <n v="3"/>
    <n v="10785.32"/>
    <n v="6685.96"/>
    <x v="7"/>
    <s v="Q3"/>
    <n v="2022"/>
    <x v="1"/>
  </r>
  <r>
    <x v="110"/>
    <x v="1"/>
    <x v="2"/>
    <x v="7"/>
    <n v="1"/>
    <n v="58"/>
    <s v="Female"/>
    <n v="1"/>
    <n v="120.96"/>
    <n v="-62.96"/>
    <x v="4"/>
    <s v="Q2"/>
    <n v="2022"/>
    <x v="1"/>
  </r>
  <r>
    <x v="428"/>
    <x v="2"/>
    <x v="2"/>
    <x v="5"/>
    <n v="9"/>
    <n v="3848.35"/>
    <s v="Male"/>
    <n v="4"/>
    <n v="366.06"/>
    <n v="3482.29"/>
    <x v="4"/>
    <s v="Q2"/>
    <n v="2022"/>
    <x v="1"/>
  </r>
  <r>
    <x v="503"/>
    <x v="0"/>
    <x v="4"/>
    <x v="10"/>
    <n v="29"/>
    <n v="3003.7"/>
    <s v="Female"/>
    <n v="5"/>
    <n v="5454.1"/>
    <n v="-2450.4"/>
    <x v="10"/>
    <s v="Q3"/>
    <n v="2023"/>
    <x v="1"/>
  </r>
  <r>
    <x v="208"/>
    <x v="0"/>
    <x v="0"/>
    <x v="13"/>
    <n v="48"/>
    <n v="17001.62"/>
    <s v="Male"/>
    <n v="4"/>
    <n v="9478.16"/>
    <n v="7523.46"/>
    <x v="5"/>
    <s v="Q1"/>
    <n v="2023"/>
    <x v="1"/>
  </r>
  <r>
    <x v="504"/>
    <x v="0"/>
    <x v="4"/>
    <x v="10"/>
    <n v="34"/>
    <n v="16038.24"/>
    <s v="Male"/>
    <n v="4"/>
    <n v="4186.97"/>
    <n v="11851.27"/>
    <x v="2"/>
    <s v="Q1"/>
    <n v="2022"/>
    <x v="0"/>
  </r>
  <r>
    <x v="505"/>
    <x v="2"/>
    <x v="4"/>
    <x v="6"/>
    <n v="1"/>
    <n v="237.25"/>
    <s v="Male"/>
    <n v="5"/>
    <n v="148.32"/>
    <n v="88.93"/>
    <x v="2"/>
    <s v="Q1"/>
    <n v="2023"/>
    <x v="0"/>
  </r>
  <r>
    <x v="406"/>
    <x v="3"/>
    <x v="2"/>
    <x v="7"/>
    <n v="39"/>
    <n v="3116.14"/>
    <s v="Female"/>
    <n v="1"/>
    <n v="2359.98"/>
    <n v="756.16"/>
    <x v="6"/>
    <s v="Q4"/>
    <n v="2022"/>
    <x v="2"/>
  </r>
  <r>
    <x v="30"/>
    <x v="3"/>
    <x v="1"/>
    <x v="1"/>
    <n v="7"/>
    <n v="828.68"/>
    <s v="Female"/>
    <n v="3"/>
    <n v="946.02"/>
    <n v="-117.34"/>
    <x v="4"/>
    <s v="Q2"/>
    <n v="2023"/>
    <x v="2"/>
  </r>
  <r>
    <x v="128"/>
    <x v="3"/>
    <x v="0"/>
    <x v="0"/>
    <n v="45"/>
    <n v="13493.16"/>
    <s v="Male"/>
    <n v="5"/>
    <n v="7580.81"/>
    <n v="5912.35"/>
    <x v="8"/>
    <s v="Q4"/>
    <n v="2023"/>
    <x v="1"/>
  </r>
  <r>
    <x v="506"/>
    <x v="3"/>
    <x v="4"/>
    <x v="10"/>
    <n v="11"/>
    <n v="4538.43"/>
    <s v="Male"/>
    <n v="3"/>
    <n v="1809.47"/>
    <n v="2728.96"/>
    <x v="3"/>
    <s v="Q2"/>
    <n v="2022"/>
    <x v="0"/>
  </r>
  <r>
    <x v="46"/>
    <x v="2"/>
    <x v="1"/>
    <x v="9"/>
    <n v="27"/>
    <n v="12880.26"/>
    <s v="Male"/>
    <n v="5"/>
    <n v="4183.8900000000003"/>
    <n v="8696.3700000000008"/>
    <x v="2"/>
    <s v="Q1"/>
    <n v="2023"/>
    <x v="1"/>
  </r>
  <r>
    <x v="176"/>
    <x v="1"/>
    <x v="1"/>
    <x v="19"/>
    <n v="33"/>
    <n v="12804.71"/>
    <s v="Female"/>
    <n v="2"/>
    <n v="3415.83"/>
    <n v="9388.8799999999992"/>
    <x v="11"/>
    <s v="Q4"/>
    <n v="2022"/>
    <x v="0"/>
  </r>
  <r>
    <x v="507"/>
    <x v="2"/>
    <x v="0"/>
    <x v="14"/>
    <n v="37"/>
    <n v="11870.68"/>
    <s v="Male"/>
    <n v="2"/>
    <n v="1357.52"/>
    <n v="10513.16"/>
    <x v="2"/>
    <s v="Q1"/>
    <n v="2023"/>
    <x v="0"/>
  </r>
  <r>
    <x v="200"/>
    <x v="1"/>
    <x v="1"/>
    <x v="1"/>
    <n v="41"/>
    <n v="16697.86"/>
    <s v="Male"/>
    <n v="5"/>
    <n v="3471.48"/>
    <n v="13226.38"/>
    <x v="5"/>
    <s v="Q1"/>
    <n v="2022"/>
    <x v="0"/>
  </r>
  <r>
    <x v="421"/>
    <x v="3"/>
    <x v="2"/>
    <x v="7"/>
    <n v="32"/>
    <n v="12716.96"/>
    <s v="Female"/>
    <n v="3"/>
    <n v="6576.09"/>
    <n v="6140.87"/>
    <x v="11"/>
    <s v="Q4"/>
    <n v="2022"/>
    <x v="1"/>
  </r>
  <r>
    <x v="473"/>
    <x v="2"/>
    <x v="1"/>
    <x v="9"/>
    <n v="50"/>
    <n v="8424.09"/>
    <s v="Male"/>
    <n v="5"/>
    <n v="9688.82"/>
    <n v="-1264.73"/>
    <x v="8"/>
    <s v="Q4"/>
    <n v="2023"/>
    <x v="1"/>
  </r>
  <r>
    <x v="118"/>
    <x v="1"/>
    <x v="1"/>
    <x v="19"/>
    <n v="50"/>
    <n v="18616.48"/>
    <s v="Female"/>
    <n v="1"/>
    <n v="763.99"/>
    <n v="17852.490000000002"/>
    <x v="1"/>
    <s v="Q1"/>
    <n v="2023"/>
    <x v="1"/>
  </r>
  <r>
    <x v="52"/>
    <x v="4"/>
    <x v="0"/>
    <x v="0"/>
    <n v="23"/>
    <n v="2380.92"/>
    <s v="Male"/>
    <n v="4"/>
    <n v="3413.75"/>
    <n v="-1032.83"/>
    <x v="6"/>
    <s v="Q4"/>
    <n v="2023"/>
    <x v="1"/>
  </r>
  <r>
    <x v="508"/>
    <x v="4"/>
    <x v="4"/>
    <x v="18"/>
    <n v="6"/>
    <n v="838.25"/>
    <s v="Male"/>
    <n v="3"/>
    <n v="668.54"/>
    <n v="169.71"/>
    <x v="10"/>
    <s v="Q3"/>
    <n v="2022"/>
    <x v="1"/>
  </r>
  <r>
    <x v="445"/>
    <x v="1"/>
    <x v="0"/>
    <x v="13"/>
    <n v="46"/>
    <n v="10163.61"/>
    <s v="Female"/>
    <n v="3"/>
    <n v="674.58"/>
    <n v="9489.0300000000007"/>
    <x v="4"/>
    <s v="Q2"/>
    <n v="2023"/>
    <x v="1"/>
  </r>
  <r>
    <x v="509"/>
    <x v="1"/>
    <x v="0"/>
    <x v="8"/>
    <n v="37"/>
    <n v="14640.5"/>
    <s v="Male"/>
    <n v="2"/>
    <n v="650.99"/>
    <n v="13989.51"/>
    <x v="6"/>
    <s v="Q4"/>
    <n v="2022"/>
    <x v="3"/>
  </r>
  <r>
    <x v="415"/>
    <x v="1"/>
    <x v="1"/>
    <x v="1"/>
    <n v="28"/>
    <n v="8062.7"/>
    <s v="Male"/>
    <n v="5"/>
    <n v="2513.64"/>
    <n v="5549.06"/>
    <x v="6"/>
    <s v="Q4"/>
    <n v="2022"/>
    <x v="0"/>
  </r>
  <r>
    <x v="330"/>
    <x v="2"/>
    <x v="3"/>
    <x v="15"/>
    <n v="4"/>
    <n v="916.38"/>
    <s v="Male"/>
    <n v="5"/>
    <n v="893.69"/>
    <n v="22.69"/>
    <x v="0"/>
    <s v="Q2"/>
    <n v="2022"/>
    <x v="1"/>
  </r>
  <r>
    <x v="510"/>
    <x v="2"/>
    <x v="0"/>
    <x v="8"/>
    <n v="48"/>
    <n v="16533.09"/>
    <s v="Male"/>
    <n v="5"/>
    <n v="9902.07"/>
    <n v="6631.02"/>
    <x v="7"/>
    <s v="Q3"/>
    <n v="2022"/>
    <x v="1"/>
  </r>
  <r>
    <x v="362"/>
    <x v="1"/>
    <x v="0"/>
    <x v="0"/>
    <n v="29"/>
    <n v="8745.2199999999993"/>
    <s v="Male"/>
    <n v="1"/>
    <n v="6049.52"/>
    <n v="2695.7"/>
    <x v="3"/>
    <s v="Q2"/>
    <n v="2023"/>
    <x v="0"/>
  </r>
  <r>
    <x v="356"/>
    <x v="3"/>
    <x v="1"/>
    <x v="19"/>
    <n v="31"/>
    <n v="13260.85"/>
    <s v="Female"/>
    <n v="3"/>
    <n v="7589.66"/>
    <n v="5671.19"/>
    <x v="5"/>
    <s v="Q1"/>
    <n v="2022"/>
    <x v="1"/>
  </r>
  <r>
    <x v="477"/>
    <x v="0"/>
    <x v="0"/>
    <x v="0"/>
    <n v="31"/>
    <n v="12957.12"/>
    <s v="Male"/>
    <n v="2"/>
    <n v="4378.6499999999996"/>
    <n v="8578.4699999999993"/>
    <x v="11"/>
    <s v="Q4"/>
    <n v="2022"/>
    <x v="1"/>
  </r>
  <r>
    <x v="511"/>
    <x v="0"/>
    <x v="3"/>
    <x v="11"/>
    <n v="6"/>
    <n v="2036.86"/>
    <s v="Male"/>
    <n v="5"/>
    <n v="1251.3599999999999"/>
    <n v="785.5"/>
    <x v="3"/>
    <s v="Q2"/>
    <n v="2023"/>
    <x v="0"/>
  </r>
  <r>
    <x v="48"/>
    <x v="4"/>
    <x v="0"/>
    <x v="0"/>
    <n v="35"/>
    <n v="13564.36"/>
    <s v="Female"/>
    <n v="1"/>
    <n v="5206.9399999999996"/>
    <n v="8357.42"/>
    <x v="8"/>
    <s v="Q4"/>
    <n v="2023"/>
    <x v="1"/>
  </r>
  <r>
    <x v="115"/>
    <x v="2"/>
    <x v="0"/>
    <x v="8"/>
    <n v="8"/>
    <n v="3788.2"/>
    <s v="Female"/>
    <n v="2"/>
    <n v="1180.99"/>
    <n v="2607.21"/>
    <x v="0"/>
    <s v="Q2"/>
    <n v="2022"/>
    <x v="2"/>
  </r>
  <r>
    <x v="322"/>
    <x v="2"/>
    <x v="3"/>
    <x v="4"/>
    <n v="23"/>
    <n v="8435.67"/>
    <s v="Female"/>
    <n v="5"/>
    <n v="3834.35"/>
    <n v="4601.32"/>
    <x v="11"/>
    <s v="Q4"/>
    <n v="2022"/>
    <x v="1"/>
  </r>
  <r>
    <x v="113"/>
    <x v="3"/>
    <x v="1"/>
    <x v="1"/>
    <n v="47"/>
    <n v="14152.35"/>
    <s v="Female"/>
    <n v="1"/>
    <n v="10568.13"/>
    <n v="3584.22"/>
    <x v="5"/>
    <s v="Q1"/>
    <n v="2023"/>
    <x v="1"/>
  </r>
  <r>
    <x v="128"/>
    <x v="2"/>
    <x v="1"/>
    <x v="1"/>
    <n v="20"/>
    <n v="4672.4399999999996"/>
    <s v="Female"/>
    <n v="1"/>
    <n v="3902.08"/>
    <n v="770.36"/>
    <x v="8"/>
    <s v="Q4"/>
    <n v="2023"/>
    <x v="1"/>
  </r>
  <r>
    <x v="212"/>
    <x v="0"/>
    <x v="2"/>
    <x v="2"/>
    <n v="3"/>
    <n v="209.72"/>
    <s v="Male"/>
    <n v="3"/>
    <n v="350.38"/>
    <n v="-140.66"/>
    <x v="1"/>
    <s v="Q1"/>
    <n v="2022"/>
    <x v="1"/>
  </r>
  <r>
    <x v="458"/>
    <x v="2"/>
    <x v="4"/>
    <x v="17"/>
    <n v="50"/>
    <n v="10342.56"/>
    <s v="Female"/>
    <n v="4"/>
    <n v="7029.18"/>
    <n v="3313.38"/>
    <x v="8"/>
    <s v="Q4"/>
    <n v="2022"/>
    <x v="1"/>
  </r>
  <r>
    <x v="293"/>
    <x v="3"/>
    <x v="0"/>
    <x v="14"/>
    <n v="25"/>
    <n v="10630.78"/>
    <s v="Female"/>
    <n v="3"/>
    <n v="1285.3399999999999"/>
    <n v="9345.44"/>
    <x v="2"/>
    <s v="Q1"/>
    <n v="2022"/>
    <x v="1"/>
  </r>
  <r>
    <x v="512"/>
    <x v="1"/>
    <x v="2"/>
    <x v="2"/>
    <n v="26"/>
    <n v="8635.42"/>
    <s v="Female"/>
    <n v="4"/>
    <n v="5972.97"/>
    <n v="2662.45"/>
    <x v="1"/>
    <s v="Q1"/>
    <n v="2022"/>
    <x v="0"/>
  </r>
  <r>
    <x v="96"/>
    <x v="0"/>
    <x v="3"/>
    <x v="4"/>
    <n v="22"/>
    <n v="6690.67"/>
    <s v="Male"/>
    <n v="4"/>
    <n v="1808.93"/>
    <n v="4881.74"/>
    <x v="11"/>
    <s v="Q4"/>
    <n v="2023"/>
    <x v="1"/>
  </r>
  <r>
    <x v="237"/>
    <x v="4"/>
    <x v="2"/>
    <x v="16"/>
    <n v="21"/>
    <n v="502.68"/>
    <s v="Female"/>
    <n v="1"/>
    <n v="3893.2"/>
    <n v="-3390.52"/>
    <x v="7"/>
    <s v="Q3"/>
    <n v="2023"/>
    <x v="1"/>
  </r>
  <r>
    <x v="513"/>
    <x v="0"/>
    <x v="0"/>
    <x v="0"/>
    <n v="49"/>
    <n v="22687.119999999999"/>
    <s v="Male"/>
    <n v="2"/>
    <n v="1755.17"/>
    <n v="20931.95"/>
    <x v="5"/>
    <s v="Q1"/>
    <n v="2023"/>
    <x v="1"/>
  </r>
  <r>
    <x v="501"/>
    <x v="2"/>
    <x v="4"/>
    <x v="6"/>
    <n v="19"/>
    <n v="9266.41"/>
    <s v="Male"/>
    <n v="2"/>
    <n v="3218.8"/>
    <n v="6047.61"/>
    <x v="2"/>
    <s v="Q1"/>
    <n v="2022"/>
    <x v="2"/>
  </r>
  <r>
    <x v="87"/>
    <x v="3"/>
    <x v="4"/>
    <x v="10"/>
    <n v="41"/>
    <n v="9528.52"/>
    <s v="Female"/>
    <n v="3"/>
    <n v="2709.71"/>
    <n v="6818.81"/>
    <x v="9"/>
    <s v="Q3"/>
    <n v="2023"/>
    <x v="1"/>
  </r>
  <r>
    <x v="514"/>
    <x v="1"/>
    <x v="0"/>
    <x v="14"/>
    <n v="3"/>
    <n v="1135.6400000000001"/>
    <s v="Male"/>
    <n v="4"/>
    <n v="284.95999999999998"/>
    <n v="850.68"/>
    <x v="11"/>
    <s v="Q4"/>
    <n v="2022"/>
    <x v="1"/>
  </r>
  <r>
    <x v="515"/>
    <x v="1"/>
    <x v="2"/>
    <x v="7"/>
    <n v="49"/>
    <n v="11861.21"/>
    <s v="Male"/>
    <n v="2"/>
    <n v="7832.78"/>
    <n v="4028.43"/>
    <x v="0"/>
    <s v="Q2"/>
    <n v="2023"/>
    <x v="3"/>
  </r>
  <r>
    <x v="516"/>
    <x v="3"/>
    <x v="3"/>
    <x v="12"/>
    <n v="33"/>
    <n v="3557.57"/>
    <s v="Male"/>
    <n v="1"/>
    <n v="2198.34"/>
    <n v="1359.23"/>
    <x v="9"/>
    <s v="Q3"/>
    <n v="2023"/>
    <x v="2"/>
  </r>
  <r>
    <x v="109"/>
    <x v="2"/>
    <x v="4"/>
    <x v="10"/>
    <n v="9"/>
    <n v="3294.2"/>
    <s v="Male"/>
    <n v="1"/>
    <n v="1298.1400000000001"/>
    <n v="1996.06"/>
    <x v="10"/>
    <s v="Q3"/>
    <n v="2022"/>
    <x v="2"/>
  </r>
  <r>
    <x v="48"/>
    <x v="3"/>
    <x v="4"/>
    <x v="17"/>
    <n v="4"/>
    <n v="1451.26"/>
    <s v="Female"/>
    <n v="1"/>
    <n v="268.72000000000003"/>
    <n v="1182.54"/>
    <x v="8"/>
    <s v="Q4"/>
    <n v="2023"/>
    <x v="2"/>
  </r>
  <r>
    <x v="143"/>
    <x v="0"/>
    <x v="2"/>
    <x v="16"/>
    <n v="9"/>
    <n v="2402.13"/>
    <s v="Male"/>
    <n v="4"/>
    <n v="1102.45"/>
    <n v="1299.68"/>
    <x v="9"/>
    <s v="Q3"/>
    <n v="2023"/>
    <x v="1"/>
  </r>
  <r>
    <x v="498"/>
    <x v="4"/>
    <x v="2"/>
    <x v="2"/>
    <n v="47"/>
    <n v="22271.31"/>
    <s v="Male"/>
    <n v="4"/>
    <n v="9758.34"/>
    <n v="12512.97"/>
    <x v="5"/>
    <s v="Q1"/>
    <n v="2022"/>
    <x v="1"/>
  </r>
  <r>
    <x v="111"/>
    <x v="3"/>
    <x v="2"/>
    <x v="5"/>
    <n v="40"/>
    <n v="15984.63"/>
    <s v="Female"/>
    <n v="2"/>
    <n v="9929.2900000000009"/>
    <n v="6055.34"/>
    <x v="3"/>
    <s v="Q2"/>
    <n v="2022"/>
    <x v="3"/>
  </r>
  <r>
    <x v="517"/>
    <x v="3"/>
    <x v="2"/>
    <x v="2"/>
    <n v="20"/>
    <n v="8645.9"/>
    <s v="Male"/>
    <n v="3"/>
    <n v="4474.5"/>
    <n v="4171.3999999999996"/>
    <x v="2"/>
    <s v="Q1"/>
    <n v="2023"/>
    <x v="1"/>
  </r>
  <r>
    <x v="518"/>
    <x v="4"/>
    <x v="0"/>
    <x v="8"/>
    <n v="18"/>
    <n v="609.76"/>
    <s v="Female"/>
    <n v="1"/>
    <n v="2746.66"/>
    <n v="-2136.9"/>
    <x v="5"/>
    <s v="Q1"/>
    <n v="2022"/>
    <x v="1"/>
  </r>
  <r>
    <x v="275"/>
    <x v="3"/>
    <x v="4"/>
    <x v="10"/>
    <n v="48"/>
    <n v="18454.88"/>
    <s v="Female"/>
    <n v="4"/>
    <n v="4384.67"/>
    <n v="14070.21"/>
    <x v="9"/>
    <s v="Q3"/>
    <n v="2022"/>
    <x v="1"/>
  </r>
  <r>
    <x v="519"/>
    <x v="3"/>
    <x v="0"/>
    <x v="8"/>
    <n v="15"/>
    <n v="3153.43"/>
    <s v="Male"/>
    <n v="2"/>
    <n v="3433.46"/>
    <n v="-280.02999999999997"/>
    <x v="10"/>
    <s v="Q3"/>
    <n v="2023"/>
    <x v="3"/>
  </r>
  <r>
    <x v="196"/>
    <x v="1"/>
    <x v="2"/>
    <x v="7"/>
    <n v="46"/>
    <n v="11280.76"/>
    <s v="Female"/>
    <n v="5"/>
    <n v="7734.22"/>
    <n v="3546.54"/>
    <x v="1"/>
    <s v="Q1"/>
    <n v="2022"/>
    <x v="2"/>
  </r>
  <r>
    <x v="495"/>
    <x v="4"/>
    <x v="0"/>
    <x v="14"/>
    <n v="43"/>
    <n v="2894.24"/>
    <s v="Male"/>
    <n v="5"/>
    <n v="5478.36"/>
    <n v="-2584.12"/>
    <x v="1"/>
    <s v="Q1"/>
    <n v="2023"/>
    <x v="1"/>
  </r>
  <r>
    <x v="254"/>
    <x v="4"/>
    <x v="3"/>
    <x v="4"/>
    <n v="32"/>
    <n v="2986.36"/>
    <s v="Female"/>
    <n v="1"/>
    <n v="784.48"/>
    <n v="2201.88"/>
    <x v="1"/>
    <s v="Q1"/>
    <n v="2022"/>
    <x v="1"/>
  </r>
  <r>
    <x v="520"/>
    <x v="3"/>
    <x v="4"/>
    <x v="10"/>
    <n v="12"/>
    <n v="5278.83"/>
    <s v="Female"/>
    <n v="4"/>
    <n v="2897.28"/>
    <n v="2381.5500000000002"/>
    <x v="10"/>
    <s v="Q3"/>
    <n v="2023"/>
    <x v="2"/>
  </r>
  <r>
    <x v="259"/>
    <x v="1"/>
    <x v="0"/>
    <x v="13"/>
    <n v="49"/>
    <n v="12558.43"/>
    <s v="Male"/>
    <n v="2"/>
    <n v="7293.51"/>
    <n v="5264.92"/>
    <x v="11"/>
    <s v="Q4"/>
    <n v="2023"/>
    <x v="1"/>
  </r>
  <r>
    <x v="69"/>
    <x v="2"/>
    <x v="2"/>
    <x v="16"/>
    <n v="35"/>
    <n v="3511.5"/>
    <s v="Female"/>
    <n v="5"/>
    <n v="398.52"/>
    <n v="3112.98"/>
    <x v="3"/>
    <s v="Q2"/>
    <n v="2023"/>
    <x v="2"/>
  </r>
  <r>
    <x v="521"/>
    <x v="4"/>
    <x v="4"/>
    <x v="10"/>
    <n v="22"/>
    <n v="1300.31"/>
    <s v="Male"/>
    <n v="2"/>
    <n v="2067.5100000000002"/>
    <n v="-767.2"/>
    <x v="1"/>
    <s v="Q1"/>
    <n v="2023"/>
    <x v="1"/>
  </r>
  <r>
    <x v="237"/>
    <x v="2"/>
    <x v="1"/>
    <x v="9"/>
    <n v="43"/>
    <n v="10203.01"/>
    <s v="Male"/>
    <n v="1"/>
    <n v="10636.64"/>
    <n v="-433.63"/>
    <x v="7"/>
    <s v="Q3"/>
    <n v="2023"/>
    <x v="1"/>
  </r>
  <r>
    <x v="460"/>
    <x v="1"/>
    <x v="3"/>
    <x v="15"/>
    <n v="21"/>
    <n v="9472.16"/>
    <s v="Male"/>
    <n v="2"/>
    <n v="892.63"/>
    <n v="8579.5300000000007"/>
    <x v="6"/>
    <s v="Q4"/>
    <n v="2022"/>
    <x v="3"/>
  </r>
  <r>
    <x v="153"/>
    <x v="1"/>
    <x v="4"/>
    <x v="10"/>
    <n v="23"/>
    <n v="1690.93"/>
    <s v="Female"/>
    <n v="2"/>
    <n v="787.28"/>
    <n v="903.65"/>
    <x v="0"/>
    <s v="Q2"/>
    <n v="2023"/>
    <x v="1"/>
  </r>
  <r>
    <x v="522"/>
    <x v="4"/>
    <x v="3"/>
    <x v="12"/>
    <n v="26"/>
    <n v="2351.42"/>
    <s v="Female"/>
    <n v="5"/>
    <n v="1395.9"/>
    <n v="955.52"/>
    <x v="3"/>
    <s v="Q2"/>
    <n v="2023"/>
    <x v="2"/>
  </r>
  <r>
    <x v="469"/>
    <x v="3"/>
    <x v="3"/>
    <x v="12"/>
    <n v="47"/>
    <n v="10218.36"/>
    <s v="Female"/>
    <n v="4"/>
    <n v="11740.58"/>
    <n v="-1522.22"/>
    <x v="0"/>
    <s v="Q2"/>
    <n v="2023"/>
    <x v="2"/>
  </r>
  <r>
    <x v="247"/>
    <x v="0"/>
    <x v="0"/>
    <x v="13"/>
    <n v="36"/>
    <n v="13717.5"/>
    <s v="Male"/>
    <n v="4"/>
    <n v="7014.74"/>
    <n v="6702.76"/>
    <x v="1"/>
    <s v="Q1"/>
    <n v="2023"/>
    <x v="2"/>
  </r>
  <r>
    <x v="465"/>
    <x v="4"/>
    <x v="1"/>
    <x v="19"/>
    <n v="26"/>
    <n v="7040.83"/>
    <s v="Female"/>
    <n v="4"/>
    <n v="1547.08"/>
    <n v="5493.75"/>
    <x v="2"/>
    <s v="Q1"/>
    <n v="2022"/>
    <x v="1"/>
  </r>
  <r>
    <x v="269"/>
    <x v="2"/>
    <x v="0"/>
    <x v="13"/>
    <n v="17"/>
    <n v="1227.6600000000001"/>
    <s v="Female"/>
    <n v="1"/>
    <n v="2899.13"/>
    <n v="-1671.47"/>
    <x v="3"/>
    <s v="Q2"/>
    <n v="2022"/>
    <x v="1"/>
  </r>
  <r>
    <x v="364"/>
    <x v="2"/>
    <x v="4"/>
    <x v="18"/>
    <n v="22"/>
    <n v="5123.91"/>
    <s v="Female"/>
    <n v="4"/>
    <n v="3126.56"/>
    <n v="1997.35"/>
    <x v="0"/>
    <s v="Q2"/>
    <n v="2023"/>
    <x v="1"/>
  </r>
  <r>
    <x v="205"/>
    <x v="0"/>
    <x v="2"/>
    <x v="2"/>
    <n v="44"/>
    <n v="4967.92"/>
    <s v="Male"/>
    <n v="2"/>
    <n v="5834.46"/>
    <n v="-866.54"/>
    <x v="3"/>
    <s v="Q2"/>
    <n v="2023"/>
    <x v="1"/>
  </r>
  <r>
    <x v="324"/>
    <x v="1"/>
    <x v="2"/>
    <x v="7"/>
    <n v="31"/>
    <n v="14582.35"/>
    <s v="Female"/>
    <n v="3"/>
    <n v="832.68"/>
    <n v="13749.67"/>
    <x v="4"/>
    <s v="Q2"/>
    <n v="2023"/>
    <x v="2"/>
  </r>
  <r>
    <x v="59"/>
    <x v="1"/>
    <x v="4"/>
    <x v="17"/>
    <n v="42"/>
    <n v="16144.75"/>
    <s v="Female"/>
    <n v="2"/>
    <n v="3155.08"/>
    <n v="12989.67"/>
    <x v="7"/>
    <s v="Q3"/>
    <n v="2023"/>
    <x v="1"/>
  </r>
  <r>
    <x v="306"/>
    <x v="3"/>
    <x v="4"/>
    <x v="17"/>
    <n v="48"/>
    <n v="16227.88"/>
    <s v="Male"/>
    <n v="4"/>
    <n v="8999.23"/>
    <n v="7228.65"/>
    <x v="1"/>
    <s v="Q1"/>
    <n v="2022"/>
    <x v="0"/>
  </r>
  <r>
    <x v="193"/>
    <x v="2"/>
    <x v="3"/>
    <x v="15"/>
    <n v="50"/>
    <n v="18531.939999999999"/>
    <s v="Male"/>
    <n v="3"/>
    <n v="10529.39"/>
    <n v="8002.55"/>
    <x v="3"/>
    <s v="Q2"/>
    <n v="2023"/>
    <x v="0"/>
  </r>
  <r>
    <x v="387"/>
    <x v="4"/>
    <x v="3"/>
    <x v="4"/>
    <n v="2"/>
    <n v="289.76"/>
    <s v="Female"/>
    <n v="1"/>
    <n v="236.38"/>
    <n v="53.38"/>
    <x v="2"/>
    <s v="Q1"/>
    <n v="2022"/>
    <x v="1"/>
  </r>
  <r>
    <x v="523"/>
    <x v="4"/>
    <x v="0"/>
    <x v="8"/>
    <n v="24"/>
    <n v="3500.77"/>
    <s v="Female"/>
    <n v="3"/>
    <n v="1485.09"/>
    <n v="2015.68"/>
    <x v="1"/>
    <s v="Q1"/>
    <n v="2023"/>
    <x v="0"/>
  </r>
  <r>
    <x v="524"/>
    <x v="2"/>
    <x v="4"/>
    <x v="18"/>
    <n v="30"/>
    <n v="11838.27"/>
    <s v="Male"/>
    <n v="5"/>
    <n v="3283.25"/>
    <n v="8555.02"/>
    <x v="9"/>
    <s v="Q3"/>
    <n v="2023"/>
    <x v="0"/>
  </r>
  <r>
    <x v="525"/>
    <x v="0"/>
    <x v="0"/>
    <x v="13"/>
    <n v="37"/>
    <n v="10984.7"/>
    <s v="Male"/>
    <n v="5"/>
    <n v="3288.73"/>
    <n v="7695.97"/>
    <x v="1"/>
    <s v="Q1"/>
    <n v="2023"/>
    <x v="0"/>
  </r>
  <r>
    <x v="508"/>
    <x v="4"/>
    <x v="4"/>
    <x v="10"/>
    <n v="5"/>
    <n v="2127.59"/>
    <s v="Male"/>
    <n v="4"/>
    <n v="668.81"/>
    <n v="1458.78"/>
    <x v="10"/>
    <s v="Q3"/>
    <n v="2022"/>
    <x v="1"/>
  </r>
  <r>
    <x v="252"/>
    <x v="0"/>
    <x v="1"/>
    <x v="19"/>
    <n v="18"/>
    <n v="4859.24"/>
    <s v="Female"/>
    <n v="1"/>
    <n v="3775.51"/>
    <n v="1083.73"/>
    <x v="2"/>
    <s v="Q1"/>
    <n v="2022"/>
    <x v="1"/>
  </r>
  <r>
    <x v="333"/>
    <x v="1"/>
    <x v="0"/>
    <x v="8"/>
    <n v="21"/>
    <n v="8031.07"/>
    <s v="Male"/>
    <n v="5"/>
    <n v="4080.54"/>
    <n v="3950.53"/>
    <x v="0"/>
    <s v="Q2"/>
    <n v="2023"/>
    <x v="1"/>
  </r>
  <r>
    <x v="473"/>
    <x v="3"/>
    <x v="3"/>
    <x v="15"/>
    <n v="50"/>
    <n v="18721.560000000001"/>
    <s v="Female"/>
    <n v="1"/>
    <n v="5150.8"/>
    <n v="13570.76"/>
    <x v="8"/>
    <s v="Q4"/>
    <n v="2023"/>
    <x v="3"/>
  </r>
  <r>
    <x v="376"/>
    <x v="4"/>
    <x v="4"/>
    <x v="18"/>
    <n v="26"/>
    <n v="3457.66"/>
    <s v="Female"/>
    <n v="2"/>
    <n v="3629.35"/>
    <n v="-171.69"/>
    <x v="4"/>
    <s v="Q2"/>
    <n v="2022"/>
    <x v="1"/>
  </r>
  <r>
    <x v="34"/>
    <x v="1"/>
    <x v="4"/>
    <x v="18"/>
    <n v="50"/>
    <n v="2705.41"/>
    <s v="Female"/>
    <n v="4"/>
    <n v="8924.89"/>
    <n v="-6219.48"/>
    <x v="10"/>
    <s v="Q3"/>
    <n v="2022"/>
    <x v="1"/>
  </r>
  <r>
    <x v="426"/>
    <x v="0"/>
    <x v="3"/>
    <x v="15"/>
    <n v="17"/>
    <n v="361.63"/>
    <s v="Male"/>
    <n v="3"/>
    <n v="801"/>
    <n v="-439.37"/>
    <x v="3"/>
    <s v="Q2"/>
    <n v="2023"/>
    <x v="0"/>
  </r>
  <r>
    <x v="59"/>
    <x v="0"/>
    <x v="0"/>
    <x v="14"/>
    <n v="31"/>
    <n v="799.14"/>
    <s v="Female"/>
    <n v="2"/>
    <n v="2445.5300000000002"/>
    <n v="-1646.39"/>
    <x v="7"/>
    <s v="Q3"/>
    <n v="2023"/>
    <x v="0"/>
  </r>
  <r>
    <x v="174"/>
    <x v="0"/>
    <x v="3"/>
    <x v="12"/>
    <n v="47"/>
    <n v="8911.2999999999993"/>
    <s v="Female"/>
    <n v="4"/>
    <n v="2659.1"/>
    <n v="6252.2"/>
    <x v="9"/>
    <s v="Q3"/>
    <n v="2022"/>
    <x v="3"/>
  </r>
  <r>
    <x v="447"/>
    <x v="3"/>
    <x v="1"/>
    <x v="3"/>
    <n v="48"/>
    <n v="12174.62"/>
    <s v="Female"/>
    <n v="2"/>
    <n v="11009.71"/>
    <n v="1164.9100000000001"/>
    <x v="0"/>
    <s v="Q2"/>
    <n v="2023"/>
    <x v="0"/>
  </r>
  <r>
    <x v="526"/>
    <x v="1"/>
    <x v="4"/>
    <x v="17"/>
    <n v="23"/>
    <n v="7173.66"/>
    <s v="Male"/>
    <n v="4"/>
    <n v="3691.26"/>
    <n v="3482.4"/>
    <x v="6"/>
    <s v="Q4"/>
    <n v="2023"/>
    <x v="0"/>
  </r>
  <r>
    <x v="156"/>
    <x v="4"/>
    <x v="2"/>
    <x v="2"/>
    <n v="36"/>
    <n v="3054.92"/>
    <s v="Male"/>
    <n v="5"/>
    <n v="1229.96"/>
    <n v="1824.96"/>
    <x v="6"/>
    <s v="Q4"/>
    <n v="2023"/>
    <x v="2"/>
  </r>
  <r>
    <x v="451"/>
    <x v="1"/>
    <x v="0"/>
    <x v="13"/>
    <n v="4"/>
    <n v="1811.89"/>
    <s v="Male"/>
    <n v="3"/>
    <n v="491.22"/>
    <n v="1320.67"/>
    <x v="4"/>
    <s v="Q2"/>
    <n v="2022"/>
    <x v="0"/>
  </r>
  <r>
    <x v="42"/>
    <x v="3"/>
    <x v="3"/>
    <x v="4"/>
    <n v="40"/>
    <n v="14788.91"/>
    <s v="Female"/>
    <n v="5"/>
    <n v="4741.84"/>
    <n v="10047.07"/>
    <x v="0"/>
    <s v="Q2"/>
    <n v="2022"/>
    <x v="0"/>
  </r>
  <r>
    <x v="250"/>
    <x v="4"/>
    <x v="2"/>
    <x v="2"/>
    <n v="30"/>
    <n v="4863.8900000000003"/>
    <s v="Male"/>
    <n v="1"/>
    <n v="7462.81"/>
    <n v="-2598.92"/>
    <x v="8"/>
    <s v="Q4"/>
    <n v="2023"/>
    <x v="0"/>
  </r>
  <r>
    <x v="398"/>
    <x v="4"/>
    <x v="0"/>
    <x v="14"/>
    <n v="7"/>
    <n v="138.47999999999999"/>
    <s v="Male"/>
    <n v="1"/>
    <n v="966.54"/>
    <n v="-828.06"/>
    <x v="3"/>
    <s v="Q2"/>
    <n v="2023"/>
    <x v="0"/>
  </r>
  <r>
    <x v="92"/>
    <x v="1"/>
    <x v="3"/>
    <x v="11"/>
    <n v="3"/>
    <n v="721.01"/>
    <s v="Female"/>
    <n v="2"/>
    <n v="229.03"/>
    <n v="491.98"/>
    <x v="7"/>
    <s v="Q3"/>
    <n v="2022"/>
    <x v="2"/>
  </r>
  <r>
    <x v="527"/>
    <x v="0"/>
    <x v="1"/>
    <x v="1"/>
    <n v="40"/>
    <n v="3910.25"/>
    <s v="Female"/>
    <n v="1"/>
    <n v="5235.21"/>
    <n v="-1324.96"/>
    <x v="0"/>
    <s v="Q2"/>
    <n v="2022"/>
    <x v="3"/>
  </r>
  <r>
    <x v="135"/>
    <x v="4"/>
    <x v="2"/>
    <x v="5"/>
    <n v="23"/>
    <n v="6697.08"/>
    <s v="Female"/>
    <n v="2"/>
    <n v="2214.31"/>
    <n v="4482.7700000000004"/>
    <x v="5"/>
    <s v="Q1"/>
    <n v="2022"/>
    <x v="3"/>
  </r>
  <r>
    <x v="306"/>
    <x v="0"/>
    <x v="0"/>
    <x v="14"/>
    <n v="25"/>
    <n v="10356.08"/>
    <s v="Female"/>
    <n v="2"/>
    <n v="1793.65"/>
    <n v="8562.43"/>
    <x v="1"/>
    <s v="Q1"/>
    <n v="2022"/>
    <x v="3"/>
  </r>
  <r>
    <x v="528"/>
    <x v="0"/>
    <x v="1"/>
    <x v="3"/>
    <n v="39"/>
    <n v="5627.53"/>
    <s v="Female"/>
    <n v="2"/>
    <n v="768.93"/>
    <n v="4858.6000000000004"/>
    <x v="10"/>
    <s v="Q3"/>
    <n v="2023"/>
    <x v="0"/>
  </r>
  <r>
    <x v="529"/>
    <x v="0"/>
    <x v="4"/>
    <x v="18"/>
    <n v="31"/>
    <n v="3498.41"/>
    <s v="Male"/>
    <n v="4"/>
    <n v="3798.96"/>
    <n v="-300.55"/>
    <x v="7"/>
    <s v="Q3"/>
    <n v="2023"/>
    <x v="3"/>
  </r>
  <r>
    <x v="320"/>
    <x v="2"/>
    <x v="1"/>
    <x v="9"/>
    <n v="47"/>
    <n v="4267.21"/>
    <s v="Female"/>
    <n v="2"/>
    <n v="10256.59"/>
    <n v="-5989.38"/>
    <x v="0"/>
    <s v="Q2"/>
    <n v="2022"/>
    <x v="0"/>
  </r>
  <r>
    <x v="139"/>
    <x v="4"/>
    <x v="3"/>
    <x v="15"/>
    <n v="30"/>
    <n v="14753.36"/>
    <s v="Female"/>
    <n v="3"/>
    <n v="4201.8900000000003"/>
    <n v="10551.47"/>
    <x v="4"/>
    <s v="Q2"/>
    <n v="2023"/>
    <x v="2"/>
  </r>
  <r>
    <x v="487"/>
    <x v="2"/>
    <x v="2"/>
    <x v="16"/>
    <n v="42"/>
    <n v="19058.66"/>
    <s v="Female"/>
    <n v="2"/>
    <n v="265.3"/>
    <n v="18793.36"/>
    <x v="2"/>
    <s v="Q1"/>
    <n v="2023"/>
    <x v="0"/>
  </r>
  <r>
    <x v="530"/>
    <x v="1"/>
    <x v="1"/>
    <x v="1"/>
    <n v="31"/>
    <n v="13350.77"/>
    <s v="Female"/>
    <n v="3"/>
    <n v="3375.31"/>
    <n v="9975.4599999999991"/>
    <x v="3"/>
    <s v="Q2"/>
    <n v="2022"/>
    <x v="0"/>
  </r>
  <r>
    <x v="12"/>
    <x v="1"/>
    <x v="1"/>
    <x v="19"/>
    <n v="16"/>
    <n v="4442.4399999999996"/>
    <s v="Female"/>
    <n v="5"/>
    <n v="1792.94"/>
    <n v="2649.5"/>
    <x v="4"/>
    <s v="Q2"/>
    <n v="2023"/>
    <x v="0"/>
  </r>
  <r>
    <x v="387"/>
    <x v="3"/>
    <x v="4"/>
    <x v="17"/>
    <n v="49"/>
    <n v="23633.39"/>
    <s v="Female"/>
    <n v="1"/>
    <n v="2516.1"/>
    <n v="21117.29"/>
    <x v="2"/>
    <s v="Q1"/>
    <n v="2022"/>
    <x v="0"/>
  </r>
  <r>
    <x v="531"/>
    <x v="0"/>
    <x v="3"/>
    <x v="12"/>
    <n v="2"/>
    <n v="82.07"/>
    <s v="Female"/>
    <n v="3"/>
    <n v="473.59"/>
    <n v="-391.52"/>
    <x v="11"/>
    <s v="Q4"/>
    <n v="2023"/>
    <x v="3"/>
  </r>
  <r>
    <x v="268"/>
    <x v="0"/>
    <x v="4"/>
    <x v="18"/>
    <n v="27"/>
    <n v="7702.07"/>
    <s v="Female"/>
    <n v="4"/>
    <n v="3624"/>
    <n v="4078.07"/>
    <x v="11"/>
    <s v="Q4"/>
    <n v="2022"/>
    <x v="3"/>
  </r>
  <r>
    <x v="329"/>
    <x v="0"/>
    <x v="2"/>
    <x v="5"/>
    <n v="4"/>
    <n v="1268.6500000000001"/>
    <s v="Female"/>
    <n v="1"/>
    <n v="985.95"/>
    <n v="282.7"/>
    <x v="3"/>
    <s v="Q2"/>
    <n v="2022"/>
    <x v="1"/>
  </r>
  <r>
    <x v="36"/>
    <x v="2"/>
    <x v="0"/>
    <x v="0"/>
    <n v="23"/>
    <n v="5752.08"/>
    <s v="Male"/>
    <n v="1"/>
    <n v="5169.25"/>
    <n v="582.83000000000004"/>
    <x v="9"/>
    <s v="Q3"/>
    <n v="2023"/>
    <x v="1"/>
  </r>
  <r>
    <x v="326"/>
    <x v="0"/>
    <x v="4"/>
    <x v="18"/>
    <n v="20"/>
    <n v="6549.89"/>
    <s v="Female"/>
    <n v="3"/>
    <n v="3335.03"/>
    <n v="3214.86"/>
    <x v="7"/>
    <s v="Q3"/>
    <n v="2023"/>
    <x v="1"/>
  </r>
  <r>
    <x v="532"/>
    <x v="3"/>
    <x v="0"/>
    <x v="8"/>
    <n v="28"/>
    <n v="10397.34"/>
    <s v="Female"/>
    <n v="5"/>
    <n v="5807.82"/>
    <n v="4589.5200000000004"/>
    <x v="0"/>
    <s v="Q2"/>
    <n v="2022"/>
    <x v="3"/>
  </r>
  <r>
    <x v="218"/>
    <x v="3"/>
    <x v="0"/>
    <x v="13"/>
    <n v="28"/>
    <n v="11714.86"/>
    <s v="Female"/>
    <n v="2"/>
    <n v="4487.0600000000004"/>
    <n v="7227.8"/>
    <x v="3"/>
    <s v="Q2"/>
    <n v="2022"/>
    <x v="2"/>
  </r>
  <r>
    <x v="331"/>
    <x v="3"/>
    <x v="0"/>
    <x v="0"/>
    <n v="18"/>
    <n v="7868.81"/>
    <s v="Female"/>
    <n v="5"/>
    <n v="4352.1499999999996"/>
    <n v="3516.66"/>
    <x v="8"/>
    <s v="Q4"/>
    <n v="2022"/>
    <x v="0"/>
  </r>
  <r>
    <x v="3"/>
    <x v="0"/>
    <x v="2"/>
    <x v="7"/>
    <n v="19"/>
    <n v="7308.82"/>
    <s v="Male"/>
    <n v="4"/>
    <n v="4636.97"/>
    <n v="2671.85"/>
    <x v="2"/>
    <s v="Q1"/>
    <n v="2023"/>
    <x v="1"/>
  </r>
  <r>
    <x v="246"/>
    <x v="4"/>
    <x v="4"/>
    <x v="18"/>
    <n v="5"/>
    <n v="2489.7199999999998"/>
    <s v="Female"/>
    <n v="3"/>
    <n v="994.17"/>
    <n v="1495.55"/>
    <x v="11"/>
    <s v="Q4"/>
    <n v="2022"/>
    <x v="1"/>
  </r>
  <r>
    <x v="533"/>
    <x v="0"/>
    <x v="0"/>
    <x v="14"/>
    <n v="33"/>
    <n v="11721.75"/>
    <s v="Male"/>
    <n v="4"/>
    <n v="3380.36"/>
    <n v="8341.39"/>
    <x v="6"/>
    <s v="Q4"/>
    <n v="2022"/>
    <x v="1"/>
  </r>
  <r>
    <x v="351"/>
    <x v="1"/>
    <x v="4"/>
    <x v="17"/>
    <n v="20"/>
    <n v="7175.33"/>
    <s v="Male"/>
    <n v="2"/>
    <n v="1863.28"/>
    <n v="5312.05"/>
    <x v="11"/>
    <s v="Q4"/>
    <n v="2022"/>
    <x v="1"/>
  </r>
  <r>
    <x v="62"/>
    <x v="2"/>
    <x v="2"/>
    <x v="2"/>
    <n v="1"/>
    <n v="111.56"/>
    <s v="Female"/>
    <n v="2"/>
    <n v="63.34"/>
    <n v="48.22"/>
    <x v="10"/>
    <s v="Q3"/>
    <n v="2022"/>
    <x v="1"/>
  </r>
  <r>
    <x v="288"/>
    <x v="0"/>
    <x v="0"/>
    <x v="13"/>
    <n v="38"/>
    <n v="15792.22"/>
    <s v="Male"/>
    <n v="4"/>
    <n v="6138.79"/>
    <n v="9653.43"/>
    <x v="11"/>
    <s v="Q4"/>
    <n v="2022"/>
    <x v="3"/>
  </r>
  <r>
    <x v="295"/>
    <x v="2"/>
    <x v="2"/>
    <x v="5"/>
    <n v="43"/>
    <n v="9805.51"/>
    <s v="Female"/>
    <n v="2"/>
    <n v="4372.26"/>
    <n v="5433.25"/>
    <x v="10"/>
    <s v="Q3"/>
    <n v="2023"/>
    <x v="1"/>
  </r>
  <r>
    <x v="389"/>
    <x v="0"/>
    <x v="2"/>
    <x v="2"/>
    <n v="5"/>
    <n v="1089.02"/>
    <s v="Male"/>
    <n v="5"/>
    <n v="1249.1099999999999"/>
    <n v="-160.09"/>
    <x v="2"/>
    <s v="Q1"/>
    <n v="2023"/>
    <x v="1"/>
  </r>
  <r>
    <x v="534"/>
    <x v="1"/>
    <x v="3"/>
    <x v="11"/>
    <n v="25"/>
    <n v="5042.28"/>
    <s v="Female"/>
    <n v="1"/>
    <n v="5420.93"/>
    <n v="-378.65"/>
    <x v="5"/>
    <s v="Q1"/>
    <n v="2022"/>
    <x v="3"/>
  </r>
  <r>
    <x v="535"/>
    <x v="1"/>
    <x v="0"/>
    <x v="14"/>
    <n v="23"/>
    <n v="6883.35"/>
    <s v="Female"/>
    <n v="3"/>
    <n v="5510.43"/>
    <n v="1372.92"/>
    <x v="10"/>
    <s v="Q3"/>
    <n v="2023"/>
    <x v="1"/>
  </r>
  <r>
    <x v="488"/>
    <x v="0"/>
    <x v="4"/>
    <x v="18"/>
    <n v="5"/>
    <n v="1173.3399999999999"/>
    <s v="Female"/>
    <n v="5"/>
    <n v="306.41000000000003"/>
    <n v="866.93"/>
    <x v="3"/>
    <s v="Q2"/>
    <n v="2022"/>
    <x v="1"/>
  </r>
  <r>
    <x v="61"/>
    <x v="3"/>
    <x v="4"/>
    <x v="10"/>
    <n v="2"/>
    <n v="510.51"/>
    <s v="Female"/>
    <n v="2"/>
    <n v="487.66"/>
    <n v="22.85"/>
    <x v="0"/>
    <s v="Q2"/>
    <n v="2022"/>
    <x v="1"/>
  </r>
  <r>
    <x v="536"/>
    <x v="0"/>
    <x v="4"/>
    <x v="10"/>
    <n v="33"/>
    <n v="15609.57"/>
    <s v="Male"/>
    <n v="4"/>
    <n v="4223.3"/>
    <n v="11386.27"/>
    <x v="8"/>
    <s v="Q4"/>
    <n v="2023"/>
    <x v="1"/>
  </r>
  <r>
    <x v="452"/>
    <x v="0"/>
    <x v="3"/>
    <x v="4"/>
    <n v="49"/>
    <n v="11717.47"/>
    <s v="Male"/>
    <n v="5"/>
    <n v="7450.45"/>
    <n v="4267.0200000000004"/>
    <x v="0"/>
    <s v="Q2"/>
    <n v="2023"/>
    <x v="1"/>
  </r>
  <r>
    <x v="537"/>
    <x v="0"/>
    <x v="0"/>
    <x v="8"/>
    <n v="20"/>
    <n v="5477.62"/>
    <s v="Male"/>
    <n v="1"/>
    <n v="1564.07"/>
    <n v="3913.55"/>
    <x v="7"/>
    <s v="Q3"/>
    <n v="2022"/>
    <x v="1"/>
  </r>
  <r>
    <x v="151"/>
    <x v="4"/>
    <x v="3"/>
    <x v="4"/>
    <n v="20"/>
    <n v="7006.51"/>
    <s v="Male"/>
    <n v="1"/>
    <n v="1385.56"/>
    <n v="5620.95"/>
    <x v="6"/>
    <s v="Q4"/>
    <n v="2022"/>
    <x v="0"/>
  </r>
  <r>
    <x v="536"/>
    <x v="4"/>
    <x v="0"/>
    <x v="8"/>
    <n v="31"/>
    <n v="7045.2"/>
    <s v="Male"/>
    <n v="2"/>
    <n v="5083.8"/>
    <n v="1961.4"/>
    <x v="8"/>
    <s v="Q4"/>
    <n v="2023"/>
    <x v="0"/>
  </r>
  <r>
    <x v="236"/>
    <x v="4"/>
    <x v="0"/>
    <x v="8"/>
    <n v="32"/>
    <n v="14350.41"/>
    <s v="Female"/>
    <n v="3"/>
    <n v="1928.95"/>
    <n v="12421.46"/>
    <x v="8"/>
    <s v="Q4"/>
    <n v="2022"/>
    <x v="1"/>
  </r>
  <r>
    <x v="153"/>
    <x v="2"/>
    <x v="1"/>
    <x v="3"/>
    <n v="7"/>
    <n v="1359.3"/>
    <s v="Female"/>
    <n v="4"/>
    <n v="1462.27"/>
    <n v="-102.97"/>
    <x v="0"/>
    <s v="Q2"/>
    <n v="2023"/>
    <x v="0"/>
  </r>
  <r>
    <x v="135"/>
    <x v="1"/>
    <x v="1"/>
    <x v="3"/>
    <n v="10"/>
    <n v="4114.22"/>
    <s v="Female"/>
    <n v="3"/>
    <n v="863.24"/>
    <n v="3250.98"/>
    <x v="5"/>
    <s v="Q1"/>
    <n v="2022"/>
    <x v="1"/>
  </r>
  <r>
    <x v="398"/>
    <x v="1"/>
    <x v="0"/>
    <x v="14"/>
    <n v="32"/>
    <n v="15402.72"/>
    <s v="Female"/>
    <n v="5"/>
    <n v="3272.23"/>
    <n v="12130.49"/>
    <x v="3"/>
    <s v="Q2"/>
    <n v="2023"/>
    <x v="0"/>
  </r>
  <r>
    <x v="452"/>
    <x v="2"/>
    <x v="4"/>
    <x v="17"/>
    <n v="37"/>
    <n v="824.54"/>
    <s v="Male"/>
    <n v="3"/>
    <n v="8656.7800000000007"/>
    <n v="-7832.24"/>
    <x v="0"/>
    <s v="Q2"/>
    <n v="2023"/>
    <x v="1"/>
  </r>
  <r>
    <x v="26"/>
    <x v="4"/>
    <x v="3"/>
    <x v="11"/>
    <n v="11"/>
    <n v="5087.3999999999996"/>
    <s v="Male"/>
    <n v="4"/>
    <n v="368.14"/>
    <n v="4719.26"/>
    <x v="9"/>
    <s v="Q3"/>
    <n v="2022"/>
    <x v="0"/>
  </r>
  <r>
    <x v="411"/>
    <x v="1"/>
    <x v="3"/>
    <x v="12"/>
    <n v="34"/>
    <n v="7974.36"/>
    <s v="Female"/>
    <n v="5"/>
    <n v="2404.7800000000002"/>
    <n v="5569.58"/>
    <x v="5"/>
    <s v="Q1"/>
    <n v="2022"/>
    <x v="1"/>
  </r>
  <r>
    <x v="273"/>
    <x v="1"/>
    <x v="2"/>
    <x v="16"/>
    <n v="34"/>
    <n v="7516.37"/>
    <s v="Female"/>
    <n v="2"/>
    <n v="2204.7399999999998"/>
    <n v="5311.63"/>
    <x v="8"/>
    <s v="Q4"/>
    <n v="2022"/>
    <x v="0"/>
  </r>
  <r>
    <x v="79"/>
    <x v="2"/>
    <x v="4"/>
    <x v="10"/>
    <n v="2"/>
    <n v="454.83"/>
    <s v="Male"/>
    <n v="1"/>
    <n v="82.76"/>
    <n v="372.07"/>
    <x v="9"/>
    <s v="Q3"/>
    <n v="2022"/>
    <x v="0"/>
  </r>
  <r>
    <x v="506"/>
    <x v="1"/>
    <x v="3"/>
    <x v="11"/>
    <n v="37"/>
    <n v="12987.09"/>
    <s v="Male"/>
    <n v="1"/>
    <n v="8394.84"/>
    <n v="4592.25"/>
    <x v="3"/>
    <s v="Q2"/>
    <n v="2022"/>
    <x v="0"/>
  </r>
  <r>
    <x v="288"/>
    <x v="1"/>
    <x v="2"/>
    <x v="2"/>
    <n v="37"/>
    <n v="17920.830000000002"/>
    <s v="Male"/>
    <n v="3"/>
    <n v="6236.66"/>
    <n v="11684.17"/>
    <x v="11"/>
    <s v="Q4"/>
    <n v="2022"/>
    <x v="1"/>
  </r>
  <r>
    <x v="110"/>
    <x v="0"/>
    <x v="2"/>
    <x v="5"/>
    <n v="42"/>
    <n v="12225.24"/>
    <s v="Female"/>
    <n v="1"/>
    <n v="7869.39"/>
    <n v="4355.8500000000004"/>
    <x v="4"/>
    <s v="Q2"/>
    <n v="2022"/>
    <x v="1"/>
  </r>
  <r>
    <x v="538"/>
    <x v="4"/>
    <x v="1"/>
    <x v="3"/>
    <n v="30"/>
    <n v="6117.88"/>
    <s v="Female"/>
    <n v="5"/>
    <n v="3612.15"/>
    <n v="2505.73"/>
    <x v="1"/>
    <s v="Q1"/>
    <n v="2022"/>
    <x v="1"/>
  </r>
  <r>
    <x v="501"/>
    <x v="4"/>
    <x v="4"/>
    <x v="10"/>
    <n v="16"/>
    <n v="3125.23"/>
    <s v="Male"/>
    <n v="3"/>
    <n v="2414.69"/>
    <n v="710.54"/>
    <x v="2"/>
    <s v="Q1"/>
    <n v="2022"/>
    <x v="1"/>
  </r>
  <r>
    <x v="539"/>
    <x v="2"/>
    <x v="2"/>
    <x v="7"/>
    <n v="28"/>
    <n v="6188.69"/>
    <s v="Male"/>
    <n v="4"/>
    <n v="1222.9000000000001"/>
    <n v="4965.79"/>
    <x v="6"/>
    <s v="Q4"/>
    <n v="2022"/>
    <x v="1"/>
  </r>
  <r>
    <x v="120"/>
    <x v="4"/>
    <x v="4"/>
    <x v="10"/>
    <n v="32"/>
    <n v="2850.4"/>
    <s v="Female"/>
    <n v="1"/>
    <n v="4429.33"/>
    <n v="-1578.93"/>
    <x v="3"/>
    <s v="Q2"/>
    <n v="2023"/>
    <x v="1"/>
  </r>
  <r>
    <x v="137"/>
    <x v="0"/>
    <x v="2"/>
    <x v="7"/>
    <n v="20"/>
    <n v="531.72"/>
    <s v="Male"/>
    <n v="4"/>
    <n v="911.58"/>
    <n v="-379.86"/>
    <x v="1"/>
    <s v="Q1"/>
    <n v="2023"/>
    <x v="1"/>
  </r>
  <r>
    <x v="21"/>
    <x v="4"/>
    <x v="1"/>
    <x v="9"/>
    <n v="3"/>
    <n v="1032.76"/>
    <s v="Female"/>
    <n v="4"/>
    <n v="182.71"/>
    <n v="850.05"/>
    <x v="0"/>
    <s v="Q2"/>
    <n v="2023"/>
    <x v="1"/>
  </r>
  <r>
    <x v="540"/>
    <x v="3"/>
    <x v="2"/>
    <x v="5"/>
    <n v="32"/>
    <n v="11367.02"/>
    <s v="Male"/>
    <n v="5"/>
    <n v="7586.18"/>
    <n v="3780.84"/>
    <x v="1"/>
    <s v="Q1"/>
    <n v="2022"/>
    <x v="1"/>
  </r>
  <r>
    <x v="483"/>
    <x v="0"/>
    <x v="1"/>
    <x v="9"/>
    <n v="40"/>
    <n v="11784.26"/>
    <s v="Male"/>
    <n v="1"/>
    <n v="7292.79"/>
    <n v="4491.47"/>
    <x v="0"/>
    <s v="Q2"/>
    <n v="2022"/>
    <x v="2"/>
  </r>
  <r>
    <x v="541"/>
    <x v="4"/>
    <x v="2"/>
    <x v="16"/>
    <n v="21"/>
    <n v="5966.9"/>
    <s v="Male"/>
    <n v="4"/>
    <n v="3965.33"/>
    <n v="2001.57"/>
    <x v="2"/>
    <s v="Q1"/>
    <n v="2023"/>
    <x v="1"/>
  </r>
  <r>
    <x v="486"/>
    <x v="3"/>
    <x v="3"/>
    <x v="15"/>
    <n v="15"/>
    <n v="2410.52"/>
    <s v="Female"/>
    <n v="4"/>
    <n v="1688.78"/>
    <n v="721.74"/>
    <x v="6"/>
    <s v="Q4"/>
    <n v="2023"/>
    <x v="1"/>
  </r>
  <r>
    <x v="38"/>
    <x v="2"/>
    <x v="4"/>
    <x v="6"/>
    <n v="19"/>
    <n v="8774.7199999999993"/>
    <s v="Male"/>
    <n v="3"/>
    <n v="4106.05"/>
    <n v="4668.67"/>
    <x v="7"/>
    <s v="Q3"/>
    <n v="2022"/>
    <x v="1"/>
  </r>
  <r>
    <x v="210"/>
    <x v="3"/>
    <x v="1"/>
    <x v="19"/>
    <n v="32"/>
    <n v="12943.02"/>
    <s v="Male"/>
    <n v="1"/>
    <n v="7525.28"/>
    <n v="5417.74"/>
    <x v="1"/>
    <s v="Q1"/>
    <n v="2023"/>
    <x v="0"/>
  </r>
  <r>
    <x v="394"/>
    <x v="3"/>
    <x v="4"/>
    <x v="17"/>
    <n v="48"/>
    <n v="23632.07"/>
    <s v="Female"/>
    <n v="2"/>
    <n v="6568.97"/>
    <n v="17063.099999999999"/>
    <x v="11"/>
    <s v="Q4"/>
    <n v="2022"/>
    <x v="0"/>
  </r>
  <r>
    <x v="170"/>
    <x v="2"/>
    <x v="2"/>
    <x v="7"/>
    <n v="2"/>
    <n v="358.99"/>
    <s v="Male"/>
    <n v="5"/>
    <n v="354.5"/>
    <n v="4.49"/>
    <x v="3"/>
    <s v="Q2"/>
    <n v="2022"/>
    <x v="0"/>
  </r>
  <r>
    <x v="132"/>
    <x v="0"/>
    <x v="0"/>
    <x v="0"/>
    <n v="28"/>
    <n v="13776.56"/>
    <s v="Male"/>
    <n v="4"/>
    <n v="1737.64"/>
    <n v="12038.92"/>
    <x v="2"/>
    <s v="Q1"/>
    <n v="2023"/>
    <x v="3"/>
  </r>
  <r>
    <x v="279"/>
    <x v="1"/>
    <x v="4"/>
    <x v="10"/>
    <n v="41"/>
    <n v="8695.9500000000007"/>
    <s v="Male"/>
    <n v="1"/>
    <n v="3253.67"/>
    <n v="5442.28"/>
    <x v="6"/>
    <s v="Q4"/>
    <n v="2023"/>
    <x v="3"/>
  </r>
  <r>
    <x v="50"/>
    <x v="4"/>
    <x v="2"/>
    <x v="5"/>
    <n v="21"/>
    <n v="8545.09"/>
    <s v="Female"/>
    <n v="5"/>
    <n v="2839.67"/>
    <n v="5705.42"/>
    <x v="1"/>
    <s v="Q1"/>
    <n v="2022"/>
    <x v="3"/>
  </r>
  <r>
    <x v="125"/>
    <x v="2"/>
    <x v="0"/>
    <x v="13"/>
    <n v="15"/>
    <n v="5853.05"/>
    <s v="Male"/>
    <n v="2"/>
    <n v="1504.72"/>
    <n v="4348.33"/>
    <x v="1"/>
    <s v="Q1"/>
    <n v="2022"/>
    <x v="1"/>
  </r>
  <r>
    <x v="482"/>
    <x v="3"/>
    <x v="2"/>
    <x v="5"/>
    <n v="14"/>
    <n v="1663.47"/>
    <s v="Male"/>
    <n v="2"/>
    <n v="2838.89"/>
    <n v="-1175.42"/>
    <x v="7"/>
    <s v="Q3"/>
    <n v="2022"/>
    <x v="1"/>
  </r>
  <r>
    <x v="29"/>
    <x v="2"/>
    <x v="1"/>
    <x v="9"/>
    <n v="5"/>
    <n v="1611.85"/>
    <s v="Male"/>
    <n v="1"/>
    <n v="618.09"/>
    <n v="993.76"/>
    <x v="9"/>
    <s v="Q3"/>
    <n v="2023"/>
    <x v="1"/>
  </r>
  <r>
    <x v="503"/>
    <x v="2"/>
    <x v="3"/>
    <x v="4"/>
    <n v="3"/>
    <n v="1265.42"/>
    <s v="Female"/>
    <n v="3"/>
    <n v="262.62"/>
    <n v="1002.8"/>
    <x v="10"/>
    <s v="Q3"/>
    <n v="2023"/>
    <x v="1"/>
  </r>
  <r>
    <x v="202"/>
    <x v="3"/>
    <x v="3"/>
    <x v="12"/>
    <n v="19"/>
    <n v="4571.01"/>
    <s v="Female"/>
    <n v="4"/>
    <n v="867.14"/>
    <n v="3703.87"/>
    <x v="8"/>
    <s v="Q4"/>
    <n v="2022"/>
    <x v="1"/>
  </r>
  <r>
    <x v="308"/>
    <x v="3"/>
    <x v="3"/>
    <x v="4"/>
    <n v="39"/>
    <n v="16799.560000000001"/>
    <s v="Male"/>
    <n v="1"/>
    <n v="5654.36"/>
    <n v="11145.2"/>
    <x v="5"/>
    <s v="Q1"/>
    <n v="2022"/>
    <x v="1"/>
  </r>
  <r>
    <x v="454"/>
    <x v="2"/>
    <x v="4"/>
    <x v="10"/>
    <n v="5"/>
    <n v="2276.17"/>
    <s v="Female"/>
    <n v="1"/>
    <n v="954.9"/>
    <n v="1321.27"/>
    <x v="3"/>
    <s v="Q2"/>
    <n v="2022"/>
    <x v="3"/>
  </r>
  <r>
    <x v="409"/>
    <x v="1"/>
    <x v="2"/>
    <x v="16"/>
    <n v="17"/>
    <n v="6605.61"/>
    <s v="Male"/>
    <n v="4"/>
    <n v="905.45"/>
    <n v="5700.16"/>
    <x v="2"/>
    <s v="Q1"/>
    <n v="2022"/>
    <x v="3"/>
  </r>
  <r>
    <x v="542"/>
    <x v="0"/>
    <x v="4"/>
    <x v="18"/>
    <n v="40"/>
    <n v="13180.49"/>
    <s v="Male"/>
    <n v="4"/>
    <n v="1661.44"/>
    <n v="11519.05"/>
    <x v="4"/>
    <s v="Q2"/>
    <n v="2023"/>
    <x v="3"/>
  </r>
  <r>
    <x v="312"/>
    <x v="0"/>
    <x v="3"/>
    <x v="11"/>
    <n v="46"/>
    <n v="20641.73"/>
    <s v="Female"/>
    <n v="5"/>
    <n v="10354.959999999999"/>
    <n v="10286.77"/>
    <x v="1"/>
    <s v="Q1"/>
    <n v="2023"/>
    <x v="1"/>
  </r>
  <r>
    <x v="302"/>
    <x v="3"/>
    <x v="3"/>
    <x v="15"/>
    <n v="8"/>
    <n v="1414.24"/>
    <s v="Female"/>
    <n v="2"/>
    <n v="780.04"/>
    <n v="634.20000000000005"/>
    <x v="2"/>
    <s v="Q1"/>
    <n v="2022"/>
    <x v="3"/>
  </r>
  <r>
    <x v="312"/>
    <x v="2"/>
    <x v="2"/>
    <x v="16"/>
    <n v="45"/>
    <n v="17441.099999999999"/>
    <s v="Male"/>
    <n v="1"/>
    <n v="3149.94"/>
    <n v="14291.16"/>
    <x v="1"/>
    <s v="Q1"/>
    <n v="2023"/>
    <x v="1"/>
  </r>
  <r>
    <x v="63"/>
    <x v="2"/>
    <x v="4"/>
    <x v="18"/>
    <n v="15"/>
    <n v="2848.03"/>
    <s v="Male"/>
    <n v="5"/>
    <n v="1832.47"/>
    <n v="1015.56"/>
    <x v="10"/>
    <s v="Q3"/>
    <n v="2023"/>
    <x v="1"/>
  </r>
  <r>
    <x v="384"/>
    <x v="3"/>
    <x v="4"/>
    <x v="6"/>
    <n v="14"/>
    <n v="5464.82"/>
    <s v="Male"/>
    <n v="1"/>
    <n v="1665.62"/>
    <n v="3799.2"/>
    <x v="9"/>
    <s v="Q3"/>
    <n v="2022"/>
    <x v="2"/>
  </r>
  <r>
    <x v="198"/>
    <x v="4"/>
    <x v="1"/>
    <x v="9"/>
    <n v="30"/>
    <n v="13184.63"/>
    <s v="Male"/>
    <n v="1"/>
    <n v="4568.04"/>
    <n v="8616.59"/>
    <x v="3"/>
    <s v="Q2"/>
    <n v="2022"/>
    <x v="0"/>
  </r>
  <r>
    <x v="154"/>
    <x v="1"/>
    <x v="3"/>
    <x v="11"/>
    <n v="18"/>
    <n v="4005.76"/>
    <s v="Female"/>
    <n v="1"/>
    <n v="3064.66"/>
    <n v="941.1"/>
    <x v="10"/>
    <s v="Q3"/>
    <n v="2023"/>
    <x v="1"/>
  </r>
  <r>
    <x v="543"/>
    <x v="2"/>
    <x v="3"/>
    <x v="4"/>
    <n v="48"/>
    <n v="933.79"/>
    <s v="Female"/>
    <n v="2"/>
    <n v="1245.8900000000001"/>
    <n v="-312.10000000000002"/>
    <x v="0"/>
    <s v="Q2"/>
    <n v="2023"/>
    <x v="1"/>
  </r>
  <r>
    <x v="369"/>
    <x v="3"/>
    <x v="0"/>
    <x v="14"/>
    <n v="36"/>
    <n v="3427.33"/>
    <s v="Female"/>
    <n v="1"/>
    <n v="7811.09"/>
    <n v="-4383.76"/>
    <x v="1"/>
    <s v="Q1"/>
    <n v="2023"/>
    <x v="1"/>
  </r>
  <r>
    <x v="156"/>
    <x v="2"/>
    <x v="1"/>
    <x v="9"/>
    <n v="26"/>
    <n v="4982.3500000000004"/>
    <s v="Male"/>
    <n v="4"/>
    <n v="1170.18"/>
    <n v="3812.17"/>
    <x v="6"/>
    <s v="Q4"/>
    <n v="2023"/>
    <x v="1"/>
  </r>
  <r>
    <x v="140"/>
    <x v="0"/>
    <x v="4"/>
    <x v="10"/>
    <n v="22"/>
    <n v="2061.34"/>
    <s v="Male"/>
    <n v="1"/>
    <n v="3391.68"/>
    <n v="-1330.34"/>
    <x v="4"/>
    <s v="Q2"/>
    <n v="2022"/>
    <x v="1"/>
  </r>
  <r>
    <x v="544"/>
    <x v="2"/>
    <x v="1"/>
    <x v="19"/>
    <n v="16"/>
    <n v="6691.56"/>
    <s v="Male"/>
    <n v="2"/>
    <n v="3770.46"/>
    <n v="2921.1"/>
    <x v="4"/>
    <s v="Q2"/>
    <n v="2023"/>
    <x v="1"/>
  </r>
  <r>
    <x v="104"/>
    <x v="4"/>
    <x v="3"/>
    <x v="15"/>
    <n v="8"/>
    <n v="2000.91"/>
    <s v="Male"/>
    <n v="1"/>
    <n v="460.82"/>
    <n v="1540.09"/>
    <x v="7"/>
    <s v="Q3"/>
    <n v="2022"/>
    <x v="1"/>
  </r>
  <r>
    <x v="10"/>
    <x v="1"/>
    <x v="1"/>
    <x v="1"/>
    <n v="7"/>
    <n v="2655.51"/>
    <s v="Male"/>
    <n v="5"/>
    <n v="1070.6400000000001"/>
    <n v="1584.87"/>
    <x v="0"/>
    <s v="Q2"/>
    <n v="2022"/>
    <x v="1"/>
  </r>
  <r>
    <x v="545"/>
    <x v="4"/>
    <x v="1"/>
    <x v="9"/>
    <n v="14"/>
    <n v="2802.45"/>
    <s v="Male"/>
    <n v="4"/>
    <n v="618.48"/>
    <n v="2183.9699999999998"/>
    <x v="6"/>
    <s v="Q4"/>
    <n v="2023"/>
    <x v="2"/>
  </r>
  <r>
    <x v="546"/>
    <x v="5"/>
    <x v="5"/>
    <x v="20"/>
    <m/>
    <m/>
    <m/>
    <m/>
    <m/>
    <m/>
    <x v="12"/>
    <m/>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1">
  <r>
    <n v="303.77"/>
  </r>
  <r>
    <n v="6013.09"/>
  </r>
  <r>
    <n v="6624.07"/>
  </r>
  <r>
    <n v="5070.9399999999996"/>
  </r>
  <r>
    <n v="636.66"/>
  </r>
  <r>
    <n v="1580.15"/>
  </r>
  <r>
    <n v="15209.62"/>
  </r>
  <r>
    <n v="13193.63"/>
  </r>
  <r>
    <n v="110.13"/>
  </r>
  <r>
    <n v="6864.39"/>
  </r>
  <r>
    <n v="1569.33"/>
  </r>
  <r>
    <n v="8359.64"/>
  </r>
  <r>
    <n v="14714.79"/>
  </r>
  <r>
    <n v="1461.73"/>
  </r>
  <r>
    <n v="1329.49"/>
  </r>
  <r>
    <n v="21247.65"/>
  </r>
  <r>
    <n v="4456.75"/>
  </r>
  <r>
    <n v="16676.78"/>
  </r>
  <r>
    <n v="402.01"/>
  </r>
  <r>
    <n v="13263.6"/>
  </r>
  <r>
    <n v="17553.77"/>
  </r>
  <r>
    <n v="4062.79"/>
  </r>
  <r>
    <n v="6341.06"/>
  </r>
  <r>
    <n v="4856.2700000000004"/>
  </r>
  <r>
    <n v="1105.44"/>
  </r>
  <r>
    <n v="16956.189999999999"/>
  </r>
  <r>
    <n v="2172.36"/>
  </r>
  <r>
    <n v="2151.14"/>
  </r>
  <r>
    <n v="13374.57"/>
  </r>
  <r>
    <n v="3195.52"/>
  </r>
  <r>
    <n v="4798.42"/>
  </r>
  <r>
    <n v="7018.52"/>
  </r>
  <r>
    <n v="2960.56"/>
  </r>
  <r>
    <n v="2678.87"/>
  </r>
  <r>
    <n v="5467.02"/>
  </r>
  <r>
    <n v="1473.79"/>
  </r>
  <r>
    <n v="5963.14"/>
  </r>
  <r>
    <n v="16212.42"/>
  </r>
  <r>
    <n v="3452.74"/>
  </r>
  <r>
    <n v="9765.86"/>
  </r>
  <r>
    <n v="254.37"/>
  </r>
  <r>
    <n v="823.88"/>
  </r>
  <r>
    <n v="8375.6"/>
  </r>
  <r>
    <n v="6601.03"/>
  </r>
  <r>
    <n v="2383.04"/>
  </r>
  <r>
    <n v="4321.34"/>
  </r>
  <r>
    <n v="2877.76"/>
  </r>
  <r>
    <n v="4279.21"/>
  </r>
  <r>
    <n v="2685.04"/>
  </r>
  <r>
    <n v="3552.51"/>
  </r>
  <r>
    <n v="17358.37"/>
  </r>
  <r>
    <n v="882.83"/>
  </r>
  <r>
    <n v="18468.5"/>
  </r>
  <r>
    <n v="13953.83"/>
  </r>
  <r>
    <n v="2541.92"/>
  </r>
  <r>
    <n v="372.52"/>
  </r>
  <r>
    <n v="9687.4"/>
  </r>
  <r>
    <n v="4457.95"/>
  </r>
  <r>
    <n v="1296.2"/>
  </r>
  <r>
    <n v="21116.34"/>
  </r>
  <r>
    <n v="5236.74"/>
  </r>
  <r>
    <n v="4295.16"/>
  </r>
  <r>
    <n v="2603.2399999999998"/>
  </r>
  <r>
    <n v="11852.59"/>
  </r>
  <r>
    <n v="8416.1"/>
  </r>
  <r>
    <n v="3154"/>
  </r>
  <r>
    <n v="5683.65"/>
  </r>
  <r>
    <n v="1629.56"/>
  </r>
  <r>
    <n v="3616.95"/>
  </r>
  <r>
    <n v="5038.96"/>
  </r>
  <r>
    <n v="1820.46"/>
  </r>
  <r>
    <n v="302.02"/>
  </r>
  <r>
    <n v="4863.6400000000003"/>
  </r>
  <r>
    <n v="3297.56"/>
  </r>
  <r>
    <n v="1947"/>
  </r>
  <r>
    <n v="14895.16"/>
  </r>
  <r>
    <n v="3347.8"/>
  </r>
  <r>
    <n v="12722.38"/>
  </r>
  <r>
    <n v="1700.5"/>
  </r>
  <r>
    <n v="2852.92"/>
  </r>
  <r>
    <n v="5228.1899999999996"/>
  </r>
  <r>
    <n v="4499.3"/>
  </r>
  <r>
    <n v="4340.41"/>
  </r>
  <r>
    <n v="2776.21"/>
  </r>
  <r>
    <n v="4676.42"/>
  </r>
  <r>
    <n v="6035.57"/>
  </r>
  <r>
    <n v="4967.71"/>
  </r>
  <r>
    <n v="664.14"/>
  </r>
  <r>
    <n v="2078.04"/>
  </r>
  <r>
    <n v="13017.37"/>
  </r>
  <r>
    <n v="11185.72"/>
  </r>
  <r>
    <n v="12086.68"/>
  </r>
  <r>
    <n v="4546.1499999999996"/>
  </r>
  <r>
    <n v="2193.4299999999998"/>
  </r>
  <r>
    <n v="7218.59"/>
  </r>
  <r>
    <n v="14038.37"/>
  </r>
  <r>
    <n v="492.57"/>
  </r>
  <r>
    <n v="2571.37"/>
  </r>
  <r>
    <n v="14916.13"/>
  </r>
  <r>
    <n v="1266.51"/>
  </r>
  <r>
    <n v="5602.64"/>
  </r>
  <r>
    <n v="2818.14"/>
  </r>
  <r>
    <n v="1668.03"/>
  </r>
  <r>
    <n v="1205.75"/>
  </r>
  <r>
    <n v="90.8"/>
  </r>
  <r>
    <n v="14151.28"/>
  </r>
  <r>
    <n v="2921.32"/>
  </r>
  <r>
    <n v="7240.05"/>
  </r>
  <r>
    <n v="8301.52"/>
  </r>
  <r>
    <n v="7159.67"/>
  </r>
  <r>
    <n v="1174.32"/>
  </r>
  <r>
    <n v="1759.75"/>
  </r>
  <r>
    <n v="11188.18"/>
  </r>
  <r>
    <n v="5118.13"/>
  </r>
  <r>
    <n v="222.51"/>
  </r>
  <r>
    <n v="5395.07"/>
  </r>
  <r>
    <n v="630.92999999999995"/>
  </r>
  <r>
    <n v="3457.27"/>
  </r>
  <r>
    <n v="2376.31"/>
  </r>
  <r>
    <n v="5383.81"/>
  </r>
  <r>
    <n v="4893.25"/>
  </r>
  <r>
    <n v="128.44"/>
  </r>
  <r>
    <n v="4564.18"/>
  </r>
  <r>
    <n v="13086.66"/>
  </r>
  <r>
    <n v="12014.19"/>
  </r>
  <r>
    <n v="22622.79"/>
  </r>
  <r>
    <n v="103.48"/>
  </r>
  <r>
    <n v="4950.1899999999996"/>
  </r>
  <r>
    <n v="4975.3100000000004"/>
  </r>
  <r>
    <n v="3442.4"/>
  </r>
  <r>
    <n v="7290.26"/>
  </r>
  <r>
    <n v="3906.7"/>
  </r>
  <r>
    <n v="12938.7"/>
  </r>
  <r>
    <n v="2644.13"/>
  </r>
  <r>
    <n v="1947.37"/>
  </r>
  <r>
    <n v="3153.33"/>
  </r>
  <r>
    <n v="5539.81"/>
  </r>
  <r>
    <n v="834.5"/>
  </r>
  <r>
    <n v="986.36"/>
  </r>
  <r>
    <n v="390.21"/>
  </r>
  <r>
    <n v="20220.849999999999"/>
  </r>
  <r>
    <n v="1592.7"/>
  </r>
  <r>
    <n v="1414.97"/>
  </r>
  <r>
    <n v="1348.9"/>
  </r>
  <r>
    <n v="5094.12"/>
  </r>
  <r>
    <n v="8712.65"/>
  </r>
  <r>
    <n v="2378.25"/>
  </r>
  <r>
    <n v="14703.62"/>
  </r>
  <r>
    <n v="5125.6400000000003"/>
  </r>
  <r>
    <n v="7729.4"/>
  </r>
  <r>
    <n v="1706.27"/>
  </r>
  <r>
    <n v="12100.39"/>
  </r>
  <r>
    <n v="20444.23"/>
  </r>
  <r>
    <n v="6936.27"/>
  </r>
  <r>
    <n v="7163.09"/>
  </r>
  <r>
    <n v="12517.51"/>
  </r>
  <r>
    <n v="210.4"/>
  </r>
  <r>
    <n v="8827.44"/>
  </r>
  <r>
    <n v="1034.9000000000001"/>
  </r>
  <r>
    <n v="1750.19"/>
  </r>
  <r>
    <n v="628.30999999999995"/>
  </r>
  <r>
    <n v="2528.84"/>
  </r>
  <r>
    <n v="11992.06"/>
  </r>
  <r>
    <n v="1388.57"/>
  </r>
  <r>
    <n v="11682.36"/>
  </r>
  <r>
    <n v="1599.61"/>
  </r>
  <r>
    <n v="21137.9"/>
  </r>
  <r>
    <n v="5716.47"/>
  </r>
  <r>
    <n v="15766.06"/>
  </r>
  <r>
    <n v="6922.87"/>
  </r>
  <r>
    <n v="9381.77"/>
  </r>
  <r>
    <n v="14630.71"/>
  </r>
  <r>
    <n v="7663.47"/>
  </r>
  <r>
    <n v="4295.24"/>
  </r>
  <r>
    <n v="601.9"/>
  </r>
  <r>
    <n v="10018.43"/>
  </r>
  <r>
    <n v="10685.43"/>
  </r>
  <r>
    <n v="5724.09"/>
  </r>
  <r>
    <n v="979.36"/>
  </r>
  <r>
    <n v="656.47"/>
  </r>
  <r>
    <n v="743.49"/>
  </r>
  <r>
    <n v="1019.29"/>
  </r>
  <r>
    <n v="7097.62"/>
  </r>
  <r>
    <n v="1861.94"/>
  </r>
  <r>
    <n v="1722.51"/>
  </r>
  <r>
    <n v="16648.830000000002"/>
  </r>
  <r>
    <n v="22291.82"/>
  </r>
  <r>
    <n v="8629.34"/>
  </r>
  <r>
    <n v="2191.92"/>
  </r>
  <r>
    <n v="20885.71"/>
  </r>
  <r>
    <n v="809.16"/>
  </r>
  <r>
    <n v="4988.41"/>
  </r>
  <r>
    <n v="3048.02"/>
  </r>
  <r>
    <n v="10878.06"/>
  </r>
  <r>
    <n v="1785.75"/>
  </r>
  <r>
    <n v="1811.92"/>
  </r>
  <r>
    <n v="894.18"/>
  </r>
  <r>
    <n v="13375.67"/>
  </r>
  <r>
    <n v="10746.96"/>
  </r>
  <r>
    <n v="6784.15"/>
  </r>
  <r>
    <n v="594.35"/>
  </r>
  <r>
    <n v="641.79999999999995"/>
  </r>
  <r>
    <n v="4781.95"/>
  </r>
  <r>
    <n v="125"/>
  </r>
  <r>
    <n v="5309.43"/>
  </r>
  <r>
    <n v="1107.29"/>
  </r>
  <r>
    <n v="17757.37"/>
  </r>
  <r>
    <n v="11259.88"/>
  </r>
  <r>
    <n v="1672.36"/>
  </r>
  <r>
    <n v="1232.2"/>
  </r>
  <r>
    <n v="2774.43"/>
  </r>
  <r>
    <n v="2318.21"/>
  </r>
  <r>
    <n v="10981.95"/>
  </r>
  <r>
    <n v="470.39"/>
  </r>
  <r>
    <n v="3144.65"/>
  </r>
  <r>
    <n v="5458.09"/>
  </r>
  <r>
    <n v="2163.61"/>
  </r>
  <r>
    <n v="4503.17"/>
  </r>
  <r>
    <n v="445.83"/>
  </r>
  <r>
    <n v="419.81"/>
  </r>
  <r>
    <n v="13219.18"/>
  </r>
  <r>
    <n v="1525.73"/>
  </r>
  <r>
    <n v="1197.0899999999999"/>
  </r>
  <r>
    <n v="4874.17"/>
  </r>
  <r>
    <n v="19120.07"/>
  </r>
  <r>
    <n v="2124.25"/>
  </r>
  <r>
    <n v="15245.3"/>
  </r>
  <r>
    <n v="8468.09"/>
  </r>
  <r>
    <n v="3278.07"/>
  </r>
  <r>
    <n v="13936.06"/>
  </r>
  <r>
    <n v="7548.04"/>
  </r>
  <r>
    <n v="5052.33"/>
  </r>
  <r>
    <n v="2911.7"/>
  </r>
  <r>
    <n v="15766.43"/>
  </r>
  <r>
    <n v="13641.95"/>
  </r>
  <r>
    <n v="5674.09"/>
  </r>
  <r>
    <n v="13046.77"/>
  </r>
  <r>
    <n v="8756.34"/>
  </r>
  <r>
    <n v="647.48"/>
  </r>
  <r>
    <n v="346.9"/>
  </r>
  <r>
    <n v="8491.59"/>
  </r>
  <r>
    <n v="747.33"/>
  </r>
  <r>
    <n v="8862.4599999999991"/>
  </r>
  <r>
    <n v="4314.74"/>
  </r>
  <r>
    <n v="13083.23"/>
  </r>
  <r>
    <n v="2267.37"/>
  </r>
  <r>
    <n v="10853.44"/>
  </r>
  <r>
    <n v="8416.02"/>
  </r>
  <r>
    <n v="2899.92"/>
  </r>
  <r>
    <n v="1229.82"/>
  </r>
  <r>
    <n v="2939.89"/>
  </r>
  <r>
    <n v="2569.27"/>
  </r>
  <r>
    <n v="17878.88"/>
  </r>
  <r>
    <n v="303.24"/>
  </r>
  <r>
    <n v="14894.34"/>
  </r>
  <r>
    <n v="1043.08"/>
  </r>
  <r>
    <n v="850.26"/>
  </r>
  <r>
    <n v="15779.46"/>
  </r>
  <r>
    <n v="1460.26"/>
  </r>
  <r>
    <n v="3927.93"/>
  </r>
  <r>
    <n v="4671.83"/>
  </r>
  <r>
    <n v="3329.25"/>
  </r>
  <r>
    <n v="554.71"/>
  </r>
  <r>
    <n v="2086.4"/>
  </r>
  <r>
    <n v="1878.05"/>
  </r>
  <r>
    <n v="6674.26"/>
  </r>
  <r>
    <n v="21935.279999999999"/>
  </r>
  <r>
    <n v="2357.9899999999998"/>
  </r>
  <r>
    <n v="13226"/>
  </r>
  <r>
    <n v="3645.81"/>
  </r>
  <r>
    <n v="5334.75"/>
  </r>
  <r>
    <n v="11811.55"/>
  </r>
  <r>
    <n v="8585.89"/>
  </r>
  <r>
    <n v="8023.19"/>
  </r>
  <r>
    <n v="7222.84"/>
  </r>
  <r>
    <n v="1904.43"/>
  </r>
  <r>
    <n v="19216"/>
  </r>
  <r>
    <n v="19053.34"/>
  </r>
  <r>
    <n v="418.45"/>
  </r>
  <r>
    <n v="7786.8"/>
  </r>
  <r>
    <n v="4068.24"/>
  </r>
  <r>
    <n v="2730.93"/>
  </r>
  <r>
    <n v="9168.01"/>
  </r>
  <r>
    <n v="3155.34"/>
  </r>
  <r>
    <n v="4481.79"/>
  </r>
  <r>
    <n v="1516.23"/>
  </r>
  <r>
    <n v="1031.49"/>
  </r>
  <r>
    <n v="9836.4699999999993"/>
  </r>
  <r>
    <n v="5020.7299999999996"/>
  </r>
  <r>
    <n v="197.11"/>
  </r>
  <r>
    <n v="13850"/>
  </r>
  <r>
    <n v="2702.1"/>
  </r>
  <r>
    <n v="9598.61"/>
  </r>
  <r>
    <n v="12688.15"/>
  </r>
  <r>
    <n v="9189.91"/>
  </r>
  <r>
    <n v="2720.03"/>
  </r>
  <r>
    <n v="8568.5"/>
  </r>
  <r>
    <n v="523.55999999999995"/>
  </r>
  <r>
    <n v="1170.3"/>
  </r>
  <r>
    <n v="1497.51"/>
  </r>
  <r>
    <n v="8247.2999999999993"/>
  </r>
  <r>
    <n v="95.71"/>
  </r>
  <r>
    <n v="15585.86"/>
  </r>
  <r>
    <n v="8007.5"/>
  </r>
  <r>
    <n v="11394.72"/>
  </r>
  <r>
    <n v="21074.83"/>
  </r>
  <r>
    <n v="1964.61"/>
  </r>
  <r>
    <n v="15158.99"/>
  </r>
  <r>
    <n v="5605.58"/>
  </r>
  <r>
    <n v="2392.39"/>
  </r>
  <r>
    <n v="8234.39"/>
  </r>
  <r>
    <n v="2810.17"/>
  </r>
  <r>
    <n v="786.95"/>
  </r>
  <r>
    <n v="18261.68"/>
  </r>
  <r>
    <n v="331.27"/>
  </r>
  <r>
    <n v="920.67"/>
  </r>
  <r>
    <n v="9307.27"/>
  </r>
  <r>
    <n v="18697.21"/>
  </r>
  <r>
    <n v="10409.33"/>
  </r>
  <r>
    <n v="4999.5600000000004"/>
  </r>
  <r>
    <n v="7772.9"/>
  </r>
  <r>
    <n v="14841.19"/>
  </r>
  <r>
    <n v="18310.849999999999"/>
  </r>
  <r>
    <n v="6611.75"/>
  </r>
  <r>
    <n v="16896.38"/>
  </r>
  <r>
    <n v="5838.88"/>
  </r>
  <r>
    <n v="1939.17"/>
  </r>
  <r>
    <n v="6154.39"/>
  </r>
  <r>
    <n v="8346.75"/>
  </r>
  <r>
    <n v="810.1"/>
  </r>
  <r>
    <n v="9457.94"/>
  </r>
  <r>
    <n v="12805.76"/>
  </r>
  <r>
    <n v="62.4"/>
  </r>
  <r>
    <n v="6083.9"/>
  </r>
  <r>
    <n v="2228.06"/>
  </r>
  <r>
    <n v="14155.02"/>
  </r>
  <r>
    <n v="7071.32"/>
  </r>
  <r>
    <n v="6614.07"/>
  </r>
  <r>
    <n v="531.97"/>
  </r>
  <r>
    <n v="3819.25"/>
  </r>
  <r>
    <n v="6545.6"/>
  </r>
  <r>
    <n v="21547.26"/>
  </r>
  <r>
    <n v="179.93"/>
  </r>
  <r>
    <n v="2968.27"/>
  </r>
  <r>
    <n v="5371.71"/>
  </r>
  <r>
    <n v="17697.169999999998"/>
  </r>
  <r>
    <n v="12910.8"/>
  </r>
  <r>
    <n v="696.24"/>
  </r>
  <r>
    <n v="412.42"/>
  </r>
  <r>
    <n v="5793.04"/>
  </r>
  <r>
    <n v="8357.02"/>
  </r>
  <r>
    <n v="382.38"/>
  </r>
  <r>
    <n v="2251.04"/>
  </r>
  <r>
    <n v="7265.78"/>
  </r>
  <r>
    <n v="9768.7199999999993"/>
  </r>
  <r>
    <n v="18773.87"/>
  </r>
  <r>
    <n v="11689.44"/>
  </r>
  <r>
    <n v="17583.650000000001"/>
  </r>
  <r>
    <n v="4844.7299999999996"/>
  </r>
  <r>
    <n v="5878.76"/>
  </r>
  <r>
    <n v="1805.91"/>
  </r>
  <r>
    <n v="15855.99"/>
  </r>
  <r>
    <n v="13967.14"/>
  </r>
  <r>
    <n v="570.85"/>
  </r>
  <r>
    <n v="2486.08"/>
  </r>
  <r>
    <n v="531.45000000000005"/>
  </r>
  <r>
    <n v="8413.65"/>
  </r>
  <r>
    <n v="2857.47"/>
  </r>
  <r>
    <n v="17232.45"/>
  </r>
  <r>
    <n v="20514.66"/>
  </r>
  <r>
    <n v="14840.77"/>
  </r>
  <r>
    <n v="5192.7299999999996"/>
  </r>
  <r>
    <n v="19582.03"/>
  </r>
  <r>
    <n v="8658.7900000000009"/>
  </r>
  <r>
    <n v="210.42"/>
  </r>
  <r>
    <n v="1957.1"/>
  </r>
  <r>
    <n v="8455.3700000000008"/>
  </r>
  <r>
    <n v="2986.74"/>
  </r>
  <r>
    <n v="3489.36"/>
  </r>
  <r>
    <n v="14453.64"/>
  </r>
  <r>
    <n v="1409.28"/>
  </r>
  <r>
    <n v="461.44"/>
  </r>
  <r>
    <n v="11598.03"/>
  </r>
  <r>
    <n v="5997.51"/>
  </r>
  <r>
    <n v="4680.2700000000004"/>
  </r>
  <r>
    <n v="23032.400000000001"/>
  </r>
  <r>
    <n v="14222.06"/>
  </r>
  <r>
    <n v="4641.2299999999996"/>
  </r>
  <r>
    <n v="11007.55"/>
  </r>
  <r>
    <n v="2286.1999999999998"/>
  </r>
  <r>
    <n v="18746.27"/>
  </r>
  <r>
    <n v="7153.84"/>
  </r>
  <r>
    <n v="10889.27"/>
  </r>
  <r>
    <n v="72.78"/>
  </r>
  <r>
    <n v="5971.38"/>
  </r>
  <r>
    <n v="13312.4"/>
  </r>
  <r>
    <n v="4697.76"/>
  </r>
  <r>
    <n v="10726.19"/>
  </r>
  <r>
    <n v="1476.66"/>
  </r>
  <r>
    <n v="1537.34"/>
  </r>
  <r>
    <n v="3917.78"/>
  </r>
  <r>
    <n v="16696.03"/>
  </r>
  <r>
    <n v="13636.54"/>
  </r>
  <r>
    <n v="2131.21"/>
  </r>
  <r>
    <n v="9791.25"/>
  </r>
  <r>
    <n v="5473.25"/>
  </r>
  <r>
    <n v="11219.24"/>
  </r>
  <r>
    <n v="4100.8100000000004"/>
  </r>
  <r>
    <n v="5913.59"/>
  </r>
  <r>
    <n v="8568.1"/>
  </r>
  <r>
    <n v="3941.99"/>
  </r>
  <r>
    <n v="4351.8599999999997"/>
  </r>
  <r>
    <n v="3622.76"/>
  </r>
  <r>
    <n v="10966.05"/>
  </r>
  <r>
    <n v="2402.61"/>
  </r>
  <r>
    <n v="3876.68"/>
  </r>
  <r>
    <n v="1845.82"/>
  </r>
  <r>
    <n v="450.25"/>
  </r>
  <r>
    <n v="7274.42"/>
  </r>
  <r>
    <n v="6709.83"/>
  </r>
  <r>
    <n v="370.26"/>
  </r>
  <r>
    <n v="2916.65"/>
  </r>
  <r>
    <n v="8885.34"/>
  </r>
  <r>
    <n v="6268.52"/>
  </r>
  <r>
    <n v="3188.74"/>
  </r>
  <r>
    <n v="506.52"/>
  </r>
  <r>
    <n v="17522.77"/>
  </r>
  <r>
    <n v="7145.59"/>
  </r>
  <r>
    <n v="79.05"/>
  </r>
  <r>
    <n v="759.23"/>
  </r>
  <r>
    <n v="11180.46"/>
  </r>
  <r>
    <n v="20388.86"/>
  </r>
  <r>
    <n v="2817.91"/>
  </r>
  <r>
    <n v="13907.65"/>
  </r>
  <r>
    <n v="10043.77"/>
  </r>
  <r>
    <n v="6946.85"/>
  </r>
  <r>
    <n v="3523.86"/>
  </r>
  <r>
    <n v="4500.2"/>
  </r>
  <r>
    <n v="4956.16"/>
  </r>
  <r>
    <n v="440.53"/>
  </r>
  <r>
    <n v="12151.36"/>
  </r>
  <r>
    <n v="12404.55"/>
  </r>
  <r>
    <n v="579.41999999999996"/>
  </r>
  <r>
    <n v="13718.2"/>
  </r>
  <r>
    <n v="1448.93"/>
  </r>
  <r>
    <n v="2782.17"/>
  </r>
  <r>
    <n v="585.08000000000004"/>
  </r>
  <r>
    <n v="1910.01"/>
  </r>
  <r>
    <n v="3647.6"/>
  </r>
  <r>
    <n v="941.25"/>
  </r>
  <r>
    <n v="18326.61"/>
  </r>
  <r>
    <n v="148.19999999999999"/>
  </r>
  <r>
    <n v="1490.5"/>
  </r>
  <r>
    <n v="1718.77"/>
  </r>
  <r>
    <n v="381.13"/>
  </r>
  <r>
    <n v="16480.75"/>
  </r>
  <r>
    <n v="3343.31"/>
  </r>
  <r>
    <n v="9535.0499999999993"/>
  </r>
  <r>
    <n v="2498.54"/>
  </r>
  <r>
    <n v="2508.1799999999998"/>
  </r>
  <r>
    <n v="2954.67"/>
  </r>
  <r>
    <n v="10568.85"/>
  </r>
  <r>
    <n v="5658.07"/>
  </r>
  <r>
    <n v="8322.41"/>
  </r>
  <r>
    <n v="7339.99"/>
  </r>
  <r>
    <n v="1590.94"/>
  </r>
  <r>
    <n v="11263.52"/>
  </r>
  <r>
    <n v="2796.6"/>
  </r>
  <r>
    <n v="856.22"/>
  </r>
  <r>
    <n v="5503.13"/>
  </r>
  <r>
    <n v="13807.58"/>
  </r>
  <r>
    <n v="767.65"/>
  </r>
  <r>
    <n v="11830.81"/>
  </r>
  <r>
    <n v="5008.9399999999996"/>
  </r>
  <r>
    <n v="722.63"/>
  </r>
  <r>
    <n v="2334.44"/>
  </r>
  <r>
    <n v="2716.21"/>
  </r>
  <r>
    <n v="508.86"/>
  </r>
  <r>
    <n v="10133.14"/>
  </r>
  <r>
    <n v="11349.27"/>
  </r>
  <r>
    <n v="1611.29"/>
  </r>
  <r>
    <n v="12956.18"/>
  </r>
  <r>
    <n v="14710.25"/>
  </r>
  <r>
    <n v="6120.62"/>
  </r>
  <r>
    <n v="12238.16"/>
  </r>
  <r>
    <n v="15878.38"/>
  </r>
  <r>
    <n v="11575.7"/>
  </r>
  <r>
    <n v="5056.49"/>
  </r>
  <r>
    <n v="5122.82"/>
  </r>
  <r>
    <n v="3010.29"/>
  </r>
  <r>
    <n v="21035.38"/>
  </r>
  <r>
    <n v="9868.15"/>
  </r>
  <r>
    <n v="2426.27"/>
  </r>
  <r>
    <n v="12382.87"/>
  </r>
  <r>
    <n v="3304.56"/>
  </r>
  <r>
    <n v="660.58"/>
  </r>
  <r>
    <n v="14957.83"/>
  </r>
  <r>
    <n v="3427.58"/>
  </r>
  <r>
    <n v="2339.94"/>
  </r>
  <r>
    <n v="3609.29"/>
  </r>
  <r>
    <n v="86.89"/>
  </r>
  <r>
    <n v="9781.9599999999991"/>
  </r>
  <r>
    <n v="4713.5200000000004"/>
  </r>
  <r>
    <n v="5965.05"/>
  </r>
  <r>
    <n v="18009"/>
  </r>
  <r>
    <n v="13085.25"/>
  </r>
  <r>
    <n v="2771.56"/>
  </r>
  <r>
    <n v="7290.65"/>
  </r>
  <r>
    <n v="3993.48"/>
  </r>
  <r>
    <n v="6336.95"/>
  </r>
  <r>
    <n v="6257.77"/>
  </r>
  <r>
    <n v="16891.71"/>
  </r>
  <r>
    <n v="3439.33"/>
  </r>
  <r>
    <n v="1981"/>
  </r>
  <r>
    <n v="6554.41"/>
  </r>
  <r>
    <n v="402.02"/>
  </r>
  <r>
    <n v="509.77"/>
  </r>
  <r>
    <n v="393.56"/>
  </r>
  <r>
    <n v="13597.97"/>
  </r>
  <r>
    <n v="2729.07"/>
  </r>
  <r>
    <n v="988.2"/>
  </r>
  <r>
    <n v="9326.5499999999993"/>
  </r>
  <r>
    <n v="13323.15"/>
  </r>
  <r>
    <n v="11267.92"/>
  </r>
  <r>
    <n v="10022.74"/>
  </r>
  <r>
    <n v="20710.12"/>
  </r>
  <r>
    <n v="11061.31"/>
  </r>
  <r>
    <n v="1332.45"/>
  </r>
  <r>
    <n v="9886.06"/>
  </r>
  <r>
    <n v="5358.84"/>
  </r>
  <r>
    <n v="2609.33"/>
  </r>
  <r>
    <n v="7038.29"/>
  </r>
  <r>
    <n v="4071.63"/>
  </r>
  <r>
    <n v="13462.43"/>
  </r>
  <r>
    <n v="2435.17"/>
  </r>
  <r>
    <n v="566.14"/>
  </r>
  <r>
    <n v="14806.1"/>
  </r>
  <r>
    <n v="711.95"/>
  </r>
  <r>
    <n v="14643.54"/>
  </r>
  <r>
    <n v="1508.22"/>
  </r>
  <r>
    <n v="3571.33"/>
  </r>
  <r>
    <n v="13702.55"/>
  </r>
  <r>
    <n v="356.27"/>
  </r>
  <r>
    <n v="12255.57"/>
  </r>
  <r>
    <n v="1624.64"/>
  </r>
  <r>
    <n v="4984.17"/>
  </r>
  <r>
    <n v="9728.39"/>
  </r>
  <r>
    <n v="7863.48"/>
  </r>
  <r>
    <n v="6103.41"/>
  </r>
  <r>
    <n v="987.45"/>
  </r>
  <r>
    <n v="9730.5400000000009"/>
  </r>
  <r>
    <n v="971.15"/>
  </r>
  <r>
    <n v="21862.26"/>
  </r>
  <r>
    <n v="2700.56"/>
  </r>
  <r>
    <n v="9881.43"/>
  </r>
  <r>
    <n v="1197.3499999999999"/>
  </r>
  <r>
    <n v="3757.52"/>
  </r>
  <r>
    <n v="2298.7399999999998"/>
  </r>
  <r>
    <n v="330.77"/>
  </r>
  <r>
    <n v="4050.84"/>
  </r>
  <r>
    <n v="11784.37"/>
  </r>
  <r>
    <n v="22208.65"/>
  </r>
  <r>
    <n v="7823.09"/>
  </r>
  <r>
    <n v="4917.9399999999996"/>
  </r>
  <r>
    <n v="2941.29"/>
  </r>
  <r>
    <n v="20284.099999999999"/>
  </r>
  <r>
    <n v="849.73"/>
  </r>
  <r>
    <n v="2037.82"/>
  </r>
  <r>
    <n v="3121.03"/>
  </r>
  <r>
    <n v="1664.36"/>
  </r>
  <r>
    <n v="5694.37"/>
  </r>
  <r>
    <n v="930.38"/>
  </r>
  <r>
    <n v="4160.54"/>
  </r>
  <r>
    <n v="5093.3100000000004"/>
  </r>
  <r>
    <n v="18112.36"/>
  </r>
  <r>
    <n v="971.88"/>
  </r>
  <r>
    <n v="5562.07"/>
  </r>
  <r>
    <n v="5972.55"/>
  </r>
  <r>
    <n v="11662.84"/>
  </r>
  <r>
    <n v="11796.11"/>
  </r>
  <r>
    <n v="3443.25"/>
  </r>
  <r>
    <n v="4165.67"/>
  </r>
  <r>
    <n v="10085.26"/>
  </r>
  <r>
    <n v="1873.73"/>
  </r>
  <r>
    <n v="1538.52"/>
  </r>
  <r>
    <n v="232.48"/>
  </r>
  <r>
    <n v="230.84"/>
  </r>
  <r>
    <n v="5054.42"/>
  </r>
  <r>
    <n v="4662.7700000000004"/>
  </r>
  <r>
    <n v="624.41"/>
  </r>
  <r>
    <n v="14749.72"/>
  </r>
  <r>
    <n v="13098.96"/>
  </r>
  <r>
    <n v="3283.24"/>
  </r>
  <r>
    <n v="1034.99"/>
  </r>
  <r>
    <n v="1645.74"/>
  </r>
  <r>
    <n v="13465.91"/>
  </r>
  <r>
    <n v="1462.89"/>
  </r>
  <r>
    <n v="1487.91"/>
  </r>
  <r>
    <n v="6338.53"/>
  </r>
  <r>
    <n v="8583.2800000000007"/>
  </r>
  <r>
    <n v="4432.3"/>
  </r>
  <r>
    <n v="3066.27"/>
  </r>
  <r>
    <n v="8979.24"/>
  </r>
  <r>
    <n v="13901.74"/>
  </r>
  <r>
    <n v="8886.74"/>
  </r>
  <r>
    <n v="16606.25"/>
  </r>
  <r>
    <n v="2090.17"/>
  </r>
  <r>
    <n v="15182.68"/>
  </r>
  <r>
    <n v="6592"/>
  </r>
  <r>
    <n v="6649.41"/>
  </r>
  <r>
    <n v="12095.54"/>
  </r>
  <r>
    <n v="3183.44"/>
  </r>
  <r>
    <n v="4646.59"/>
  </r>
  <r>
    <n v="616.47"/>
  </r>
  <r>
    <n v="6951.06"/>
  </r>
  <r>
    <n v="8140.37"/>
  </r>
  <r>
    <n v="1813.18"/>
  </r>
  <r>
    <n v="327.7"/>
  </r>
  <r>
    <n v="4104.29"/>
  </r>
  <r>
    <n v="2365.9499999999998"/>
  </r>
  <r>
    <n v="6960.25"/>
  </r>
  <r>
    <n v="3721.09"/>
  </r>
  <r>
    <n v="14277.75"/>
  </r>
  <r>
    <n v="14800.23"/>
  </r>
  <r>
    <n v="8227.52"/>
  </r>
  <r>
    <n v="8690.7099999999991"/>
  </r>
  <r>
    <n v="10391.02"/>
  </r>
  <r>
    <n v="1883.04"/>
  </r>
  <r>
    <n v="12799.01"/>
  </r>
  <r>
    <n v="2931"/>
  </r>
  <r>
    <n v="6064.36"/>
  </r>
  <r>
    <n v="2804.74"/>
  </r>
  <r>
    <n v="8737.6299999999992"/>
  </r>
  <r>
    <n v="341.82"/>
  </r>
  <r>
    <n v="10196.1"/>
  </r>
  <r>
    <n v="5410.28"/>
  </r>
  <r>
    <n v="13548.86"/>
  </r>
  <r>
    <n v="9334.93"/>
  </r>
  <r>
    <n v="6805.98"/>
  </r>
  <r>
    <n v="14974.48"/>
  </r>
  <r>
    <n v="473.22"/>
  </r>
  <r>
    <n v="6254.53"/>
  </r>
  <r>
    <n v="5208.91"/>
  </r>
  <r>
    <n v="5152.55"/>
  </r>
  <r>
    <n v="2404.2399999999998"/>
  </r>
  <r>
    <n v="5325.46"/>
  </r>
  <r>
    <n v="5030.46"/>
  </r>
  <r>
    <n v="20321.02"/>
  </r>
  <r>
    <n v="7358.74"/>
  </r>
  <r>
    <n v="4518.74"/>
  </r>
  <r>
    <n v="7501.52"/>
  </r>
  <r>
    <n v="5224"/>
  </r>
  <r>
    <n v="10605.65"/>
  </r>
  <r>
    <n v="2817.42"/>
  </r>
  <r>
    <n v="3574.96"/>
  </r>
  <r>
    <n v="8149.93"/>
  </r>
  <r>
    <n v="12207.23"/>
  </r>
  <r>
    <n v="7062.28"/>
  </r>
  <r>
    <n v="8169.97"/>
  </r>
  <r>
    <n v="22188.7"/>
  </r>
  <r>
    <n v="1210.55"/>
  </r>
  <r>
    <n v="14105.36"/>
  </r>
  <r>
    <n v="3251.33"/>
  </r>
  <r>
    <n v="8870.85"/>
  </r>
  <r>
    <n v="1118.33"/>
  </r>
  <r>
    <n v="5584.11"/>
  </r>
  <r>
    <n v="9292.0499999999993"/>
  </r>
  <r>
    <n v="641.91999999999996"/>
  </r>
  <r>
    <n v="6475.4"/>
  </r>
  <r>
    <n v="9075.7900000000009"/>
  </r>
  <r>
    <n v="3562.66"/>
  </r>
  <r>
    <n v="767.78"/>
  </r>
  <r>
    <n v="197.66"/>
  </r>
  <r>
    <n v="16956.66"/>
  </r>
  <r>
    <n v="5315.32"/>
  </r>
  <r>
    <n v="14255.9"/>
  </r>
  <r>
    <n v="8647.3799999999992"/>
  </r>
  <r>
    <n v="5526.46"/>
  </r>
  <r>
    <n v="8623.44"/>
  </r>
  <r>
    <n v="741.49"/>
  </r>
  <r>
    <n v="10706.53"/>
  </r>
  <r>
    <n v="13079.72"/>
  </r>
  <r>
    <n v="8185.88"/>
  </r>
  <r>
    <n v="5839.13"/>
  </r>
  <r>
    <n v="212.26"/>
  </r>
  <r>
    <n v="1665.39"/>
  </r>
  <r>
    <n v="7225.27"/>
  </r>
  <r>
    <n v="5765.24"/>
  </r>
  <r>
    <n v="2374.6799999999998"/>
  </r>
  <r>
    <n v="1490.92"/>
  </r>
  <r>
    <n v="7199.97"/>
  </r>
  <r>
    <n v="7856.15"/>
  </r>
  <r>
    <n v="9964.4599999999991"/>
  </r>
  <r>
    <n v="2496.0700000000002"/>
  </r>
  <r>
    <n v="2395.42"/>
  </r>
  <r>
    <n v="13018.9"/>
  </r>
  <r>
    <n v="10796.88"/>
  </r>
  <r>
    <n v="8377.2099999999991"/>
  </r>
  <r>
    <n v="19912.77"/>
  </r>
  <r>
    <n v="3572.08"/>
  </r>
  <r>
    <n v="4542.09"/>
  </r>
  <r>
    <n v="4333.3"/>
  </r>
  <r>
    <n v="3272.36"/>
  </r>
  <r>
    <n v="17246.21"/>
  </r>
  <r>
    <n v="6372.66"/>
  </r>
  <r>
    <n v="23130.78"/>
  </r>
  <r>
    <n v="6167.03"/>
  </r>
  <r>
    <n v="7384.05"/>
  </r>
  <r>
    <n v="766.28"/>
  </r>
  <r>
    <n v="641.33000000000004"/>
  </r>
  <r>
    <n v="15698.68"/>
  </r>
  <r>
    <n v="3417.2"/>
  </r>
  <r>
    <n v="7911.73"/>
  </r>
  <r>
    <n v="2549.46"/>
  </r>
  <r>
    <n v="9531.73"/>
  </r>
  <r>
    <n v="1071.25"/>
  </r>
  <r>
    <n v="6835.99"/>
  </r>
  <r>
    <n v="2921"/>
  </r>
  <r>
    <n v="4070.52"/>
  </r>
  <r>
    <n v="9780.7000000000007"/>
  </r>
  <r>
    <n v="3015.63"/>
  </r>
  <r>
    <n v="560.33000000000004"/>
  </r>
  <r>
    <n v="21391.87"/>
  </r>
  <r>
    <n v="10033.91"/>
  </r>
  <r>
    <n v="18134.490000000002"/>
  </r>
  <r>
    <n v="514.03"/>
  </r>
  <r>
    <n v="10885.92"/>
  </r>
  <r>
    <n v="13766.18"/>
  </r>
  <r>
    <n v="2064.64"/>
  </r>
  <r>
    <n v="7465.54"/>
  </r>
  <r>
    <n v="5370.02"/>
  </r>
  <r>
    <n v="418.36"/>
  </r>
  <r>
    <n v="1881.67"/>
  </r>
  <r>
    <n v="17439.509999999998"/>
  </r>
  <r>
    <n v="293.22000000000003"/>
  </r>
  <r>
    <n v="12598.33"/>
  </r>
  <r>
    <n v="805.36"/>
  </r>
  <r>
    <n v="6104.09"/>
  </r>
  <r>
    <n v="2748.76"/>
  </r>
  <r>
    <n v="14911.37"/>
  </r>
  <r>
    <n v="118.91"/>
  </r>
  <r>
    <n v="2336.66"/>
  </r>
  <r>
    <n v="1284.3499999999999"/>
  </r>
  <r>
    <n v="1144.51"/>
  </r>
  <r>
    <n v="16892.509999999998"/>
  </r>
  <r>
    <n v="10946.02"/>
  </r>
  <r>
    <n v="7182.93"/>
  </r>
  <r>
    <n v="13023.01"/>
  </r>
  <r>
    <n v="18064.490000000002"/>
  </r>
  <r>
    <n v="1255.78"/>
  </r>
  <r>
    <n v="5955.63"/>
  </r>
  <r>
    <n v="1518.41"/>
  </r>
  <r>
    <n v="6876.35"/>
  </r>
  <r>
    <n v="10964.35"/>
  </r>
  <r>
    <n v="19933.34"/>
  </r>
  <r>
    <n v="4450.3599999999997"/>
  </r>
  <r>
    <n v="7372.62"/>
  </r>
  <r>
    <n v="1800.46"/>
  </r>
  <r>
    <n v="9310.02"/>
  </r>
  <r>
    <n v="10852.34"/>
  </r>
  <r>
    <n v="2341.34"/>
  </r>
  <r>
    <n v="17297.86"/>
  </r>
  <r>
    <n v="391.87"/>
  </r>
  <r>
    <n v="11929.28"/>
  </r>
  <r>
    <n v="5280.12"/>
  </r>
  <r>
    <n v="3442.14"/>
  </r>
  <r>
    <n v="5426.86"/>
  </r>
  <r>
    <n v="9215.7199999999993"/>
  </r>
  <r>
    <n v="14183.1"/>
  </r>
  <r>
    <n v="9608.2999999999993"/>
  </r>
  <r>
    <n v="14360.52"/>
  </r>
  <r>
    <n v="6037.45"/>
  </r>
  <r>
    <n v="4772.37"/>
  </r>
  <r>
    <n v="4239.01"/>
  </r>
  <r>
    <n v="550.85"/>
  </r>
  <r>
    <n v="1404.42"/>
  </r>
  <r>
    <n v="3084.47"/>
  </r>
  <r>
    <n v="2378.0700000000002"/>
  </r>
  <r>
    <n v="4842.26"/>
  </r>
  <r>
    <n v="11958.58"/>
  </r>
  <r>
    <n v="8406.23"/>
  </r>
  <r>
    <n v="8110.77"/>
  </r>
  <r>
    <n v="6234.72"/>
  </r>
  <r>
    <n v="1664.07"/>
  </r>
  <r>
    <n v="2953.35"/>
  </r>
  <r>
    <n v="1490.56"/>
  </r>
  <r>
    <n v="6481.44"/>
  </r>
  <r>
    <n v="6245.45"/>
  </r>
  <r>
    <n v="8149.81"/>
  </r>
  <r>
    <n v="5707.46"/>
  </r>
  <r>
    <n v="5474.4"/>
  </r>
  <r>
    <n v="8853.9"/>
  </r>
  <r>
    <n v="2487.59"/>
  </r>
  <r>
    <n v="9359.94"/>
  </r>
  <r>
    <n v="10604.72"/>
  </r>
  <r>
    <n v="7208.78"/>
  </r>
  <r>
    <n v="9383.07"/>
  </r>
  <r>
    <n v="2658.8"/>
  </r>
  <r>
    <n v="2418.9499999999998"/>
  </r>
  <r>
    <n v="6024.93"/>
  </r>
  <r>
    <n v="16492.46"/>
  </r>
  <r>
    <n v="12468.59"/>
  </r>
  <r>
    <n v="3252.39"/>
  </r>
  <r>
    <n v="5704.6"/>
  </r>
  <r>
    <n v="2836.6"/>
  </r>
  <r>
    <n v="12805.84"/>
  </r>
  <r>
    <n v="1502.17"/>
  </r>
  <r>
    <n v="14525.44"/>
  </r>
  <r>
    <n v="23697.95"/>
  </r>
  <r>
    <n v="21568.99"/>
  </r>
  <r>
    <n v="11441.83"/>
  </r>
  <r>
    <n v="10172.02"/>
  </r>
  <r>
    <n v="11596.06"/>
  </r>
  <r>
    <n v="1822.46"/>
  </r>
  <r>
    <n v="5387.8"/>
  </r>
  <r>
    <n v="5257.08"/>
  </r>
  <r>
    <n v="16296.06"/>
  </r>
  <r>
    <n v="803.24"/>
  </r>
  <r>
    <n v="41.69"/>
  </r>
  <r>
    <n v="13332.51"/>
  </r>
  <r>
    <n v="4072.45"/>
  </r>
  <r>
    <n v="5288.36"/>
  </r>
  <r>
    <n v="714.65"/>
  </r>
  <r>
    <n v="1956.97"/>
  </r>
  <r>
    <n v="881.56"/>
  </r>
  <r>
    <n v="437.17"/>
  </r>
  <r>
    <n v="1027"/>
  </r>
  <r>
    <n v="4118.1499999999996"/>
  </r>
  <r>
    <n v="17485.32"/>
  </r>
  <r>
    <n v="4916.0200000000004"/>
  </r>
  <r>
    <n v="12396.69"/>
  </r>
  <r>
    <n v="60.2"/>
  </r>
  <r>
    <n v="4254.0200000000004"/>
  </r>
  <r>
    <n v="3836.59"/>
  </r>
  <r>
    <n v="1169.3699999999999"/>
  </r>
  <r>
    <n v="15782.09"/>
  </r>
  <r>
    <n v="691.09"/>
  </r>
  <r>
    <n v="6988.41"/>
  </r>
  <r>
    <n v="16500.599999999999"/>
  </r>
  <r>
    <n v="10902.31"/>
  </r>
  <r>
    <n v="1473.57"/>
  </r>
  <r>
    <n v="3639.02"/>
  </r>
  <r>
    <n v="6110.42"/>
  </r>
  <r>
    <n v="23388.31"/>
  </r>
  <r>
    <n v="17189.72"/>
  </r>
  <r>
    <n v="12711.29"/>
  </r>
  <r>
    <n v="10663.3"/>
  </r>
  <r>
    <n v="15587.57"/>
  </r>
  <r>
    <n v="12143.34"/>
  </r>
  <r>
    <n v="3383.9"/>
  </r>
  <r>
    <n v="963.63"/>
  </r>
  <r>
    <n v="7509.05"/>
  </r>
  <r>
    <n v="15697.03"/>
  </r>
  <r>
    <n v="5179.43"/>
  </r>
  <r>
    <n v="5996.68"/>
  </r>
  <r>
    <n v="6963.89"/>
  </r>
  <r>
    <n v="1325.04"/>
  </r>
  <r>
    <n v="10838.8"/>
  </r>
  <r>
    <n v="2616.3000000000002"/>
  </r>
  <r>
    <n v="14356.85"/>
  </r>
  <r>
    <n v="18716.36"/>
  </r>
  <r>
    <n v="1873.16"/>
  </r>
  <r>
    <n v="351.15"/>
  </r>
  <r>
    <n v="12296.44"/>
  </r>
  <r>
    <n v="17471.28"/>
  </r>
  <r>
    <n v="58"/>
  </r>
  <r>
    <n v="3848.35"/>
  </r>
  <r>
    <n v="3003.7"/>
  </r>
  <r>
    <n v="17001.62"/>
  </r>
  <r>
    <n v="16038.24"/>
  </r>
  <r>
    <n v="237.25"/>
  </r>
  <r>
    <n v="3116.14"/>
  </r>
  <r>
    <n v="828.68"/>
  </r>
  <r>
    <n v="13493.16"/>
  </r>
  <r>
    <n v="4538.43"/>
  </r>
  <r>
    <n v="12880.26"/>
  </r>
  <r>
    <n v="12804.71"/>
  </r>
  <r>
    <n v="11870.68"/>
  </r>
  <r>
    <n v="16697.86"/>
  </r>
  <r>
    <n v="12716.96"/>
  </r>
  <r>
    <n v="8424.09"/>
  </r>
  <r>
    <n v="18616.48"/>
  </r>
  <r>
    <n v="2380.92"/>
  </r>
  <r>
    <n v="838.25"/>
  </r>
  <r>
    <n v="10163.61"/>
  </r>
  <r>
    <n v="14640.5"/>
  </r>
  <r>
    <n v="8062.7"/>
  </r>
  <r>
    <n v="916.38"/>
  </r>
  <r>
    <n v="16533.09"/>
  </r>
  <r>
    <n v="8745.2199999999993"/>
  </r>
  <r>
    <n v="13260.85"/>
  </r>
  <r>
    <n v="12957.12"/>
  </r>
  <r>
    <n v="2036.86"/>
  </r>
  <r>
    <n v="13564.36"/>
  </r>
  <r>
    <n v="3788.2"/>
  </r>
  <r>
    <n v="8435.67"/>
  </r>
  <r>
    <n v="14152.35"/>
  </r>
  <r>
    <n v="4672.4399999999996"/>
  </r>
  <r>
    <n v="209.72"/>
  </r>
  <r>
    <n v="10342.56"/>
  </r>
  <r>
    <n v="10630.78"/>
  </r>
  <r>
    <n v="8635.42"/>
  </r>
  <r>
    <n v="6690.67"/>
  </r>
  <r>
    <n v="502.68"/>
  </r>
  <r>
    <n v="22687.119999999999"/>
  </r>
  <r>
    <n v="9266.41"/>
  </r>
  <r>
    <n v="9528.52"/>
  </r>
  <r>
    <n v="1135.6400000000001"/>
  </r>
  <r>
    <n v="11861.21"/>
  </r>
  <r>
    <n v="3557.57"/>
  </r>
  <r>
    <n v="3294.2"/>
  </r>
  <r>
    <n v="1451.26"/>
  </r>
  <r>
    <n v="2402.13"/>
  </r>
  <r>
    <n v="22271.31"/>
  </r>
  <r>
    <n v="15984.63"/>
  </r>
  <r>
    <n v="8645.9"/>
  </r>
  <r>
    <n v="609.76"/>
  </r>
  <r>
    <n v="18454.88"/>
  </r>
  <r>
    <n v="3153.43"/>
  </r>
  <r>
    <n v="11280.76"/>
  </r>
  <r>
    <n v="2894.24"/>
  </r>
  <r>
    <n v="2986.36"/>
  </r>
  <r>
    <n v="5278.83"/>
  </r>
  <r>
    <n v="12558.43"/>
  </r>
  <r>
    <n v="3511.5"/>
  </r>
  <r>
    <n v="1300.31"/>
  </r>
  <r>
    <n v="10203.01"/>
  </r>
  <r>
    <n v="9472.16"/>
  </r>
  <r>
    <n v="1690.93"/>
  </r>
  <r>
    <n v="2351.42"/>
  </r>
  <r>
    <n v="10218.36"/>
  </r>
  <r>
    <n v="13717.5"/>
  </r>
  <r>
    <n v="7040.83"/>
  </r>
  <r>
    <n v="1227.6600000000001"/>
  </r>
  <r>
    <n v="5123.91"/>
  </r>
  <r>
    <n v="4967.92"/>
  </r>
  <r>
    <n v="14582.35"/>
  </r>
  <r>
    <n v="16144.75"/>
  </r>
  <r>
    <n v="16227.88"/>
  </r>
  <r>
    <n v="18531.939999999999"/>
  </r>
  <r>
    <n v="289.76"/>
  </r>
  <r>
    <n v="3500.77"/>
  </r>
  <r>
    <n v="11838.27"/>
  </r>
  <r>
    <n v="10984.7"/>
  </r>
  <r>
    <n v="2127.59"/>
  </r>
  <r>
    <n v="4859.24"/>
  </r>
  <r>
    <n v="8031.07"/>
  </r>
  <r>
    <n v="18721.560000000001"/>
  </r>
  <r>
    <n v="3457.66"/>
  </r>
  <r>
    <n v="2705.41"/>
  </r>
  <r>
    <n v="361.63"/>
  </r>
  <r>
    <n v="799.14"/>
  </r>
  <r>
    <n v="8911.2999999999993"/>
  </r>
  <r>
    <n v="12174.62"/>
  </r>
  <r>
    <n v="7173.66"/>
  </r>
  <r>
    <n v="3054.92"/>
  </r>
  <r>
    <n v="1811.89"/>
  </r>
  <r>
    <n v="14788.91"/>
  </r>
  <r>
    <n v="4863.8900000000003"/>
  </r>
  <r>
    <n v="138.47999999999999"/>
  </r>
  <r>
    <n v="721.01"/>
  </r>
  <r>
    <n v="3910.25"/>
  </r>
  <r>
    <n v="6697.08"/>
  </r>
  <r>
    <n v="10356.08"/>
  </r>
  <r>
    <n v="5627.53"/>
  </r>
  <r>
    <n v="3498.41"/>
  </r>
  <r>
    <n v="4267.21"/>
  </r>
  <r>
    <n v="14753.36"/>
  </r>
  <r>
    <n v="19058.66"/>
  </r>
  <r>
    <n v="13350.77"/>
  </r>
  <r>
    <n v="4442.4399999999996"/>
  </r>
  <r>
    <n v="23633.39"/>
  </r>
  <r>
    <n v="82.07"/>
  </r>
  <r>
    <n v="7702.07"/>
  </r>
  <r>
    <n v="1268.6500000000001"/>
  </r>
  <r>
    <n v="5752.08"/>
  </r>
  <r>
    <n v="6549.89"/>
  </r>
  <r>
    <n v="10397.34"/>
  </r>
  <r>
    <n v="11714.86"/>
  </r>
  <r>
    <n v="7868.81"/>
  </r>
  <r>
    <n v="7308.82"/>
  </r>
  <r>
    <n v="2489.7199999999998"/>
  </r>
  <r>
    <n v="11721.75"/>
  </r>
  <r>
    <n v="7175.33"/>
  </r>
  <r>
    <n v="111.56"/>
  </r>
  <r>
    <n v="15792.22"/>
  </r>
  <r>
    <n v="9805.51"/>
  </r>
  <r>
    <n v="1089.02"/>
  </r>
  <r>
    <n v="5042.28"/>
  </r>
  <r>
    <n v="6883.35"/>
  </r>
  <r>
    <n v="1173.3399999999999"/>
  </r>
  <r>
    <n v="510.51"/>
  </r>
  <r>
    <n v="15609.57"/>
  </r>
  <r>
    <n v="11717.47"/>
  </r>
  <r>
    <n v="5477.62"/>
  </r>
  <r>
    <n v="7006.51"/>
  </r>
  <r>
    <n v="7045.2"/>
  </r>
  <r>
    <n v="14350.41"/>
  </r>
  <r>
    <n v="1359.3"/>
  </r>
  <r>
    <n v="4114.22"/>
  </r>
  <r>
    <n v="15402.72"/>
  </r>
  <r>
    <n v="824.54"/>
  </r>
  <r>
    <n v="5087.3999999999996"/>
  </r>
  <r>
    <n v="7974.36"/>
  </r>
  <r>
    <n v="7516.37"/>
  </r>
  <r>
    <n v="454.83"/>
  </r>
  <r>
    <n v="12987.09"/>
  </r>
  <r>
    <n v="17920.830000000002"/>
  </r>
  <r>
    <n v="12225.24"/>
  </r>
  <r>
    <n v="6117.88"/>
  </r>
  <r>
    <n v="3125.23"/>
  </r>
  <r>
    <n v="6188.69"/>
  </r>
  <r>
    <n v="2850.4"/>
  </r>
  <r>
    <n v="531.72"/>
  </r>
  <r>
    <n v="1032.76"/>
  </r>
  <r>
    <n v="11367.02"/>
  </r>
  <r>
    <n v="11784.26"/>
  </r>
  <r>
    <n v="5966.9"/>
  </r>
  <r>
    <n v="2410.52"/>
  </r>
  <r>
    <n v="8774.7199999999993"/>
  </r>
  <r>
    <n v="12943.02"/>
  </r>
  <r>
    <n v="23632.07"/>
  </r>
  <r>
    <n v="358.99"/>
  </r>
  <r>
    <n v="13776.56"/>
  </r>
  <r>
    <n v="8695.9500000000007"/>
  </r>
  <r>
    <n v="8545.09"/>
  </r>
  <r>
    <n v="5853.05"/>
  </r>
  <r>
    <n v="1663.47"/>
  </r>
  <r>
    <n v="1611.85"/>
  </r>
  <r>
    <n v="1265.42"/>
  </r>
  <r>
    <n v="4571.01"/>
  </r>
  <r>
    <n v="16799.560000000001"/>
  </r>
  <r>
    <n v="2276.17"/>
  </r>
  <r>
    <n v="6605.61"/>
  </r>
  <r>
    <n v="13180.49"/>
  </r>
  <r>
    <n v="20641.73"/>
  </r>
  <r>
    <n v="1414.24"/>
  </r>
  <r>
    <n v="17441.099999999999"/>
  </r>
  <r>
    <n v="2848.03"/>
  </r>
  <r>
    <n v="5464.82"/>
  </r>
  <r>
    <n v="13184.63"/>
  </r>
  <r>
    <n v="4005.76"/>
  </r>
  <r>
    <n v="933.79"/>
  </r>
  <r>
    <n v="3427.33"/>
  </r>
  <r>
    <n v="4982.3500000000004"/>
  </r>
  <r>
    <n v="2061.34"/>
  </r>
  <r>
    <n v="6691.56"/>
  </r>
  <r>
    <n v="2000.91"/>
  </r>
  <r>
    <n v="2655.51"/>
  </r>
  <r>
    <n v="2802.45"/>
  </r>
  <r>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1">
  <r>
    <n v="44.9"/>
  </r>
  <r>
    <n v="1556.4"/>
  </r>
  <r>
    <n v="3301.47"/>
  </r>
  <r>
    <n v="2864.77"/>
  </r>
  <r>
    <n v="343.85"/>
  </r>
  <r>
    <n v="2.08"/>
  </r>
  <r>
    <n v="9665.59"/>
  </r>
  <r>
    <n v="1459.16"/>
  </r>
  <r>
    <n v="-139.22999999999999"/>
  </r>
  <r>
    <n v="5968.17"/>
  </r>
  <r>
    <n v="965.93"/>
  </r>
  <r>
    <n v="4004.77"/>
  </r>
  <r>
    <n v="8883.17"/>
  </r>
  <r>
    <n v="1102.6600000000001"/>
  </r>
  <r>
    <n v="-390.65"/>
  </r>
  <r>
    <n v="12940.51"/>
  </r>
  <r>
    <n v="4349.8599999999997"/>
  </r>
  <r>
    <n v="11721.23"/>
  </r>
  <r>
    <n v="286.19"/>
  </r>
  <r>
    <n v="11505.46"/>
  </r>
  <r>
    <n v="9426.6200000000008"/>
  </r>
  <r>
    <n v="3015.05"/>
  </r>
  <r>
    <n v="4669.41"/>
  </r>
  <r>
    <n v="853.87"/>
  </r>
  <r>
    <n v="-5255.14"/>
  </r>
  <r>
    <n v="13520.38"/>
  </r>
  <r>
    <n v="-1697.37"/>
  </r>
  <r>
    <n v="1769.21"/>
  </r>
  <r>
    <n v="8314.4"/>
  </r>
  <r>
    <n v="474.96"/>
  </r>
  <r>
    <n v="1303.81"/>
  </r>
  <r>
    <n v="6272.09"/>
  </r>
  <r>
    <n v="1531.6"/>
  </r>
  <r>
    <n v="140.27000000000001"/>
  </r>
  <r>
    <n v="2659.35"/>
  </r>
  <r>
    <n v="128.07"/>
  </r>
  <r>
    <n v="-2786.94"/>
  </r>
  <r>
    <n v="14918.72"/>
  </r>
  <r>
    <n v="884.31"/>
  </r>
  <r>
    <n v="5125.13"/>
  </r>
  <r>
    <n v="-2449.8000000000002"/>
  </r>
  <r>
    <n v="-334.5"/>
  </r>
  <r>
    <n v="6248.51"/>
  </r>
  <r>
    <n v="493.83"/>
  </r>
  <r>
    <n v="1609.74"/>
  </r>
  <r>
    <n v="-209.17"/>
  </r>
  <r>
    <n v="1224.9000000000001"/>
  </r>
  <r>
    <n v="1855.56"/>
  </r>
  <r>
    <n v="1358.81"/>
  </r>
  <r>
    <n v="1319.45"/>
  </r>
  <r>
    <n v="14196.23"/>
  </r>
  <r>
    <n v="817.87"/>
  </r>
  <r>
    <n v="11440.89"/>
  </r>
  <r>
    <n v="9011.19"/>
  </r>
  <r>
    <n v="1259.8499999999999"/>
  </r>
  <r>
    <n v="215.98"/>
  </r>
  <r>
    <n v="4832.6499999999996"/>
  </r>
  <r>
    <n v="-2083.83"/>
  </r>
  <r>
    <n v="1049.92"/>
  </r>
  <r>
    <n v="13520.67"/>
  </r>
  <r>
    <n v="-2166.23"/>
  </r>
  <r>
    <n v="356.54"/>
  </r>
  <r>
    <n v="-6055.14"/>
  </r>
  <r>
    <n v="3960.71"/>
  </r>
  <r>
    <n v="6136.27"/>
  </r>
  <r>
    <n v="-2103.31"/>
  </r>
  <r>
    <n v="4363.51"/>
  </r>
  <r>
    <n v="1362.45"/>
  </r>
  <r>
    <n v="2425.6999999999998"/>
  </r>
  <r>
    <n v="-3201.87"/>
  </r>
  <r>
    <n v="475.23"/>
  </r>
  <r>
    <n v="-154.55000000000001"/>
  </r>
  <r>
    <n v="1185.51"/>
  </r>
  <r>
    <n v="2287.56"/>
  </r>
  <r>
    <n v="953.76"/>
  </r>
  <r>
    <n v="10253.11"/>
  </r>
  <r>
    <n v="-2428.36"/>
  </r>
  <r>
    <n v="10368.07"/>
  </r>
  <r>
    <n v="-3607.7"/>
  </r>
  <r>
    <n v="-7236.16"/>
  </r>
  <r>
    <n v="3185.77"/>
  </r>
  <r>
    <n v="450.41"/>
  </r>
  <r>
    <n v="3258.27"/>
  </r>
  <r>
    <n v="214.18"/>
  </r>
  <r>
    <n v="-3619.14"/>
  </r>
  <r>
    <n v="5932.15"/>
  </r>
  <r>
    <n v="4395.09"/>
  </r>
  <r>
    <n v="-5748.12"/>
  </r>
  <r>
    <n v="665.21"/>
  </r>
  <r>
    <n v="8850.98"/>
  </r>
  <r>
    <n v="1218.06"/>
  </r>
  <r>
    <n v="10354.58"/>
  </r>
  <r>
    <n v="-2237.4499999999998"/>
  </r>
  <r>
    <n v="-5591.95"/>
  </r>
  <r>
    <n v="4940.1899999999996"/>
  </r>
  <r>
    <n v="13735.08"/>
  </r>
  <r>
    <n v="-273.07"/>
  </r>
  <r>
    <n v="997.05"/>
  </r>
  <r>
    <n v="7861.21"/>
  </r>
  <r>
    <n v="522.77"/>
  </r>
  <r>
    <n v="3064.8"/>
  </r>
  <r>
    <n v="842.9"/>
  </r>
  <r>
    <n v="667.42"/>
  </r>
  <r>
    <n v="911.04"/>
  </r>
  <r>
    <n v="-69.430000000000007"/>
  </r>
  <r>
    <n v="10515.48"/>
  </r>
  <r>
    <n v="-8442.1299999999992"/>
  </r>
  <r>
    <n v="7128.93"/>
  </r>
  <r>
    <n v="6287.9"/>
  </r>
  <r>
    <n v="6102.13"/>
  </r>
  <r>
    <n v="-62.27"/>
  </r>
  <r>
    <n v="-5501.4"/>
  </r>
  <r>
    <n v="10541.59"/>
  </r>
  <r>
    <n v="4621.1099999999997"/>
  </r>
  <r>
    <n v="-659.1"/>
  </r>
  <r>
    <n v="-762.23"/>
  </r>
  <r>
    <n v="266.64"/>
  </r>
  <r>
    <n v="2379.12"/>
  </r>
  <r>
    <n v="2235.15"/>
  </r>
  <r>
    <n v="2928.89"/>
  </r>
  <r>
    <n v="4018.14"/>
  </r>
  <r>
    <n v="119.62"/>
  </r>
  <r>
    <n v="3055.82"/>
  </r>
  <r>
    <n v="5577.34"/>
  </r>
  <r>
    <n v="8444.69"/>
  </r>
  <r>
    <n v="20649.59"/>
  </r>
  <r>
    <n v="-331.22"/>
  </r>
  <r>
    <n v="1902.05"/>
  </r>
  <r>
    <n v="4761.04"/>
  </r>
  <r>
    <n v="-56.82"/>
  </r>
  <r>
    <n v="1056.82"/>
  </r>
  <r>
    <n v="3356.23"/>
  </r>
  <r>
    <n v="3779.08"/>
  </r>
  <r>
    <n v="1355.17"/>
  </r>
  <r>
    <n v="1902.9"/>
  </r>
  <r>
    <n v="2294.1799999999998"/>
  </r>
  <r>
    <n v="3286.22"/>
  </r>
  <r>
    <n v="-2624.88"/>
  </r>
  <r>
    <n v="-1609.01"/>
  </r>
  <r>
    <n v="-190.18"/>
  </r>
  <r>
    <n v="10280.91"/>
  </r>
  <r>
    <n v="-1020.24"/>
  </r>
  <r>
    <n v="452.45"/>
  </r>
  <r>
    <n v="247.14"/>
  </r>
  <r>
    <n v="4816.8599999999997"/>
  </r>
  <r>
    <n v="-692.97"/>
  </r>
  <r>
    <n v="1015.92"/>
  </r>
  <r>
    <n v="6946.68"/>
  </r>
  <r>
    <n v="-5135.18"/>
  </r>
  <r>
    <n v="986.34"/>
  </r>
  <r>
    <n v="648.21"/>
  </r>
  <r>
    <n v="3464.8"/>
  </r>
  <r>
    <n v="17688.28"/>
  </r>
  <r>
    <n v="1408.82"/>
  </r>
  <r>
    <n v="-17.48"/>
  </r>
  <r>
    <n v="9238.67"/>
  </r>
  <r>
    <n v="125.98"/>
  </r>
  <r>
    <n v="4744.6499999999996"/>
  </r>
  <r>
    <n v="-566.30999999999995"/>
  </r>
  <r>
    <n v="-1833.6"/>
  </r>
  <r>
    <n v="-875.59"/>
  </r>
  <r>
    <n v="1126.25"/>
  </r>
  <r>
    <n v="9531.16"/>
  </r>
  <r>
    <n v="-2388.25"/>
  </r>
  <r>
    <n v="3216.48"/>
  </r>
  <r>
    <n v="316.67"/>
  </r>
  <r>
    <n v="9341.5300000000007"/>
  </r>
  <r>
    <n v="4432.08"/>
  </r>
  <r>
    <n v="10296.52"/>
  </r>
  <r>
    <n v="1187.07"/>
  </r>
  <r>
    <n v="4990.1499999999996"/>
  </r>
  <r>
    <n v="7682.99"/>
  </r>
  <r>
    <n v="3687.69"/>
  </r>
  <r>
    <n v="4241.6099999999997"/>
  </r>
  <r>
    <n v="329.18"/>
  </r>
  <r>
    <n v="8990.57"/>
  </r>
  <r>
    <n v="6933.3"/>
  </r>
  <r>
    <n v="2769.56"/>
  </r>
  <r>
    <n v="-698.9"/>
  </r>
  <r>
    <n v="640.04"/>
  </r>
  <r>
    <n v="-3410.95"/>
  </r>
  <r>
    <n v="-201.24"/>
  </r>
  <r>
    <n v="4136.3100000000004"/>
  </r>
  <r>
    <n v="619.75"/>
  </r>
  <r>
    <n v="575.6"/>
  </r>
  <r>
    <n v="14602.37"/>
  </r>
  <r>
    <n v="20269.89"/>
  </r>
  <r>
    <n v="7530.3"/>
  </r>
  <r>
    <n v="-3559.97"/>
  </r>
  <r>
    <n v="15471.7"/>
  </r>
  <r>
    <n v="-196.14"/>
  </r>
  <r>
    <n v="-5225"/>
  </r>
  <r>
    <n v="-3717.75"/>
  </r>
  <r>
    <n v="7441.33"/>
  </r>
  <r>
    <n v="547.39"/>
  </r>
  <r>
    <n v="1204.44"/>
  </r>
  <r>
    <n v="-6930.69"/>
  </r>
  <r>
    <n v="6703.08"/>
  </r>
  <r>
    <n v="8343.9500000000007"/>
  </r>
  <r>
    <n v="-328.32"/>
  </r>
  <r>
    <n v="111.68"/>
  </r>
  <r>
    <n v="237.37"/>
  </r>
  <r>
    <n v="-1155.9100000000001"/>
  </r>
  <r>
    <n v="-114.13"/>
  </r>
  <r>
    <n v="4496.51"/>
  </r>
  <r>
    <n v="-1507.6"/>
  </r>
  <r>
    <n v="11906.11"/>
  </r>
  <r>
    <n v="8197.33"/>
  </r>
  <r>
    <n v="1035.77"/>
  </r>
  <r>
    <n v="-2879.55"/>
  </r>
  <r>
    <n v="1625.7"/>
  </r>
  <r>
    <n v="1938.06"/>
  </r>
  <r>
    <n v="5151.6899999999996"/>
  </r>
  <r>
    <n v="343.45"/>
  </r>
  <r>
    <n v="-3822.47"/>
  </r>
  <r>
    <n v="3595.9"/>
  </r>
  <r>
    <n v="1104.3699999999999"/>
  </r>
  <r>
    <n v="4347.71"/>
  </r>
  <r>
    <n v="-324.08"/>
  </r>
  <r>
    <n v="-1385.14"/>
  </r>
  <r>
    <n v="9321.74"/>
  </r>
  <r>
    <n v="-808.44"/>
  </r>
  <r>
    <n v="296.14"/>
  </r>
  <r>
    <n v="3243.26"/>
  </r>
  <r>
    <n v="11566.65"/>
  </r>
  <r>
    <n v="-3263.21"/>
  </r>
  <r>
    <n v="14921.03"/>
  </r>
  <r>
    <n v="6872.38"/>
  </r>
  <r>
    <n v="1209.0899999999999"/>
  </r>
  <r>
    <n v="7782.99"/>
  </r>
  <r>
    <n v="7402.95"/>
  </r>
  <r>
    <n v="1400.75"/>
  </r>
  <r>
    <n v="1306.67"/>
  </r>
  <r>
    <n v="9412.35"/>
  </r>
  <r>
    <n v="12386.94"/>
  </r>
  <r>
    <n v="5211.6499999999996"/>
  </r>
  <r>
    <n v="7226.72"/>
  </r>
  <r>
    <n v="4800.42"/>
  </r>
  <r>
    <n v="18.16"/>
  </r>
  <r>
    <n v="15.83"/>
  </r>
  <r>
    <n v="8363.9500000000007"/>
  </r>
  <r>
    <n v="-24.77"/>
  </r>
  <r>
    <n v="5323.63"/>
  </r>
  <r>
    <n v="2437.62"/>
  </r>
  <r>
    <n v="2193.96"/>
  </r>
  <r>
    <n v="1824.93"/>
  </r>
  <r>
    <n v="8365.44"/>
  </r>
  <r>
    <n v="7990.44"/>
  </r>
  <r>
    <n v="-2679.18"/>
  </r>
  <r>
    <n v="-2516.0700000000002"/>
  </r>
  <r>
    <n v="656.93"/>
  </r>
  <r>
    <n v="552.79999999999995"/>
  </r>
  <r>
    <n v="13757.62"/>
  </r>
  <r>
    <n v="-291.2"/>
  </r>
  <r>
    <n v="10568.68"/>
  </r>
  <r>
    <n v="-4457.46"/>
  </r>
  <r>
    <n v="710.14"/>
  </r>
  <r>
    <n v="7961.2"/>
  </r>
  <r>
    <n v="325.39"/>
  </r>
  <r>
    <n v="-3463.36"/>
  </r>
  <r>
    <n v="537.04999999999995"/>
  </r>
  <r>
    <n v="2039.5"/>
  </r>
  <r>
    <n v="-1116.8399999999999"/>
  </r>
  <r>
    <n v="1176.5"/>
  </r>
  <r>
    <n v="151.68"/>
  </r>
  <r>
    <n v="5485.8"/>
  </r>
  <r>
    <n v="18378.810000000001"/>
  </r>
  <r>
    <n v="-3264.47"/>
  </r>
  <r>
    <n v="11735.62"/>
  </r>
  <r>
    <n v="-4516.7"/>
  </r>
  <r>
    <n v="916.53"/>
  </r>
  <r>
    <n v="1863.7"/>
  </r>
  <r>
    <n v="1599.29"/>
  </r>
  <r>
    <n v="56.27"/>
  </r>
  <r>
    <n v="-493.11"/>
  </r>
  <r>
    <n v="-786.08"/>
  </r>
  <r>
    <n v="10279.58"/>
  </r>
  <r>
    <n v="9392.7000000000007"/>
  </r>
  <r>
    <n v="83.08"/>
  </r>
  <r>
    <n v="5728.9"/>
  </r>
  <r>
    <n v="2358.4299999999998"/>
  </r>
  <r>
    <n v="-993.96"/>
  </r>
  <r>
    <n v="7276.6"/>
  </r>
  <r>
    <n v="2518.6"/>
  </r>
  <r>
    <n v="54.09"/>
  </r>
  <r>
    <n v="-2031.82"/>
  </r>
  <r>
    <n v="-991.19"/>
  </r>
  <r>
    <n v="5777.49"/>
  </r>
  <r>
    <n v="2169.29"/>
  </r>
  <r>
    <n v="51.97"/>
  </r>
  <r>
    <n v="10024.07"/>
  </r>
  <r>
    <n v="2479.25"/>
  </r>
  <r>
    <n v="7523.71"/>
  </r>
  <r>
    <n v="11394.36"/>
  </r>
  <r>
    <n v="-143.91"/>
  </r>
  <r>
    <n v="1289.1300000000001"/>
  </r>
  <r>
    <n v="4216.8"/>
  </r>
  <r>
    <n v="-947.52"/>
  </r>
  <r>
    <n v="817.95"/>
  </r>
  <r>
    <n v="328.78"/>
  </r>
  <r>
    <n v="5090.84"/>
  </r>
  <r>
    <n v="-244.01"/>
  </r>
  <r>
    <n v="9551.93"/>
  </r>
  <r>
    <n v="5905.24"/>
  </r>
  <r>
    <n v="5859.41"/>
  </r>
  <r>
    <n v="12737.14"/>
  </r>
  <r>
    <n v="1107.56"/>
  </r>
  <r>
    <n v="13164.73"/>
  </r>
  <r>
    <n v="2097.87"/>
  </r>
  <r>
    <n v="-2417.04"/>
  </r>
  <r>
    <n v="1054.54"/>
  </r>
  <r>
    <n v="848.25"/>
  </r>
  <r>
    <n v="575.99"/>
  </r>
  <r>
    <n v="9371.5"/>
  </r>
  <r>
    <n v="241.15"/>
  </r>
  <r>
    <n v="-4241.82"/>
  </r>
  <r>
    <n v="512.27"/>
  </r>
  <r>
    <n v="9239.4"/>
  </r>
  <r>
    <n v="6934.52"/>
  </r>
  <r>
    <n v="4184.75"/>
  </r>
  <r>
    <n v="6485.77"/>
  </r>
  <r>
    <n v="6750.82"/>
  </r>
  <r>
    <n v="8129.44"/>
  </r>
  <r>
    <n v="5177.24"/>
  </r>
  <r>
    <n v="11162.56"/>
  </r>
  <r>
    <n v="4380.58"/>
  </r>
  <r>
    <n v="-3166.87"/>
  </r>
  <r>
    <n v="5442.59"/>
  </r>
  <r>
    <n v="5732.94"/>
  </r>
  <r>
    <n v="555.79999999999995"/>
  </r>
  <r>
    <n v="5777.15"/>
  </r>
  <r>
    <n v="11571.63"/>
  </r>
  <r>
    <n v="-43.61"/>
  </r>
  <r>
    <n v="4352.79"/>
  </r>
  <r>
    <n v="653.66999999999996"/>
  </r>
  <r>
    <n v="7993.47"/>
  </r>
  <r>
    <n v="3870.79"/>
  </r>
  <r>
    <n v="4285.03"/>
  </r>
  <r>
    <n v="-2075.63"/>
  </r>
  <r>
    <n v="2588.69"/>
  </r>
  <r>
    <n v="4971.68"/>
  </r>
  <r>
    <n v="11671.1"/>
  </r>
  <r>
    <n v="141.41"/>
  </r>
  <r>
    <n v="1657.49"/>
  </r>
  <r>
    <n v="1887.2"/>
  </r>
  <r>
    <n v="17068.37"/>
  </r>
  <r>
    <n v="7069.1"/>
  </r>
  <r>
    <n v="-659.15"/>
  </r>
  <r>
    <n v="144"/>
  </r>
  <r>
    <n v="3843.21"/>
  </r>
  <r>
    <n v="-1711.5"/>
  </r>
  <r>
    <n v="-3045.46"/>
  </r>
  <r>
    <n v="-319.86"/>
  </r>
  <r>
    <n v="2678.75"/>
  </r>
  <r>
    <n v="2532.81"/>
  </r>
  <r>
    <n v="13561.43"/>
  </r>
  <r>
    <n v="4368.7299999999996"/>
  </r>
  <r>
    <n v="12612.3"/>
  </r>
  <r>
    <n v="602.87"/>
  </r>
  <r>
    <n v="3089.14"/>
  </r>
  <r>
    <n v="1210.72"/>
  </r>
  <r>
    <n v="8172.89"/>
  </r>
  <r>
    <n v="12786.83"/>
  </r>
  <r>
    <n v="367.45"/>
  </r>
  <r>
    <n v="-984.92"/>
  </r>
  <r>
    <n v="-378.98"/>
  </r>
  <r>
    <n v="8084.81"/>
  </r>
  <r>
    <n v="-4333.3"/>
  </r>
  <r>
    <n v="15510.67"/>
  </r>
  <r>
    <n v="18304.46"/>
  </r>
  <r>
    <n v="12005.02"/>
  </r>
  <r>
    <n v="3188.26"/>
  </r>
  <r>
    <n v="17295.41"/>
  </r>
  <r>
    <n v="6123.59"/>
  </r>
  <r>
    <n v="76.02"/>
  </r>
  <r>
    <n v="-1841.22"/>
  </r>
  <r>
    <n v="4717.87"/>
  </r>
  <r>
    <n v="-6387.85"/>
  </r>
  <r>
    <n v="-1924.89"/>
  </r>
  <r>
    <n v="13195.24"/>
  </r>
  <r>
    <n v="769.04"/>
  </r>
  <r>
    <n v="437.21"/>
  </r>
  <r>
    <n v="6313.81"/>
  </r>
  <r>
    <n v="5716.59"/>
  </r>
  <r>
    <n v="3268.22"/>
  </r>
  <r>
    <n v="14936.21"/>
  </r>
  <r>
    <n v="2499.1999999999998"/>
  </r>
  <r>
    <n v="-2977.41"/>
  </r>
  <r>
    <n v="3693"/>
  </r>
  <r>
    <n v="-1918.06"/>
  </r>
  <r>
    <n v="18005.830000000002"/>
  </r>
  <r>
    <n v="2495.61"/>
  </r>
  <r>
    <n v="1601.05"/>
  </r>
  <r>
    <n v="-1072.48"/>
  </r>
  <r>
    <n v="1706.14"/>
  </r>
  <r>
    <n v="9045.7999999999993"/>
  </r>
  <r>
    <n v="-223.43"/>
  </r>
  <r>
    <n v="8286.32"/>
  </r>
  <r>
    <n v="-1284.3800000000001"/>
  </r>
  <r>
    <n v="-926.4"/>
  </r>
  <r>
    <n v="3133.94"/>
  </r>
  <r>
    <n v="14752.32"/>
  </r>
  <r>
    <n v="8161.45"/>
  </r>
  <r>
    <n v="2042.58"/>
  </r>
  <r>
    <n v="7201.21"/>
  </r>
  <r>
    <n v="4495.71"/>
  </r>
  <r>
    <n v="9196.73"/>
  </r>
  <r>
    <n v="1295.5999999999999"/>
  </r>
  <r>
    <n v="5592.05"/>
  </r>
  <r>
    <n v="3913.64"/>
  </r>
  <r>
    <n v="-2754.27"/>
  </r>
  <r>
    <n v="2098.84"/>
  </r>
  <r>
    <n v="2903.39"/>
  </r>
  <r>
    <n v="7531.46"/>
  </r>
  <r>
    <n v="292.16000000000003"/>
  </r>
  <r>
    <n v="1672.18"/>
  </r>
  <r>
    <n v="1755.54"/>
  </r>
  <r>
    <n v="298.48"/>
  </r>
  <r>
    <n v="2798.82"/>
  </r>
  <r>
    <n v="3336.82"/>
  </r>
  <r>
    <n v="-499.82"/>
  </r>
  <r>
    <n v="-3934.26"/>
  </r>
  <r>
    <n v="5992.54"/>
  </r>
  <r>
    <n v="2386.63"/>
  </r>
  <r>
    <n v="2322.7600000000002"/>
  </r>
  <r>
    <n v="-940.93"/>
  </r>
  <r>
    <n v="13855.43"/>
  </r>
  <r>
    <n v="4943.4799999999996"/>
  </r>
  <r>
    <n v="-57.34"/>
  </r>
  <r>
    <n v="542.13"/>
  </r>
  <r>
    <n v="5960.38"/>
  </r>
  <r>
    <n v="10598.51"/>
  </r>
  <r>
    <n v="1475.31"/>
  </r>
  <r>
    <n v="2469.4"/>
  </r>
  <r>
    <n v="8856.5499999999993"/>
  </r>
  <r>
    <n v="2945.08"/>
  </r>
  <r>
    <n v="1406.32"/>
  </r>
  <r>
    <n v="2679.08"/>
  </r>
  <r>
    <n v="2281.86"/>
  </r>
  <r>
    <n v="-760.61"/>
  </r>
  <r>
    <n v="11652.99"/>
  </r>
  <r>
    <n v="6649.7"/>
  </r>
  <r>
    <n v="-269.12"/>
  </r>
  <r>
    <n v="10842.01"/>
  </r>
  <r>
    <n v="827.82"/>
  </r>
  <r>
    <n v="-996.62"/>
  </r>
  <r>
    <n v="-2257.73"/>
  </r>
  <r>
    <n v="-1388.55"/>
  </r>
  <r>
    <n v="1192.0999999999999"/>
  </r>
  <r>
    <n v="649.59"/>
  </r>
  <r>
    <n v="13888.57"/>
  </r>
  <r>
    <n v="108.49"/>
  </r>
  <r>
    <n v="1004"/>
  </r>
  <r>
    <n v="-7671"/>
  </r>
  <r>
    <n v="208.31"/>
  </r>
  <r>
    <n v="14741.47"/>
  </r>
  <r>
    <n v="2136.86"/>
  </r>
  <r>
    <n v="7915.74"/>
  </r>
  <r>
    <n v="-4341.96"/>
  </r>
  <r>
    <n v="-1410.44"/>
  </r>
  <r>
    <n v="519.49"/>
  </r>
  <r>
    <n v="9946.01"/>
  </r>
  <r>
    <n v="4839.2700000000004"/>
  </r>
  <r>
    <n v="4995.34"/>
  </r>
  <r>
    <n v="1521.21"/>
  </r>
  <r>
    <n v="1548.59"/>
  </r>
  <r>
    <n v="4000.52"/>
  </r>
  <r>
    <n v="268.16000000000003"/>
  </r>
  <r>
    <n v="541.37"/>
  </r>
  <r>
    <n v="4326.6499999999996"/>
  </r>
  <r>
    <n v="10431.700000000001"/>
  </r>
  <r>
    <n v="456.36"/>
  </r>
  <r>
    <n v="2949.31"/>
  </r>
  <r>
    <n v="-827.44"/>
  </r>
  <r>
    <n v="198.34"/>
  </r>
  <r>
    <n v="-1911.57"/>
  </r>
  <r>
    <n v="961.13"/>
  </r>
  <r>
    <n v="-38.9"/>
  </r>
  <r>
    <n v="6141.36"/>
  </r>
  <r>
    <n v="4405.1899999999996"/>
  </r>
  <r>
    <n v="-883.9"/>
  </r>
  <r>
    <n v="8567.31"/>
  </r>
  <r>
    <n v="4278.28"/>
  </r>
  <r>
    <n v="1182.4100000000001"/>
  </r>
  <r>
    <n v="7071.7"/>
  </r>
  <r>
    <n v="7178.25"/>
  </r>
  <r>
    <n v="8775.57"/>
  </r>
  <r>
    <n v="2798.13"/>
  </r>
  <r>
    <n v="1271.99"/>
  </r>
  <r>
    <n v="2760.85"/>
  </r>
  <r>
    <n v="15599.22"/>
  </r>
  <r>
    <n v="3449.08"/>
  </r>
  <r>
    <n v="-3242.88"/>
  </r>
  <r>
    <n v="6354.93"/>
  </r>
  <r>
    <n v="-4299.58"/>
  </r>
  <r>
    <n v="289.83"/>
  </r>
  <r>
    <n v="10795.29"/>
  </r>
  <r>
    <n v="2027.58"/>
  </r>
  <r>
    <n v="1015.3"/>
  </r>
  <r>
    <n v="-2311.1"/>
  </r>
  <r>
    <n v="-141.18"/>
  </r>
  <r>
    <n v="8488.64"/>
  </r>
  <r>
    <n v="4402.8100000000004"/>
  </r>
  <r>
    <n v="3680.16"/>
  </r>
  <r>
    <n v="13306.81"/>
  </r>
  <r>
    <n v="6625.04"/>
  </r>
  <r>
    <n v="1173.18"/>
  </r>
  <r>
    <n v="4790.7700000000004"/>
  </r>
  <r>
    <n v="-2383.61"/>
  </r>
  <r>
    <n v="5902.12"/>
  </r>
  <r>
    <n v="1137.83"/>
  </r>
  <r>
    <n v="8766.86"/>
  </r>
  <r>
    <n v="642.28"/>
  </r>
  <r>
    <n v="-7373.83"/>
  </r>
  <r>
    <n v="-2271.98"/>
  </r>
  <r>
    <n v="-82.26"/>
  </r>
  <r>
    <n v="405.03"/>
  </r>
  <r>
    <n v="-2835.71"/>
  </r>
  <r>
    <n v="4706.3500000000004"/>
  </r>
  <r>
    <n v="2066.79"/>
  </r>
  <r>
    <n v="558.42999999999995"/>
  </r>
  <r>
    <n v="7203.72"/>
  </r>
  <r>
    <n v="9242.77"/>
  </r>
  <r>
    <n v="7325.85"/>
  </r>
  <r>
    <n v="6410.51"/>
  </r>
  <r>
    <n v="14924.86"/>
  </r>
  <r>
    <n v="8836.92"/>
  </r>
  <r>
    <n v="-2133.38"/>
  </r>
  <r>
    <n v="5172.83"/>
  </r>
  <r>
    <n v="3827.01"/>
  </r>
  <r>
    <n v="-3589.59"/>
  </r>
  <r>
    <n v="3572.33"/>
  </r>
  <r>
    <n v="1171.3"/>
  </r>
  <r>
    <n v="6946.86"/>
  </r>
  <r>
    <n v="42.24"/>
  </r>
  <r>
    <n v="238.66"/>
  </r>
  <r>
    <n v="9235.41"/>
  </r>
  <r>
    <n v="-579.9"/>
  </r>
  <r>
    <n v="9500.24"/>
  </r>
  <r>
    <n v="-426.91"/>
  </r>
  <r>
    <n v="728.23"/>
  </r>
  <r>
    <n v="10674.08"/>
  </r>
  <r>
    <n v="133.66999999999999"/>
  </r>
  <r>
    <n v="8938.2800000000007"/>
  </r>
  <r>
    <n v="695.41"/>
  </r>
  <r>
    <n v="3701.73"/>
  </r>
  <r>
    <n v="6203.47"/>
  </r>
  <r>
    <n v="2686.61"/>
  </r>
  <r>
    <n v="2043.6"/>
  </r>
  <r>
    <n v="-3162.71"/>
  </r>
  <r>
    <n v="4199.9799999999996"/>
  </r>
  <r>
    <n v="246.24"/>
  </r>
  <r>
    <n v="21276.42"/>
  </r>
  <r>
    <n v="1646.35"/>
  </r>
  <r>
    <n v="5265.35"/>
  </r>
  <r>
    <n v="36.18"/>
  </r>
  <r>
    <n v="694.8"/>
  </r>
  <r>
    <n v="459.07"/>
  </r>
  <r>
    <n v="-342.66"/>
  </r>
  <r>
    <n v="-1108.03"/>
  </r>
  <r>
    <n v="4335.68"/>
  </r>
  <r>
    <n v="19973.34"/>
  </r>
  <r>
    <n v="5981.99"/>
  </r>
  <r>
    <n v="3920.26"/>
  </r>
  <r>
    <n v="2712.3"/>
  </r>
  <r>
    <n v="19241.05"/>
  </r>
  <r>
    <n v="-2874.86"/>
  </r>
  <r>
    <n v="989.19"/>
  </r>
  <r>
    <n v="2315.58"/>
  </r>
  <r>
    <n v="865.14"/>
  </r>
  <r>
    <n v="-788.55"/>
  </r>
  <r>
    <n v="-394.03"/>
  </r>
  <r>
    <n v="3371.93"/>
  </r>
  <r>
    <n v="4771.8"/>
  </r>
  <r>
    <n v="14828.94"/>
  </r>
  <r>
    <n v="896.57"/>
  </r>
  <r>
    <n v="-674.02"/>
  </r>
  <r>
    <n v="4483.78"/>
  </r>
  <r>
    <n v="7355.36"/>
  </r>
  <r>
    <n v="11244.22"/>
  </r>
  <r>
    <n v="2569.09"/>
  </r>
  <r>
    <n v="2667.79"/>
  </r>
  <r>
    <n v="7366.17"/>
  </r>
  <r>
    <n v="-496.37"/>
  </r>
  <r>
    <n v="-1496.61"/>
  </r>
  <r>
    <n v="-3517.09"/>
  </r>
  <r>
    <n v="-87.78"/>
  </r>
  <r>
    <n v="3381.58"/>
  </r>
  <r>
    <n v="1918.37"/>
  </r>
  <r>
    <n v="-2108.67"/>
  </r>
  <r>
    <n v="7801.75"/>
  </r>
  <r>
    <n v="2485.63"/>
  </r>
  <r>
    <n v="1436.99"/>
  </r>
  <r>
    <n v="-475.44"/>
  </r>
  <r>
    <n v="-984.42"/>
  </r>
  <r>
    <n v="6210.06"/>
  </r>
  <r>
    <n v="471.65"/>
  </r>
  <r>
    <n v="-2575.4299999999998"/>
  </r>
  <r>
    <n v="3469.28"/>
  </r>
  <r>
    <n v="3602.94"/>
  </r>
  <r>
    <n v="2103.29"/>
  </r>
  <r>
    <n v="-28.01"/>
  </r>
  <r>
    <n v="4871"/>
  </r>
  <r>
    <n v="10821.03"/>
  </r>
  <r>
    <n v="8736.0300000000007"/>
  </r>
  <r>
    <n v="11221.69"/>
  </r>
  <r>
    <n v="-4056.04"/>
  </r>
  <r>
    <n v="7570.27"/>
  </r>
  <r>
    <n v="4488.07"/>
  </r>
  <r>
    <n v="3305.97"/>
  </r>
  <r>
    <n v="4939.8"/>
  </r>
  <r>
    <n v="-499.15"/>
  </r>
  <r>
    <n v="-1298.6199999999999"/>
  </r>
  <r>
    <n v="-589.13"/>
  </r>
  <r>
    <n v="4509.46"/>
  </r>
  <r>
    <n v="1672.31"/>
  </r>
  <r>
    <n v="1083.05"/>
  </r>
  <r>
    <n v="287.75"/>
  </r>
  <r>
    <n v="2919.7"/>
  </r>
  <r>
    <n v="626.02"/>
  </r>
  <r>
    <n v="2328.23"/>
  </r>
  <r>
    <n v="1082.3499999999999"/>
  </r>
  <r>
    <n v="12674.32"/>
  </r>
  <r>
    <n v="6018.06"/>
  </r>
  <r>
    <n v="7738.08"/>
  </r>
  <r>
    <n v="4980.33"/>
  </r>
  <r>
    <n v="1118.53"/>
  </r>
  <r>
    <n v="-503.33"/>
  </r>
  <r>
    <n v="8439.51"/>
  </r>
  <r>
    <n v="1600.19"/>
  </r>
  <r>
    <n v="2085.83"/>
  </r>
  <r>
    <n v="984.04"/>
  </r>
  <r>
    <n v="6570.33"/>
  </r>
  <r>
    <n v="-4294.9799999999996"/>
  </r>
  <r>
    <n v="-294.14"/>
  </r>
  <r>
    <n v="2594.65"/>
  </r>
  <r>
    <n v="7541.22"/>
  </r>
  <r>
    <n v="745.8"/>
  </r>
  <r>
    <n v="1426.82"/>
  </r>
  <r>
    <n v="8208.5"/>
  </r>
  <r>
    <n v="-121.59"/>
  </r>
  <r>
    <n v="4186.1400000000003"/>
  </r>
  <r>
    <n v="2878.71"/>
  </r>
  <r>
    <n v="4051.19"/>
  </r>
  <r>
    <n v="-1850.93"/>
  </r>
  <r>
    <n v="2321.23"/>
  </r>
  <r>
    <n v="-317.37"/>
  </r>
  <r>
    <n v="10622.52"/>
  </r>
  <r>
    <n v="-1061.47"/>
  </r>
  <r>
    <n v="3494.01"/>
  </r>
  <r>
    <n v="5265.57"/>
  </r>
  <r>
    <n v="2214.6999999999998"/>
  </r>
  <r>
    <n v="9369.51"/>
  </r>
  <r>
    <n v="-2439.2800000000002"/>
  </r>
  <r>
    <n v="1415.37"/>
  </r>
  <r>
    <n v="7551.08"/>
  </r>
  <r>
    <n v="5480.87"/>
  </r>
  <r>
    <n v="1611.8"/>
  </r>
  <r>
    <n v="7013.01"/>
  </r>
  <r>
    <n v="14140.99"/>
  </r>
  <r>
    <n v="1121.77"/>
  </r>
  <r>
    <n v="11247.64"/>
  </r>
  <r>
    <n v="1948.98"/>
  </r>
  <r>
    <n v="4848.75"/>
  </r>
  <r>
    <n v="1016.49"/>
  </r>
  <r>
    <n v="-4596.93"/>
  </r>
  <r>
    <n v="8845.2000000000007"/>
  </r>
  <r>
    <n v="621.86"/>
  </r>
  <r>
    <n v="6297.23"/>
  </r>
  <r>
    <n v="6514.73"/>
  </r>
  <r>
    <n v="2255.42"/>
  </r>
  <r>
    <n v="555.85"/>
  </r>
  <r>
    <n v="-367.62"/>
  </r>
  <r>
    <n v="10272.42"/>
  </r>
  <r>
    <n v="3165.81"/>
  </r>
  <r>
    <n v="3678.27"/>
  </r>
  <r>
    <n v="7563.35"/>
  </r>
  <r>
    <n v="-1091.97"/>
  </r>
  <r>
    <n v="8275.93"/>
  </r>
  <r>
    <n v="-251.85"/>
  </r>
  <r>
    <n v="5723.59"/>
  </r>
  <r>
    <n v="9382.59"/>
  </r>
  <r>
    <n v="5056.08"/>
  </r>
  <r>
    <n v="4149.5"/>
  </r>
  <r>
    <n v="-2141.85"/>
  </r>
  <r>
    <n v="1173.55"/>
  </r>
  <r>
    <n v="5077.16"/>
  </r>
  <r>
    <n v="2495.4"/>
  </r>
  <r>
    <n v="-4667.09"/>
  </r>
  <r>
    <n v="-5612.3"/>
  </r>
  <r>
    <n v="-1664.53"/>
  </r>
  <r>
    <n v="5676.72"/>
  </r>
  <r>
    <n v="5858.57"/>
  </r>
  <r>
    <n v="-717.35"/>
  </r>
  <r>
    <n v="-573.74"/>
  </r>
  <r>
    <n v="7394.97"/>
  </r>
  <r>
    <n v="6576.4"/>
  </r>
  <r>
    <n v="6844.99"/>
  </r>
  <r>
    <n v="11882.93"/>
  </r>
  <r>
    <n v="2328.0300000000002"/>
  </r>
  <r>
    <n v="3468.65"/>
  </r>
  <r>
    <n v="2005.09"/>
  </r>
  <r>
    <n v="1023.76"/>
  </r>
  <r>
    <n v="11755.71"/>
  </r>
  <r>
    <n v="2213.88"/>
  </r>
  <r>
    <n v="16547.810000000001"/>
  </r>
  <r>
    <n v="2692.26"/>
  </r>
  <r>
    <n v="4660.1000000000004"/>
  </r>
  <r>
    <n v="715.72"/>
  </r>
  <r>
    <n v="-1288.53"/>
  </r>
  <r>
    <n v="15290.33"/>
  </r>
  <r>
    <n v="-387.92"/>
  </r>
  <r>
    <n v="-302.85000000000002"/>
  </r>
  <r>
    <n v="-3627.93"/>
  </r>
  <r>
    <n v="1540.17"/>
  </r>
  <r>
    <n v="8.15"/>
  </r>
  <r>
    <n v="1178.3399999999999"/>
  </r>
  <r>
    <n v="2820.69"/>
  </r>
  <r>
    <n v="3131.45"/>
  </r>
  <r>
    <n v="5158.82"/>
  </r>
  <r>
    <n v="2003.14"/>
  </r>
  <r>
    <n v="-1963.61"/>
  </r>
  <r>
    <n v="18315.46"/>
  </r>
  <r>
    <n v="7657.96"/>
  </r>
  <r>
    <n v="12919.9"/>
  </r>
  <r>
    <n v="192.65"/>
  </r>
  <r>
    <n v="9612.5300000000007"/>
  </r>
  <r>
    <n v="7930.01"/>
  </r>
  <r>
    <n v="1557.31"/>
  </r>
  <r>
    <n v="2949.98"/>
  </r>
  <r>
    <n v="3352.89"/>
  </r>
  <r>
    <n v="285.89999999999998"/>
  </r>
  <r>
    <n v="880.31"/>
  </r>
  <r>
    <n v="6934"/>
  </r>
  <r>
    <n v="-124.4"/>
  </r>
  <r>
    <n v="6138.68"/>
  </r>
  <r>
    <n v="393.9"/>
  </r>
  <r>
    <n v="-135.65"/>
  </r>
  <r>
    <n v="-679.96"/>
  </r>
  <r>
    <n v="14333.83"/>
  </r>
  <r>
    <n v="-81.86"/>
  </r>
  <r>
    <n v="-3167.44"/>
  </r>
  <r>
    <n v="-6294.47"/>
  </r>
  <r>
    <n v="-683.59"/>
  </r>
  <r>
    <n v="11226.28"/>
  </r>
  <r>
    <n v="6079.44"/>
  </r>
  <r>
    <n v="6357.43"/>
  </r>
  <r>
    <n v="12102.88"/>
  </r>
  <r>
    <n v="17342.14"/>
  </r>
  <r>
    <n v="-1639.86"/>
  </r>
  <r>
    <n v="2372.9499999999998"/>
  </r>
  <r>
    <n v="-4565.4399999999996"/>
  </r>
  <r>
    <n v="3771.54"/>
  </r>
  <r>
    <n v="7041.39"/>
  </r>
  <r>
    <n v="13427.91"/>
  </r>
  <r>
    <n v="1915.82"/>
  </r>
  <r>
    <n v="5986.89"/>
  </r>
  <r>
    <n v="-1272.5899999999999"/>
  </r>
  <r>
    <n v="6852.38"/>
  </r>
  <r>
    <n v="5520.42"/>
  </r>
  <r>
    <n v="672.38"/>
  </r>
  <r>
    <n v="6457.61"/>
  </r>
  <r>
    <n v="-420.87"/>
  </r>
  <r>
    <n v="9560.5300000000007"/>
  </r>
  <r>
    <n v="2083.29"/>
  </r>
  <r>
    <n v="-359.06"/>
  </r>
  <r>
    <n v="2562.0100000000002"/>
  </r>
  <r>
    <n v="3719.73"/>
  </r>
  <r>
    <n v="6856.37"/>
  </r>
  <r>
    <n v="4704.4399999999996"/>
  </r>
  <r>
    <n v="7213.64"/>
  </r>
  <r>
    <n v="2923.66"/>
  </r>
  <r>
    <n v="111.87"/>
  </r>
  <r>
    <n v="1381.5"/>
  </r>
  <r>
    <n v="-1081.96"/>
  </r>
  <r>
    <n v="-1915.42"/>
  </r>
  <r>
    <n v="2317.81"/>
  </r>
  <r>
    <n v="1643.35"/>
  </r>
  <r>
    <n v="2575.86"/>
  </r>
  <r>
    <n v="11580.47"/>
  </r>
  <r>
    <n v="6744.18"/>
  </r>
  <r>
    <n v="1155.5"/>
  </r>
  <r>
    <n v="3492.39"/>
  </r>
  <r>
    <n v="-2650.37"/>
  </r>
  <r>
    <n v="-2749.6"/>
  </r>
  <r>
    <n v="398.95"/>
  </r>
  <r>
    <n v="3278.81"/>
  </r>
  <r>
    <n v="4230.5200000000004"/>
  </r>
  <r>
    <n v="5277.38"/>
  </r>
  <r>
    <n v="4077.01"/>
  </r>
  <r>
    <n v="2869.76"/>
  </r>
  <r>
    <n v="8082.54"/>
  </r>
  <r>
    <n v="1371.93"/>
  </r>
  <r>
    <n v="2474.5500000000002"/>
  </r>
  <r>
    <n v="7378.86"/>
  </r>
  <r>
    <n v="7063.15"/>
  </r>
  <r>
    <n v="259.77999999999997"/>
  </r>
  <r>
    <n v="-1418.87"/>
  </r>
  <r>
    <n v="2254.36"/>
  </r>
  <r>
    <n v="2057.5700000000002"/>
  </r>
  <r>
    <n v="12572.89"/>
  </r>
  <r>
    <n v="5324.98"/>
  </r>
  <r>
    <n v="875.49"/>
  </r>
  <r>
    <n v="-2395.44"/>
  </r>
  <r>
    <n v="1439.58"/>
  </r>
  <r>
    <n v="8778.64"/>
  </r>
  <r>
    <n v="1451.92"/>
  </r>
  <r>
    <n v="7160.71"/>
  </r>
  <r>
    <n v="13021.02"/>
  </r>
  <r>
    <n v="17953.490000000002"/>
  </r>
  <r>
    <n v="4521.1099999999997"/>
  </r>
  <r>
    <n v="8263.75"/>
  </r>
  <r>
    <n v="7952.62"/>
  </r>
  <r>
    <n v="-472.13"/>
  </r>
  <r>
    <n v="4407.84"/>
  </r>
  <r>
    <n v="-1928.15"/>
  </r>
  <r>
    <n v="12478.64"/>
  </r>
  <r>
    <n v="-7331.14"/>
  </r>
  <r>
    <n v="-187.75"/>
  </r>
  <r>
    <n v="9188.6299999999992"/>
  </r>
  <r>
    <n v="-759.95"/>
  </r>
  <r>
    <n v="4828.3599999999997"/>
  </r>
  <r>
    <n v="-6232.23"/>
  </r>
  <r>
    <n v="738.14"/>
  </r>
  <r>
    <n v="-550.41999999999996"/>
  </r>
  <r>
    <n v="-2150.2800000000002"/>
  </r>
  <r>
    <n v="-4509.74"/>
  </r>
  <r>
    <n v="1541.76"/>
  </r>
  <r>
    <n v="10597.53"/>
  </r>
  <r>
    <n v="3204.98"/>
  </r>
  <r>
    <n v="4950.43"/>
  </r>
  <r>
    <n v="-319.48"/>
  </r>
  <r>
    <n v="3952.04"/>
  </r>
  <r>
    <n v="387.48"/>
  </r>
  <r>
    <n v="639.45000000000005"/>
  </r>
  <r>
    <n v="13606.97"/>
  </r>
  <r>
    <n v="-495.17"/>
  </r>
  <r>
    <n v="1281.48"/>
  </r>
  <r>
    <n v="9358.1299999999992"/>
  </r>
  <r>
    <n v="7181.04"/>
  </r>
  <r>
    <n v="1322.28"/>
  </r>
  <r>
    <n v="805.45"/>
  </r>
  <r>
    <n v="1597.57"/>
  </r>
  <r>
    <n v="23071.360000000001"/>
  </r>
  <r>
    <n v="12869.41"/>
  </r>
  <r>
    <n v="12240.85"/>
  </r>
  <r>
    <n v="10181.73"/>
  </r>
  <r>
    <n v="13020.91"/>
  </r>
  <r>
    <n v="8819.65"/>
  </r>
  <r>
    <n v="-299.01"/>
  </r>
  <r>
    <n v="-5417.68"/>
  </r>
  <r>
    <n v="4388.8100000000004"/>
  </r>
  <r>
    <n v="11881.91"/>
  </r>
  <r>
    <n v="2505.7600000000002"/>
  </r>
  <r>
    <n v="3132.24"/>
  </r>
  <r>
    <n v="4910.8"/>
  </r>
  <r>
    <n v="-697.1"/>
  </r>
  <r>
    <n v="9411.2999999999993"/>
  </r>
  <r>
    <n v="2329.0300000000002"/>
  </r>
  <r>
    <n v="10479.41"/>
  </r>
  <r>
    <n v="11642.84"/>
  </r>
  <r>
    <n v="1271.8900000000001"/>
  </r>
  <r>
    <n v="-2055.9"/>
  </r>
  <r>
    <n v="9740.9599999999991"/>
  </r>
  <r>
    <n v="6685.96"/>
  </r>
  <r>
    <n v="-62.96"/>
  </r>
  <r>
    <n v="3482.29"/>
  </r>
  <r>
    <n v="-2450.4"/>
  </r>
  <r>
    <n v="7523.46"/>
  </r>
  <r>
    <n v="11851.27"/>
  </r>
  <r>
    <n v="88.93"/>
  </r>
  <r>
    <n v="756.16"/>
  </r>
  <r>
    <n v="-117.34"/>
  </r>
  <r>
    <n v="5912.35"/>
  </r>
  <r>
    <n v="2728.96"/>
  </r>
  <r>
    <n v="8696.3700000000008"/>
  </r>
  <r>
    <n v="9388.8799999999992"/>
  </r>
  <r>
    <n v="10513.16"/>
  </r>
  <r>
    <n v="13226.38"/>
  </r>
  <r>
    <n v="6140.87"/>
  </r>
  <r>
    <n v="-1264.73"/>
  </r>
  <r>
    <n v="17852.490000000002"/>
  </r>
  <r>
    <n v="-1032.83"/>
  </r>
  <r>
    <n v="169.71"/>
  </r>
  <r>
    <n v="9489.0300000000007"/>
  </r>
  <r>
    <n v="13989.51"/>
  </r>
  <r>
    <n v="5549.06"/>
  </r>
  <r>
    <n v="22.69"/>
  </r>
  <r>
    <n v="6631.02"/>
  </r>
  <r>
    <n v="2695.7"/>
  </r>
  <r>
    <n v="5671.19"/>
  </r>
  <r>
    <n v="8578.4699999999993"/>
  </r>
  <r>
    <n v="785.5"/>
  </r>
  <r>
    <n v="8357.42"/>
  </r>
  <r>
    <n v="2607.21"/>
  </r>
  <r>
    <n v="4601.32"/>
  </r>
  <r>
    <n v="3584.22"/>
  </r>
  <r>
    <n v="770.36"/>
  </r>
  <r>
    <n v="-140.66"/>
  </r>
  <r>
    <n v="3313.38"/>
  </r>
  <r>
    <n v="9345.44"/>
  </r>
  <r>
    <n v="2662.45"/>
  </r>
  <r>
    <n v="4881.74"/>
  </r>
  <r>
    <n v="-3390.52"/>
  </r>
  <r>
    <n v="20931.95"/>
  </r>
  <r>
    <n v="6047.61"/>
  </r>
  <r>
    <n v="6818.81"/>
  </r>
  <r>
    <n v="850.68"/>
  </r>
  <r>
    <n v="4028.43"/>
  </r>
  <r>
    <n v="1359.23"/>
  </r>
  <r>
    <n v="1996.06"/>
  </r>
  <r>
    <n v="1182.54"/>
  </r>
  <r>
    <n v="1299.68"/>
  </r>
  <r>
    <n v="12512.97"/>
  </r>
  <r>
    <n v="6055.34"/>
  </r>
  <r>
    <n v="4171.3999999999996"/>
  </r>
  <r>
    <n v="-2136.9"/>
  </r>
  <r>
    <n v="14070.21"/>
  </r>
  <r>
    <n v="-280.02999999999997"/>
  </r>
  <r>
    <n v="3546.54"/>
  </r>
  <r>
    <n v="-2584.12"/>
  </r>
  <r>
    <n v="2201.88"/>
  </r>
  <r>
    <n v="2381.5500000000002"/>
  </r>
  <r>
    <n v="5264.92"/>
  </r>
  <r>
    <n v="3112.98"/>
  </r>
  <r>
    <n v="-767.2"/>
  </r>
  <r>
    <n v="-433.63"/>
  </r>
  <r>
    <n v="8579.5300000000007"/>
  </r>
  <r>
    <n v="903.65"/>
  </r>
  <r>
    <n v="955.52"/>
  </r>
  <r>
    <n v="-1522.22"/>
  </r>
  <r>
    <n v="6702.76"/>
  </r>
  <r>
    <n v="5493.75"/>
  </r>
  <r>
    <n v="-1671.47"/>
  </r>
  <r>
    <n v="1997.35"/>
  </r>
  <r>
    <n v="-866.54"/>
  </r>
  <r>
    <n v="13749.67"/>
  </r>
  <r>
    <n v="12989.67"/>
  </r>
  <r>
    <n v="7228.65"/>
  </r>
  <r>
    <n v="8002.55"/>
  </r>
  <r>
    <n v="53.38"/>
  </r>
  <r>
    <n v="2015.68"/>
  </r>
  <r>
    <n v="8555.02"/>
  </r>
  <r>
    <n v="7695.97"/>
  </r>
  <r>
    <n v="1458.78"/>
  </r>
  <r>
    <n v="1083.73"/>
  </r>
  <r>
    <n v="3950.53"/>
  </r>
  <r>
    <n v="13570.76"/>
  </r>
  <r>
    <n v="-171.69"/>
  </r>
  <r>
    <n v="-6219.48"/>
  </r>
  <r>
    <n v="-439.37"/>
  </r>
  <r>
    <n v="-1646.39"/>
  </r>
  <r>
    <n v="6252.2"/>
  </r>
  <r>
    <n v="1164.9100000000001"/>
  </r>
  <r>
    <n v="3482.4"/>
  </r>
  <r>
    <n v="1824.96"/>
  </r>
  <r>
    <n v="1320.67"/>
  </r>
  <r>
    <n v="10047.07"/>
  </r>
  <r>
    <n v="-2598.92"/>
  </r>
  <r>
    <n v="-828.06"/>
  </r>
  <r>
    <n v="491.98"/>
  </r>
  <r>
    <n v="-1324.96"/>
  </r>
  <r>
    <n v="4482.7700000000004"/>
  </r>
  <r>
    <n v="8562.43"/>
  </r>
  <r>
    <n v="4858.6000000000004"/>
  </r>
  <r>
    <n v="-300.55"/>
  </r>
  <r>
    <n v="-5989.38"/>
  </r>
  <r>
    <n v="10551.47"/>
  </r>
  <r>
    <n v="18793.36"/>
  </r>
  <r>
    <n v="9975.4599999999991"/>
  </r>
  <r>
    <n v="2649.5"/>
  </r>
  <r>
    <n v="21117.29"/>
  </r>
  <r>
    <n v="-391.52"/>
  </r>
  <r>
    <n v="4078.07"/>
  </r>
  <r>
    <n v="282.7"/>
  </r>
  <r>
    <n v="582.83000000000004"/>
  </r>
  <r>
    <n v="3214.86"/>
  </r>
  <r>
    <n v="4589.5200000000004"/>
  </r>
  <r>
    <n v="7227.8"/>
  </r>
  <r>
    <n v="3516.66"/>
  </r>
  <r>
    <n v="2671.85"/>
  </r>
  <r>
    <n v="1495.55"/>
  </r>
  <r>
    <n v="8341.39"/>
  </r>
  <r>
    <n v="5312.05"/>
  </r>
  <r>
    <n v="48.22"/>
  </r>
  <r>
    <n v="9653.43"/>
  </r>
  <r>
    <n v="5433.25"/>
  </r>
  <r>
    <n v="-160.09"/>
  </r>
  <r>
    <n v="-378.65"/>
  </r>
  <r>
    <n v="1372.92"/>
  </r>
  <r>
    <n v="866.93"/>
  </r>
  <r>
    <n v="22.85"/>
  </r>
  <r>
    <n v="11386.27"/>
  </r>
  <r>
    <n v="4267.0200000000004"/>
  </r>
  <r>
    <n v="3913.55"/>
  </r>
  <r>
    <n v="5620.95"/>
  </r>
  <r>
    <n v="1961.4"/>
  </r>
  <r>
    <n v="12421.46"/>
  </r>
  <r>
    <n v="-102.97"/>
  </r>
  <r>
    <n v="3250.98"/>
  </r>
  <r>
    <n v="12130.49"/>
  </r>
  <r>
    <n v="-7832.24"/>
  </r>
  <r>
    <n v="4719.26"/>
  </r>
  <r>
    <n v="5569.58"/>
  </r>
  <r>
    <n v="5311.63"/>
  </r>
  <r>
    <n v="372.07"/>
  </r>
  <r>
    <n v="4592.25"/>
  </r>
  <r>
    <n v="11684.17"/>
  </r>
  <r>
    <n v="4355.8500000000004"/>
  </r>
  <r>
    <n v="2505.73"/>
  </r>
  <r>
    <n v="710.54"/>
  </r>
  <r>
    <n v="4965.79"/>
  </r>
  <r>
    <n v="-1578.93"/>
  </r>
  <r>
    <n v="-379.86"/>
  </r>
  <r>
    <n v="850.05"/>
  </r>
  <r>
    <n v="3780.84"/>
  </r>
  <r>
    <n v="4491.47"/>
  </r>
  <r>
    <n v="2001.57"/>
  </r>
  <r>
    <n v="721.74"/>
  </r>
  <r>
    <n v="4668.67"/>
  </r>
  <r>
    <n v="5417.74"/>
  </r>
  <r>
    <n v="17063.099999999999"/>
  </r>
  <r>
    <n v="4.49"/>
  </r>
  <r>
    <n v="12038.92"/>
  </r>
  <r>
    <n v="5442.28"/>
  </r>
  <r>
    <n v="5705.42"/>
  </r>
  <r>
    <n v="4348.33"/>
  </r>
  <r>
    <n v="-1175.42"/>
  </r>
  <r>
    <n v="993.76"/>
  </r>
  <r>
    <n v="1002.8"/>
  </r>
  <r>
    <n v="3703.87"/>
  </r>
  <r>
    <n v="11145.2"/>
  </r>
  <r>
    <n v="1321.27"/>
  </r>
  <r>
    <n v="5700.16"/>
  </r>
  <r>
    <n v="11519.05"/>
  </r>
  <r>
    <n v="10286.77"/>
  </r>
  <r>
    <n v="634.20000000000005"/>
  </r>
  <r>
    <n v="14291.16"/>
  </r>
  <r>
    <n v="1015.56"/>
  </r>
  <r>
    <n v="3799.2"/>
  </r>
  <r>
    <n v="8616.59"/>
  </r>
  <r>
    <n v="941.1"/>
  </r>
  <r>
    <n v="-312.10000000000002"/>
  </r>
  <r>
    <n v="-4383.76"/>
  </r>
  <r>
    <n v="3812.17"/>
  </r>
  <r>
    <n v="-1330.34"/>
  </r>
  <r>
    <n v="2921.1"/>
  </r>
  <r>
    <n v="1540.09"/>
  </r>
  <r>
    <n v="1584.87"/>
  </r>
  <r>
    <n v="2183.9699999999998"/>
  </r>
  <r>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d v="2022-06-26T00:00:00"/>
    <x v="0"/>
    <x v="0"/>
    <s v="Headphones"/>
    <n v="2"/>
    <n v="303.77"/>
    <s v="Male"/>
    <n v="5"/>
    <n v="258.87"/>
    <n v="44.9"/>
    <x v="0"/>
    <s v="Q2"/>
    <n v="2022"/>
    <s v="Credit Card"/>
  </r>
  <r>
    <d v="2023-06-19T00:00:00"/>
    <x v="0"/>
    <x v="1"/>
    <s v="Sweater"/>
    <n v="20"/>
    <n v="6013.09"/>
    <s v="Male"/>
    <n v="1"/>
    <n v="4456.6899999999996"/>
    <n v="1556.4"/>
    <x v="0"/>
    <s v="Q2"/>
    <n v="2023"/>
    <s v="COD"/>
  </r>
  <r>
    <d v="2022-03-01T00:00:00"/>
    <x v="1"/>
    <x v="2"/>
    <s v="Sci-Fi"/>
    <n v="22"/>
    <n v="6624.07"/>
    <s v="Male"/>
    <n v="5"/>
    <n v="3322.6"/>
    <n v="3301.47"/>
    <x v="1"/>
    <s v="Q1"/>
    <n v="2022"/>
    <s v="UPI"/>
  </r>
  <r>
    <d v="2023-02-25T00:00:00"/>
    <x v="2"/>
    <x v="1"/>
    <s v="Dress"/>
    <n v="23"/>
    <n v="5070.9399999999996"/>
    <s v="Female"/>
    <n v="2"/>
    <n v="2206.17"/>
    <n v="2864.77"/>
    <x v="2"/>
    <s v="Q1"/>
    <n v="2023"/>
    <s v="UPI"/>
  </r>
  <r>
    <d v="2022-04-21T00:00:00"/>
    <x v="1"/>
    <x v="3"/>
    <s v="Rug"/>
    <n v="2"/>
    <n v="636.66"/>
    <s v="Male"/>
    <n v="2"/>
    <n v="292.81"/>
    <n v="343.85"/>
    <x v="3"/>
    <s v="Q2"/>
    <n v="2022"/>
    <s v="COD"/>
  </r>
  <r>
    <d v="2023-05-16T00:00:00"/>
    <x v="0"/>
    <x v="1"/>
    <s v="Sweater"/>
    <n v="28"/>
    <n v="1580.15"/>
    <s v="Female"/>
    <n v="3"/>
    <n v="1578.07"/>
    <n v="2.08"/>
    <x v="4"/>
    <s v="Q2"/>
    <n v="2023"/>
    <s v="COD"/>
  </r>
  <r>
    <d v="2022-03-22T00:00:00"/>
    <x v="3"/>
    <x v="2"/>
    <s v="Mystery"/>
    <n v="33"/>
    <n v="15209.62"/>
    <s v="Male"/>
    <n v="3"/>
    <n v="5544.03"/>
    <n v="9665.59"/>
    <x v="1"/>
    <s v="Q1"/>
    <n v="2022"/>
    <s v="UPI"/>
  </r>
  <r>
    <d v="2022-05-23T00:00:00"/>
    <x v="1"/>
    <x v="2"/>
    <s v="Sci-Fi"/>
    <n v="49"/>
    <n v="13193.63"/>
    <s v="Female"/>
    <n v="2"/>
    <n v="11734.47"/>
    <n v="1459.16"/>
    <x v="4"/>
    <s v="Q2"/>
    <n v="2022"/>
    <s v="UPI"/>
  </r>
  <r>
    <d v="2023-01-02T00:00:00"/>
    <x v="2"/>
    <x v="1"/>
    <s v="Sweater"/>
    <n v="2"/>
    <n v="110.13"/>
    <s v="Male"/>
    <n v="5"/>
    <n v="249.36"/>
    <n v="-139.22999999999999"/>
    <x v="5"/>
    <s v="Q1"/>
    <n v="2023"/>
    <s v="UPI"/>
  </r>
  <r>
    <d v="2023-12-02T00:00:00"/>
    <x v="2"/>
    <x v="0"/>
    <s v="Headphones"/>
    <n v="45"/>
    <n v="6864.39"/>
    <s v="Female"/>
    <n v="5"/>
    <n v="896.22"/>
    <n v="5968.17"/>
    <x v="6"/>
    <s v="Q4"/>
    <n v="2023"/>
    <s v="COD"/>
  </r>
  <r>
    <d v="2022-06-08T00:00:00"/>
    <x v="3"/>
    <x v="4"/>
    <s v="Grains"/>
    <n v="4"/>
    <n v="1569.33"/>
    <s v="Male"/>
    <n v="1"/>
    <n v="603.4"/>
    <n v="965.93"/>
    <x v="0"/>
    <s v="Q2"/>
    <n v="2022"/>
    <s v="UPI"/>
  </r>
  <r>
    <d v="2023-05-09T00:00:00"/>
    <x v="1"/>
    <x v="2"/>
    <s v="Non-Fiction"/>
    <n v="25"/>
    <n v="8359.64"/>
    <s v="Female"/>
    <n v="3"/>
    <n v="4354.87"/>
    <n v="4004.77"/>
    <x v="4"/>
    <s v="Q2"/>
    <n v="2023"/>
    <s v="UPI"/>
  </r>
  <r>
    <d v="2023-05-12T00:00:00"/>
    <x v="2"/>
    <x v="0"/>
    <s v="Laptop"/>
    <n v="38"/>
    <n v="14714.79"/>
    <s v="Female"/>
    <n v="4"/>
    <n v="5831.62"/>
    <n v="8883.17"/>
    <x v="4"/>
    <s v="Q2"/>
    <n v="2023"/>
    <s v="COD"/>
  </r>
  <r>
    <d v="2023-09-17T00:00:00"/>
    <x v="0"/>
    <x v="1"/>
    <s v="Jeans"/>
    <n v="3"/>
    <n v="1461.73"/>
    <s v="Female"/>
    <n v="2"/>
    <n v="359.07"/>
    <n v="1102.6600000000001"/>
    <x v="7"/>
    <s v="Q3"/>
    <n v="2023"/>
    <s v="UPI"/>
  </r>
  <r>
    <d v="2023-03-10T00:00:00"/>
    <x v="3"/>
    <x v="4"/>
    <s v="Produce"/>
    <n v="7"/>
    <n v="1329.49"/>
    <s v="Male"/>
    <n v="3"/>
    <n v="1720.14"/>
    <n v="-390.65"/>
    <x v="1"/>
    <s v="Q1"/>
    <n v="2023"/>
    <s v="UPI"/>
  </r>
  <r>
    <d v="2023-12-31T00:00:00"/>
    <x v="4"/>
    <x v="3"/>
    <s v="Chair"/>
    <n v="43"/>
    <n v="21247.65"/>
    <s v="Female"/>
    <n v="4"/>
    <n v="8307.14"/>
    <n v="12940.51"/>
    <x v="6"/>
    <s v="Q4"/>
    <n v="2023"/>
    <s v="UPI"/>
  </r>
  <r>
    <d v="2023-04-29T00:00:00"/>
    <x v="3"/>
    <x v="3"/>
    <s v="Table"/>
    <n v="12"/>
    <n v="4456.75"/>
    <s v="Male"/>
    <n v="1"/>
    <n v="106.89"/>
    <n v="4349.8599999999997"/>
    <x v="3"/>
    <s v="Q2"/>
    <n v="2023"/>
    <s v="UPI"/>
  </r>
  <r>
    <d v="2023-12-06T00:00:00"/>
    <x v="2"/>
    <x v="0"/>
    <s v="Smartphone"/>
    <n v="40"/>
    <n v="16676.78"/>
    <s v="Female"/>
    <n v="4"/>
    <n v="4955.55"/>
    <n v="11721.23"/>
    <x v="6"/>
    <s v="Q4"/>
    <n v="2023"/>
    <s v="Credit Card"/>
  </r>
  <r>
    <d v="2022-09-08T00:00:00"/>
    <x v="0"/>
    <x v="3"/>
    <s v="Chair"/>
    <n v="3"/>
    <n v="402.01"/>
    <s v="Male"/>
    <n v="1"/>
    <n v="115.82"/>
    <n v="286.19"/>
    <x v="7"/>
    <s v="Q3"/>
    <n v="2022"/>
    <s v="UPI"/>
  </r>
  <r>
    <d v="2023-03-29T00:00:00"/>
    <x v="3"/>
    <x v="2"/>
    <s v="Mystery"/>
    <n v="29"/>
    <n v="13263.6"/>
    <s v="Female"/>
    <n v="3"/>
    <n v="1758.14"/>
    <n v="11505.46"/>
    <x v="1"/>
    <s v="Q1"/>
    <n v="2023"/>
    <s v="UPI"/>
  </r>
  <r>
    <d v="2022-05-03T00:00:00"/>
    <x v="3"/>
    <x v="4"/>
    <s v="Produce"/>
    <n v="47"/>
    <n v="17553.77"/>
    <s v="Female"/>
    <n v="2"/>
    <n v="8127.15"/>
    <n v="9426.6200000000008"/>
    <x v="4"/>
    <s v="Q2"/>
    <n v="2022"/>
    <s v="Credit Card"/>
  </r>
  <r>
    <d v="2023-06-29T00:00:00"/>
    <x v="0"/>
    <x v="2"/>
    <s v="Mystery"/>
    <n v="11"/>
    <n v="4062.79"/>
    <s v="Male"/>
    <n v="5"/>
    <n v="1047.74"/>
    <n v="3015.05"/>
    <x v="0"/>
    <s v="Q2"/>
    <n v="2023"/>
    <s v="UPI"/>
  </r>
  <r>
    <d v="2023-06-01T00:00:00"/>
    <x v="2"/>
    <x v="1"/>
    <s v="Sweater"/>
    <n v="29"/>
    <n v="6341.06"/>
    <s v="Female"/>
    <n v="5"/>
    <n v="1671.65"/>
    <n v="4669.41"/>
    <x v="0"/>
    <s v="Q2"/>
    <n v="2023"/>
    <s v="Credit Card"/>
  </r>
  <r>
    <d v="2022-10-05T00:00:00"/>
    <x v="2"/>
    <x v="1"/>
    <s v="Dress"/>
    <n v="24"/>
    <n v="4856.2700000000004"/>
    <s v="Female"/>
    <n v="4"/>
    <n v="4002.4"/>
    <n v="853.87"/>
    <x v="8"/>
    <s v="Q4"/>
    <n v="2022"/>
    <s v="EMI"/>
  </r>
  <r>
    <d v="2022-10-22T00:00:00"/>
    <x v="1"/>
    <x v="4"/>
    <s v="Grains"/>
    <n v="37"/>
    <n v="1105.44"/>
    <s v="Male"/>
    <n v="2"/>
    <n v="6360.58"/>
    <n v="-5255.14"/>
    <x v="8"/>
    <s v="Q4"/>
    <n v="2022"/>
    <s v="Debit Card"/>
  </r>
  <r>
    <d v="2022-04-03T00:00:00"/>
    <x v="0"/>
    <x v="4"/>
    <s v="Grains"/>
    <n v="47"/>
    <n v="16956.189999999999"/>
    <s v="Male"/>
    <n v="3"/>
    <n v="3435.81"/>
    <n v="13520.38"/>
    <x v="3"/>
    <s v="Q2"/>
    <n v="2022"/>
    <s v="Credit Card"/>
  </r>
  <r>
    <d v="2022-07-06T00:00:00"/>
    <x v="1"/>
    <x v="0"/>
    <s v="Tablet"/>
    <n v="30"/>
    <n v="2172.36"/>
    <s v="Female"/>
    <n v="3"/>
    <n v="3869.73"/>
    <n v="-1697.37"/>
    <x v="9"/>
    <s v="Q3"/>
    <n v="2022"/>
    <s v="COD"/>
  </r>
  <r>
    <d v="2023-12-07T00:00:00"/>
    <x v="1"/>
    <x v="3"/>
    <s v="Lamp"/>
    <n v="5"/>
    <n v="2151.14"/>
    <s v="Male"/>
    <n v="4"/>
    <n v="381.93"/>
    <n v="1769.21"/>
    <x v="6"/>
    <s v="Q4"/>
    <n v="2023"/>
    <s v="Debit Card"/>
  </r>
  <r>
    <d v="2022-08-10T00:00:00"/>
    <x v="4"/>
    <x v="2"/>
    <s v="Fiction"/>
    <n v="28"/>
    <n v="13374.57"/>
    <s v="Female"/>
    <n v="2"/>
    <n v="5060.17"/>
    <n v="8314.4"/>
    <x v="10"/>
    <s v="Q3"/>
    <n v="2022"/>
    <s v="Debit Card"/>
  </r>
  <r>
    <d v="2023-07-13T00:00:00"/>
    <x v="0"/>
    <x v="0"/>
    <s v="Tablet"/>
    <n v="29"/>
    <n v="3195.52"/>
    <s v="Female"/>
    <n v="1"/>
    <n v="2720.56"/>
    <n v="474.96"/>
    <x v="9"/>
    <s v="Q3"/>
    <n v="2023"/>
    <s v="Debit Card"/>
  </r>
  <r>
    <d v="2023-05-11T00:00:00"/>
    <x v="1"/>
    <x v="2"/>
    <s v="Sci-Fi"/>
    <n v="18"/>
    <n v="4798.42"/>
    <s v="Female"/>
    <n v="1"/>
    <n v="3494.61"/>
    <n v="1303.81"/>
    <x v="4"/>
    <s v="Q2"/>
    <n v="2023"/>
    <s v="Debit Card"/>
  </r>
  <r>
    <d v="2023-10-07T00:00:00"/>
    <x v="2"/>
    <x v="1"/>
    <s v="Dress"/>
    <n v="25"/>
    <n v="7018.52"/>
    <s v="Female"/>
    <n v="1"/>
    <n v="746.43"/>
    <n v="6272.09"/>
    <x v="8"/>
    <s v="Q4"/>
    <n v="2023"/>
    <s v="Debit Card"/>
  </r>
  <r>
    <d v="2023-05-03T00:00:00"/>
    <x v="3"/>
    <x v="2"/>
    <s v="Sci-Fi"/>
    <n v="6"/>
    <n v="2960.56"/>
    <s v="Female"/>
    <n v="5"/>
    <n v="1428.96"/>
    <n v="1531.6"/>
    <x v="4"/>
    <s v="Q2"/>
    <n v="2023"/>
    <s v="COD"/>
  </r>
  <r>
    <d v="2023-12-16T00:00:00"/>
    <x v="3"/>
    <x v="0"/>
    <s v="Headphones"/>
    <n v="42"/>
    <n v="2678.87"/>
    <s v="Female"/>
    <n v="1"/>
    <n v="2538.6"/>
    <n v="140.27000000000001"/>
    <x v="6"/>
    <s v="Q4"/>
    <n v="2023"/>
    <s v="UPI"/>
  </r>
  <r>
    <d v="2022-08-10T00:00:00"/>
    <x v="4"/>
    <x v="4"/>
    <s v="Beverages"/>
    <n v="17"/>
    <n v="5467.02"/>
    <s v="Female"/>
    <n v="5"/>
    <n v="2807.67"/>
    <n v="2659.35"/>
    <x v="10"/>
    <s v="Q3"/>
    <n v="2022"/>
    <s v="Debit Card"/>
  </r>
  <r>
    <d v="2022-08-29T00:00:00"/>
    <x v="2"/>
    <x v="3"/>
    <s v="Table"/>
    <n v="8"/>
    <n v="1473.79"/>
    <s v="Female"/>
    <n v="3"/>
    <n v="1345.72"/>
    <n v="128.07"/>
    <x v="10"/>
    <s v="Q3"/>
    <n v="2022"/>
    <s v="COD"/>
  </r>
  <r>
    <d v="2023-01-14T00:00:00"/>
    <x v="0"/>
    <x v="4"/>
    <s v="Snacks"/>
    <n v="50"/>
    <n v="5963.14"/>
    <s v="Female"/>
    <n v="3"/>
    <n v="8750.08"/>
    <n v="-2786.94"/>
    <x v="5"/>
    <s v="Q1"/>
    <n v="2023"/>
    <s v="COD"/>
  </r>
  <r>
    <d v="2023-07-26T00:00:00"/>
    <x v="4"/>
    <x v="4"/>
    <s v="Grains"/>
    <n v="35"/>
    <n v="16212.42"/>
    <s v="Male"/>
    <n v="5"/>
    <n v="1293.7"/>
    <n v="14918.72"/>
    <x v="9"/>
    <s v="Q3"/>
    <n v="2023"/>
    <s v="UPI"/>
  </r>
  <r>
    <d v="2022-07-21T00:00:00"/>
    <x v="1"/>
    <x v="1"/>
    <s v="Jeans"/>
    <n v="46"/>
    <n v="3452.74"/>
    <s v="Male"/>
    <n v="1"/>
    <n v="2568.4299999999998"/>
    <n v="884.31"/>
    <x v="9"/>
    <s v="Q3"/>
    <n v="2022"/>
    <s v="COD"/>
  </r>
  <r>
    <d v="2022-09-20T00:00:00"/>
    <x v="2"/>
    <x v="0"/>
    <s v="Smartphone"/>
    <n v="41"/>
    <n v="9765.86"/>
    <s v="Female"/>
    <n v="1"/>
    <n v="4640.7299999999996"/>
    <n v="5125.13"/>
    <x v="7"/>
    <s v="Q3"/>
    <n v="2022"/>
    <s v="Debit Card"/>
  </r>
  <r>
    <d v="2022-09-01T00:00:00"/>
    <x v="0"/>
    <x v="2"/>
    <s v="Non-Fiction"/>
    <n v="12"/>
    <n v="254.37"/>
    <s v="Male"/>
    <n v="4"/>
    <n v="2704.17"/>
    <n v="-2449.8000000000002"/>
    <x v="7"/>
    <s v="Q3"/>
    <n v="2022"/>
    <s v="COD"/>
  </r>
  <r>
    <d v="2023-11-28T00:00:00"/>
    <x v="3"/>
    <x v="3"/>
    <s v="Lamp"/>
    <n v="13"/>
    <n v="823.88"/>
    <s v="Male"/>
    <n v="5"/>
    <n v="1158.3800000000001"/>
    <n v="-334.5"/>
    <x v="11"/>
    <s v="Q4"/>
    <n v="2023"/>
    <s v="COD"/>
  </r>
  <r>
    <d v="2022-07-02T00:00:00"/>
    <x v="4"/>
    <x v="0"/>
    <s v="Laptop"/>
    <n v="21"/>
    <n v="8375.6"/>
    <s v="Female"/>
    <n v="4"/>
    <n v="2127.09"/>
    <n v="6248.51"/>
    <x v="9"/>
    <s v="Q3"/>
    <n v="2022"/>
    <s v="UPI"/>
  </r>
  <r>
    <d v="2022-06-09T00:00:00"/>
    <x v="0"/>
    <x v="4"/>
    <s v="Snacks"/>
    <n v="27"/>
    <n v="6601.03"/>
    <s v="Male"/>
    <n v="1"/>
    <n v="6107.2"/>
    <n v="493.83"/>
    <x v="0"/>
    <s v="Q2"/>
    <n v="2022"/>
    <s v="EMI"/>
  </r>
  <r>
    <d v="2022-07-29T00:00:00"/>
    <x v="4"/>
    <x v="3"/>
    <s v="Chair"/>
    <n v="11"/>
    <n v="2383.04"/>
    <s v="Male"/>
    <n v="2"/>
    <n v="773.3"/>
    <n v="1609.74"/>
    <x v="9"/>
    <s v="Q3"/>
    <n v="2022"/>
    <s v="COD"/>
  </r>
  <r>
    <d v="2022-09-19T00:00:00"/>
    <x v="3"/>
    <x v="1"/>
    <s v="Dress"/>
    <n v="30"/>
    <n v="4321.34"/>
    <s v="Female"/>
    <n v="1"/>
    <n v="4530.51"/>
    <n v="-209.17"/>
    <x v="7"/>
    <s v="Q3"/>
    <n v="2022"/>
    <s v="COD"/>
  </r>
  <r>
    <d v="2023-08-04T00:00:00"/>
    <x v="2"/>
    <x v="3"/>
    <s v="Rug"/>
    <n v="17"/>
    <n v="2877.76"/>
    <s v="Male"/>
    <n v="1"/>
    <n v="1652.86"/>
    <n v="1224.9000000000001"/>
    <x v="10"/>
    <s v="Q3"/>
    <n v="2023"/>
    <s v="UPI"/>
  </r>
  <r>
    <d v="2023-08-04T00:00:00"/>
    <x v="3"/>
    <x v="4"/>
    <s v="Beverages"/>
    <n v="18"/>
    <n v="4279.21"/>
    <s v="Male"/>
    <n v="3"/>
    <n v="2423.65"/>
    <n v="1855.56"/>
    <x v="10"/>
    <s v="Q3"/>
    <n v="2023"/>
    <s v="Debit Card"/>
  </r>
  <r>
    <d v="2023-02-06T00:00:00"/>
    <x v="4"/>
    <x v="4"/>
    <s v="Beverages"/>
    <n v="18"/>
    <n v="2685.04"/>
    <s v="Female"/>
    <n v="4"/>
    <n v="1326.23"/>
    <n v="1358.81"/>
    <x v="2"/>
    <s v="Q1"/>
    <n v="2023"/>
    <s v="EMI"/>
  </r>
  <r>
    <d v="2023-03-21T00:00:00"/>
    <x v="4"/>
    <x v="3"/>
    <s v="Chair"/>
    <n v="9"/>
    <n v="3552.51"/>
    <s v="Female"/>
    <n v="5"/>
    <n v="2233.06"/>
    <n v="1319.45"/>
    <x v="1"/>
    <s v="Q1"/>
    <n v="2023"/>
    <s v="UPI"/>
  </r>
  <r>
    <d v="2023-10-18T00:00:00"/>
    <x v="3"/>
    <x v="0"/>
    <s v="Tablet"/>
    <n v="39"/>
    <n v="17358.37"/>
    <s v="Male"/>
    <n v="5"/>
    <n v="3162.14"/>
    <n v="14196.23"/>
    <x v="8"/>
    <s v="Q4"/>
    <n v="2023"/>
    <s v="Debit Card"/>
  </r>
  <r>
    <d v="2023-08-15T00:00:00"/>
    <x v="0"/>
    <x v="0"/>
    <s v="Headphones"/>
    <n v="2"/>
    <n v="882.83"/>
    <s v="Female"/>
    <n v="3"/>
    <n v="64.959999999999994"/>
    <n v="817.87"/>
    <x v="10"/>
    <s v="Q3"/>
    <n v="2023"/>
    <s v="COD"/>
  </r>
  <r>
    <d v="2022-03-13T00:00:00"/>
    <x v="3"/>
    <x v="1"/>
    <s v="Dress"/>
    <n v="39"/>
    <n v="18468.5"/>
    <s v="Male"/>
    <n v="5"/>
    <n v="7027.61"/>
    <n v="11440.89"/>
    <x v="1"/>
    <s v="Q1"/>
    <n v="2022"/>
    <s v="COD"/>
  </r>
  <r>
    <d v="2022-06-12T00:00:00"/>
    <x v="3"/>
    <x v="2"/>
    <s v="Fiction"/>
    <n v="28"/>
    <n v="13953.83"/>
    <s v="Female"/>
    <n v="1"/>
    <n v="4942.6400000000003"/>
    <n v="9011.19"/>
    <x v="0"/>
    <s v="Q2"/>
    <n v="2022"/>
    <s v="Debit Card"/>
  </r>
  <r>
    <d v="2023-12-22T00:00:00"/>
    <x v="1"/>
    <x v="2"/>
    <s v="Non-Fiction"/>
    <n v="11"/>
    <n v="2541.92"/>
    <s v="Female"/>
    <n v="3"/>
    <n v="1282.07"/>
    <n v="1259.8499999999999"/>
    <x v="6"/>
    <s v="Q4"/>
    <n v="2023"/>
    <s v="COD"/>
  </r>
  <r>
    <d v="2022-09-27T00:00:00"/>
    <x v="3"/>
    <x v="4"/>
    <s v="Produce"/>
    <n v="1"/>
    <n v="372.52"/>
    <s v="Male"/>
    <n v="1"/>
    <n v="156.54"/>
    <n v="215.98"/>
    <x v="7"/>
    <s v="Q3"/>
    <n v="2022"/>
    <s v="Debit Card"/>
  </r>
  <r>
    <d v="2023-06-01T00:00:00"/>
    <x v="4"/>
    <x v="2"/>
    <s v="Sci-Fi"/>
    <n v="33"/>
    <n v="9687.4"/>
    <s v="Female"/>
    <n v="4"/>
    <n v="4854.75"/>
    <n v="4832.6499999999996"/>
    <x v="0"/>
    <s v="Q2"/>
    <n v="2023"/>
    <s v="COD"/>
  </r>
  <r>
    <d v="2022-07-30T00:00:00"/>
    <x v="1"/>
    <x v="4"/>
    <s v="Produce"/>
    <n v="48"/>
    <n v="4457.95"/>
    <s v="Female"/>
    <n v="5"/>
    <n v="6541.78"/>
    <n v="-2083.83"/>
    <x v="9"/>
    <s v="Q3"/>
    <n v="2022"/>
    <s v="COD"/>
  </r>
  <r>
    <d v="2023-01-15T00:00:00"/>
    <x v="1"/>
    <x v="2"/>
    <s v="Non-Fiction"/>
    <n v="40"/>
    <n v="1296.2"/>
    <s v="Female"/>
    <n v="3"/>
    <n v="246.28"/>
    <n v="1049.92"/>
    <x v="5"/>
    <s v="Q1"/>
    <n v="2023"/>
    <s v="Credit Card"/>
  </r>
  <r>
    <d v="2022-09-19T00:00:00"/>
    <x v="0"/>
    <x v="3"/>
    <s v="Chair"/>
    <n v="48"/>
    <n v="21116.34"/>
    <s v="Male"/>
    <n v="4"/>
    <n v="7595.67"/>
    <n v="13520.67"/>
    <x v="7"/>
    <s v="Q3"/>
    <n v="2022"/>
    <s v="Debit Card"/>
  </r>
  <r>
    <d v="2022-09-26T00:00:00"/>
    <x v="2"/>
    <x v="0"/>
    <s v="Headphones"/>
    <n v="31"/>
    <n v="5236.74"/>
    <s v="Female"/>
    <n v="5"/>
    <n v="7402.97"/>
    <n v="-2166.23"/>
    <x v="7"/>
    <s v="Q3"/>
    <n v="2022"/>
    <s v="COD"/>
  </r>
  <r>
    <d v="2023-02-27T00:00:00"/>
    <x v="2"/>
    <x v="4"/>
    <s v="Beverages"/>
    <n v="18"/>
    <n v="4295.16"/>
    <s v="Male"/>
    <n v="2"/>
    <n v="3938.62"/>
    <n v="356.54"/>
    <x v="2"/>
    <s v="Q1"/>
    <n v="2023"/>
    <s v="COD"/>
  </r>
  <r>
    <d v="2023-11-26T00:00:00"/>
    <x v="4"/>
    <x v="1"/>
    <s v="Dress"/>
    <n v="38"/>
    <n v="2603.2399999999998"/>
    <s v="Female"/>
    <n v="4"/>
    <n v="8658.3799999999992"/>
    <n v="-6055.14"/>
    <x v="11"/>
    <s v="Q4"/>
    <n v="2023"/>
    <s v="COD"/>
  </r>
  <r>
    <d v="2023-09-02T00:00:00"/>
    <x v="0"/>
    <x v="1"/>
    <s v="Dress"/>
    <n v="38"/>
    <n v="11852.59"/>
    <s v="Male"/>
    <n v="3"/>
    <n v="7891.88"/>
    <n v="3960.71"/>
    <x v="7"/>
    <s v="Q3"/>
    <n v="2023"/>
    <s v="Debit Card"/>
  </r>
  <r>
    <d v="2022-04-16T00:00:00"/>
    <x v="0"/>
    <x v="4"/>
    <s v="Grains"/>
    <n v="20"/>
    <n v="8416.1"/>
    <s v="Male"/>
    <n v="3"/>
    <n v="2279.83"/>
    <n v="6136.27"/>
    <x v="3"/>
    <s v="Q2"/>
    <n v="2022"/>
    <s v="COD"/>
  </r>
  <r>
    <d v="2023-09-02T00:00:00"/>
    <x v="2"/>
    <x v="3"/>
    <s v="Chair"/>
    <n v="39"/>
    <n v="3154"/>
    <s v="Male"/>
    <n v="1"/>
    <n v="5257.31"/>
    <n v="-2103.31"/>
    <x v="7"/>
    <s v="Q3"/>
    <n v="2023"/>
    <s v="COD"/>
  </r>
  <r>
    <d v="2022-06-10T00:00:00"/>
    <x v="1"/>
    <x v="2"/>
    <s v="Mystery"/>
    <n v="14"/>
    <n v="5683.65"/>
    <s v="Male"/>
    <n v="1"/>
    <n v="1320.14"/>
    <n v="4363.51"/>
    <x v="0"/>
    <s v="Q2"/>
    <n v="2022"/>
    <s v="UPI"/>
  </r>
  <r>
    <d v="2022-08-07T00:00:00"/>
    <x v="3"/>
    <x v="2"/>
    <s v="Sci-Fi"/>
    <n v="7"/>
    <n v="1629.56"/>
    <s v="Female"/>
    <n v="1"/>
    <n v="267.11"/>
    <n v="1362.45"/>
    <x v="10"/>
    <s v="Q3"/>
    <n v="2022"/>
    <s v="COD"/>
  </r>
  <r>
    <d v="2023-08-13T00:00:00"/>
    <x v="3"/>
    <x v="3"/>
    <s v="Rug"/>
    <n v="33"/>
    <n v="3616.95"/>
    <s v="Male"/>
    <n v="5"/>
    <n v="1191.25"/>
    <n v="2425.6999999999998"/>
    <x v="10"/>
    <s v="Q3"/>
    <n v="2023"/>
    <s v="Debit Card"/>
  </r>
  <r>
    <d v="2022-05-18T00:00:00"/>
    <x v="1"/>
    <x v="2"/>
    <s v="Sci-Fi"/>
    <n v="35"/>
    <n v="5038.96"/>
    <s v="Male"/>
    <n v="4"/>
    <n v="8240.83"/>
    <n v="-3201.87"/>
    <x v="4"/>
    <s v="Q2"/>
    <n v="2022"/>
    <s v="COD"/>
  </r>
  <r>
    <d v="2023-04-29T00:00:00"/>
    <x v="4"/>
    <x v="4"/>
    <s v="Produce"/>
    <n v="7"/>
    <n v="1820.46"/>
    <s v="Male"/>
    <n v="5"/>
    <n v="1345.23"/>
    <n v="475.23"/>
    <x v="3"/>
    <s v="Q2"/>
    <n v="2023"/>
    <s v="COD"/>
  </r>
  <r>
    <d v="2022-11-05T00:00:00"/>
    <x v="1"/>
    <x v="2"/>
    <s v="Sci-Fi"/>
    <n v="2"/>
    <n v="302.02"/>
    <s v="Male"/>
    <n v="3"/>
    <n v="456.57"/>
    <n v="-154.55000000000001"/>
    <x v="11"/>
    <s v="Q4"/>
    <n v="2022"/>
    <s v="COD"/>
  </r>
  <r>
    <d v="2023-07-30T00:00:00"/>
    <x v="0"/>
    <x v="3"/>
    <s v="Rug"/>
    <n v="29"/>
    <n v="4863.6400000000003"/>
    <s v="Female"/>
    <n v="5"/>
    <n v="3678.13"/>
    <n v="1185.51"/>
    <x v="9"/>
    <s v="Q3"/>
    <n v="2023"/>
    <s v="COD"/>
  </r>
  <r>
    <d v="2022-10-02T00:00:00"/>
    <x v="1"/>
    <x v="2"/>
    <s v="Sci-Fi"/>
    <n v="8"/>
    <n v="3297.56"/>
    <s v="Female"/>
    <n v="5"/>
    <n v="1010"/>
    <n v="2287.56"/>
    <x v="8"/>
    <s v="Q4"/>
    <n v="2022"/>
    <s v="UPI"/>
  </r>
  <r>
    <d v="2023-07-04T00:00:00"/>
    <x v="3"/>
    <x v="4"/>
    <s v="Snacks"/>
    <n v="4"/>
    <n v="1947"/>
    <s v="Male"/>
    <n v="4"/>
    <n v="993.24"/>
    <n v="953.76"/>
    <x v="9"/>
    <s v="Q3"/>
    <n v="2023"/>
    <s v="COD"/>
  </r>
  <r>
    <d v="2023-04-09T00:00:00"/>
    <x v="1"/>
    <x v="2"/>
    <s v="Non-Fiction"/>
    <n v="33"/>
    <n v="14895.16"/>
    <s v="Female"/>
    <n v="1"/>
    <n v="4642.05"/>
    <n v="10253.11"/>
    <x v="3"/>
    <s v="Q2"/>
    <n v="2023"/>
    <s v="COD"/>
  </r>
  <r>
    <d v="2023-12-25T00:00:00"/>
    <x v="4"/>
    <x v="1"/>
    <s v="Jeans"/>
    <n v="36"/>
    <n v="3347.8"/>
    <s v="Male"/>
    <n v="5"/>
    <n v="5776.16"/>
    <n v="-2428.36"/>
    <x v="6"/>
    <s v="Q4"/>
    <n v="2023"/>
    <s v="Credit Card"/>
  </r>
  <r>
    <d v="2022-08-08T00:00:00"/>
    <x v="3"/>
    <x v="3"/>
    <s v="Rug"/>
    <n v="33"/>
    <n v="12722.38"/>
    <s v="Male"/>
    <n v="5"/>
    <n v="2354.31"/>
    <n v="10368.07"/>
    <x v="10"/>
    <s v="Q3"/>
    <n v="2022"/>
    <s v="COD"/>
  </r>
  <r>
    <d v="2022-03-09T00:00:00"/>
    <x v="0"/>
    <x v="1"/>
    <s v="Sweater"/>
    <n v="22"/>
    <n v="1700.5"/>
    <s v="Male"/>
    <n v="1"/>
    <n v="5308.2"/>
    <n v="-3607.7"/>
    <x v="1"/>
    <s v="Q1"/>
    <n v="2022"/>
    <s v="EMI"/>
  </r>
  <r>
    <d v="2023-04-16T00:00:00"/>
    <x v="4"/>
    <x v="3"/>
    <s v="Chair"/>
    <n v="45"/>
    <n v="2852.92"/>
    <s v="Male"/>
    <n v="1"/>
    <n v="10089.08"/>
    <n v="-7236.16"/>
    <x v="3"/>
    <s v="Q2"/>
    <n v="2023"/>
    <s v="COD"/>
  </r>
  <r>
    <d v="2022-07-09T00:00:00"/>
    <x v="3"/>
    <x v="0"/>
    <s v="Smartphone"/>
    <n v="13"/>
    <n v="5228.1899999999996"/>
    <s v="Male"/>
    <n v="3"/>
    <n v="2042.42"/>
    <n v="3185.77"/>
    <x v="9"/>
    <s v="Q3"/>
    <n v="2022"/>
    <s v="Debit Card"/>
  </r>
  <r>
    <d v="2023-05-03T00:00:00"/>
    <x v="2"/>
    <x v="2"/>
    <s v="Sci-Fi"/>
    <n v="25"/>
    <n v="4499.3"/>
    <s v="Female"/>
    <n v="5"/>
    <n v="4048.89"/>
    <n v="450.41"/>
    <x v="4"/>
    <s v="Q2"/>
    <n v="2023"/>
    <s v="COD"/>
  </r>
  <r>
    <d v="2023-10-03T00:00:00"/>
    <x v="1"/>
    <x v="4"/>
    <s v="Beverages"/>
    <n v="35"/>
    <n v="4340.41"/>
    <s v="Female"/>
    <n v="1"/>
    <n v="1082.1400000000001"/>
    <n v="3258.27"/>
    <x v="8"/>
    <s v="Q4"/>
    <n v="2023"/>
    <s v="COD"/>
  </r>
  <r>
    <d v="2022-05-27T00:00:00"/>
    <x v="3"/>
    <x v="3"/>
    <s v="Rug"/>
    <n v="11"/>
    <n v="2776.21"/>
    <s v="Male"/>
    <n v="4"/>
    <n v="2562.0300000000002"/>
    <n v="214.18"/>
    <x v="4"/>
    <s v="Q2"/>
    <n v="2022"/>
    <s v="COD"/>
  </r>
  <r>
    <d v="2023-03-19T00:00:00"/>
    <x v="1"/>
    <x v="4"/>
    <s v="Grains"/>
    <n v="36"/>
    <n v="4676.42"/>
    <s v="Male"/>
    <n v="1"/>
    <n v="8295.56"/>
    <n v="-3619.14"/>
    <x v="1"/>
    <s v="Q1"/>
    <n v="2023"/>
    <s v="COD"/>
  </r>
  <r>
    <d v="2022-04-28T00:00:00"/>
    <x v="4"/>
    <x v="0"/>
    <s v="Smartphone"/>
    <n v="13"/>
    <n v="6035.57"/>
    <s v="Female"/>
    <n v="4"/>
    <n v="103.42"/>
    <n v="5932.15"/>
    <x v="3"/>
    <s v="Q2"/>
    <n v="2022"/>
    <s v="UPI"/>
  </r>
  <r>
    <d v="2022-07-01T00:00:00"/>
    <x v="1"/>
    <x v="1"/>
    <s v="Sweater"/>
    <n v="26"/>
    <n v="4967.71"/>
    <s v="Male"/>
    <n v="1"/>
    <n v="572.62"/>
    <n v="4395.09"/>
    <x v="9"/>
    <s v="Q3"/>
    <n v="2022"/>
    <s v="COD"/>
  </r>
  <r>
    <d v="2023-05-17T00:00:00"/>
    <x v="0"/>
    <x v="4"/>
    <s v="Snacks"/>
    <n v="30"/>
    <n v="664.14"/>
    <s v="Male"/>
    <n v="4"/>
    <n v="6412.26"/>
    <n v="-5748.12"/>
    <x v="4"/>
    <s v="Q2"/>
    <n v="2023"/>
    <s v="COD"/>
  </r>
  <r>
    <d v="2022-08-29T00:00:00"/>
    <x v="0"/>
    <x v="4"/>
    <s v="Grains"/>
    <n v="8"/>
    <n v="2078.04"/>
    <s v="Male"/>
    <n v="3"/>
    <n v="1412.83"/>
    <n v="665.21"/>
    <x v="10"/>
    <s v="Q3"/>
    <n v="2022"/>
    <s v="UPI"/>
  </r>
  <r>
    <d v="2023-04-11T00:00:00"/>
    <x v="1"/>
    <x v="1"/>
    <s v="Sweater"/>
    <n v="32"/>
    <n v="13017.37"/>
    <s v="Male"/>
    <n v="2"/>
    <n v="4166.3900000000003"/>
    <n v="8850.98"/>
    <x v="3"/>
    <s v="Q2"/>
    <n v="2023"/>
    <s v="COD"/>
  </r>
  <r>
    <d v="2022-10-15T00:00:00"/>
    <x v="3"/>
    <x v="1"/>
    <s v="Sweater"/>
    <n v="40"/>
    <n v="11185.72"/>
    <s v="Female"/>
    <n v="1"/>
    <n v="9967.66"/>
    <n v="1218.06"/>
    <x v="8"/>
    <s v="Q4"/>
    <n v="2022"/>
    <s v="UPI"/>
  </r>
  <r>
    <d v="2023-07-17T00:00:00"/>
    <x v="4"/>
    <x v="4"/>
    <s v="Grains"/>
    <n v="42"/>
    <n v="12086.68"/>
    <s v="Female"/>
    <n v="2"/>
    <n v="1732.1"/>
    <n v="10354.58"/>
    <x v="9"/>
    <s v="Q3"/>
    <n v="2023"/>
    <s v="Debit Card"/>
  </r>
  <r>
    <d v="2022-10-29T00:00:00"/>
    <x v="3"/>
    <x v="0"/>
    <s v="Tablet"/>
    <n v="35"/>
    <n v="4546.1499999999996"/>
    <s v="Male"/>
    <n v="5"/>
    <n v="6783.6"/>
    <n v="-2237.4499999999998"/>
    <x v="8"/>
    <s v="Q4"/>
    <n v="2022"/>
    <s v="COD"/>
  </r>
  <r>
    <d v="2022-02-04T00:00:00"/>
    <x v="3"/>
    <x v="2"/>
    <s v="Mystery"/>
    <n v="45"/>
    <n v="2193.4299999999998"/>
    <s v="Male"/>
    <n v="4"/>
    <n v="7785.38"/>
    <n v="-5591.95"/>
    <x v="2"/>
    <s v="Q1"/>
    <n v="2022"/>
    <s v="COD"/>
  </r>
  <r>
    <d v="2022-09-16T00:00:00"/>
    <x v="1"/>
    <x v="4"/>
    <s v="Produce"/>
    <n v="16"/>
    <n v="7218.59"/>
    <s v="Male"/>
    <n v="3"/>
    <n v="2278.4"/>
    <n v="4940.1899999999996"/>
    <x v="7"/>
    <s v="Q3"/>
    <n v="2022"/>
    <s v="COD"/>
  </r>
  <r>
    <d v="2023-07-12T00:00:00"/>
    <x v="3"/>
    <x v="0"/>
    <s v="Tablet"/>
    <n v="41"/>
    <n v="14038.37"/>
    <s v="Male"/>
    <n v="3"/>
    <n v="303.29000000000002"/>
    <n v="13735.08"/>
    <x v="9"/>
    <s v="Q3"/>
    <n v="2023"/>
    <s v="UPI"/>
  </r>
  <r>
    <d v="2022-07-24T00:00:00"/>
    <x v="1"/>
    <x v="2"/>
    <s v="Mystery"/>
    <n v="5"/>
    <n v="492.57"/>
    <s v="Female"/>
    <n v="1"/>
    <n v="765.64"/>
    <n v="-273.07"/>
    <x v="9"/>
    <s v="Q3"/>
    <n v="2022"/>
    <s v="Debit Card"/>
  </r>
  <r>
    <d v="2023-12-25T00:00:00"/>
    <x v="4"/>
    <x v="3"/>
    <s v="Table"/>
    <n v="10"/>
    <n v="2571.37"/>
    <s v="Female"/>
    <n v="3"/>
    <n v="1574.32"/>
    <n v="997.05"/>
    <x v="6"/>
    <s v="Q4"/>
    <n v="2023"/>
    <s v="Debit Card"/>
  </r>
  <r>
    <d v="2022-10-30T00:00:00"/>
    <x v="3"/>
    <x v="4"/>
    <s v="Produce"/>
    <n v="46"/>
    <n v="14916.13"/>
    <s v="Male"/>
    <n v="2"/>
    <n v="7054.92"/>
    <n v="7861.21"/>
    <x v="8"/>
    <s v="Q4"/>
    <n v="2022"/>
    <s v="COD"/>
  </r>
  <r>
    <d v="2023-04-02T00:00:00"/>
    <x v="1"/>
    <x v="2"/>
    <s v="Non-Fiction"/>
    <n v="3"/>
    <n v="1266.51"/>
    <s v="Male"/>
    <n v="5"/>
    <n v="743.74"/>
    <n v="522.77"/>
    <x v="3"/>
    <s v="Q2"/>
    <n v="2023"/>
    <s v="UPI"/>
  </r>
  <r>
    <d v="2022-10-27T00:00:00"/>
    <x v="1"/>
    <x v="4"/>
    <s v="Grains"/>
    <n v="18"/>
    <n v="5602.64"/>
    <s v="Female"/>
    <n v="5"/>
    <n v="2537.84"/>
    <n v="3064.8"/>
    <x v="8"/>
    <s v="Q4"/>
    <n v="2022"/>
    <s v="UPI"/>
  </r>
  <r>
    <d v="2022-09-11T00:00:00"/>
    <x v="0"/>
    <x v="4"/>
    <s v="Beverages"/>
    <n v="15"/>
    <n v="2818.14"/>
    <s v="Female"/>
    <n v="5"/>
    <n v="1975.24"/>
    <n v="842.9"/>
    <x v="7"/>
    <s v="Q3"/>
    <n v="2022"/>
    <s v="COD"/>
  </r>
  <r>
    <d v="2023-09-02T00:00:00"/>
    <x v="3"/>
    <x v="1"/>
    <s v="Sweater"/>
    <n v="9"/>
    <n v="1668.03"/>
    <s v="Female"/>
    <n v="4"/>
    <n v="1000.61"/>
    <n v="667.42"/>
    <x v="7"/>
    <s v="Q3"/>
    <n v="2023"/>
    <s v="Debit Card"/>
  </r>
  <r>
    <d v="2022-12-25T00:00:00"/>
    <x v="3"/>
    <x v="1"/>
    <s v="T-Shirt"/>
    <n v="3"/>
    <n v="1205.75"/>
    <s v="Male"/>
    <n v="1"/>
    <n v="294.70999999999998"/>
    <n v="911.04"/>
    <x v="6"/>
    <s v="Q4"/>
    <n v="2022"/>
    <s v="COD"/>
  </r>
  <r>
    <d v="2023-01-02T00:00:00"/>
    <x v="3"/>
    <x v="3"/>
    <s v="Chair"/>
    <n v="1"/>
    <n v="90.8"/>
    <s v="Female"/>
    <n v="3"/>
    <n v="160.22999999999999"/>
    <n v="-69.430000000000007"/>
    <x v="5"/>
    <s v="Q1"/>
    <n v="2023"/>
    <s v="COD"/>
  </r>
  <r>
    <d v="2023-11-24T00:00:00"/>
    <x v="0"/>
    <x v="3"/>
    <s v="Rug"/>
    <n v="40"/>
    <n v="14151.28"/>
    <s v="Male"/>
    <n v="1"/>
    <n v="3635.8"/>
    <n v="10515.48"/>
    <x v="11"/>
    <s v="Q4"/>
    <n v="2023"/>
    <s v="Debit Card"/>
  </r>
  <r>
    <d v="2022-05-24T00:00:00"/>
    <x v="3"/>
    <x v="3"/>
    <s v="Chair"/>
    <n v="46"/>
    <n v="2921.32"/>
    <s v="Male"/>
    <n v="3"/>
    <n v="11363.45"/>
    <n v="-8442.1299999999992"/>
    <x v="4"/>
    <s v="Q2"/>
    <n v="2022"/>
    <s v="COD"/>
  </r>
  <r>
    <d v="2023-11-23T00:00:00"/>
    <x v="0"/>
    <x v="0"/>
    <s v="Headphones"/>
    <n v="19"/>
    <n v="7240.05"/>
    <s v="Male"/>
    <n v="5"/>
    <n v="111.12"/>
    <n v="7128.93"/>
    <x v="11"/>
    <s v="Q4"/>
    <n v="2023"/>
    <s v="Debit Card"/>
  </r>
  <r>
    <d v="2023-06-17T00:00:00"/>
    <x v="1"/>
    <x v="1"/>
    <s v="Sweater"/>
    <n v="42"/>
    <n v="8301.52"/>
    <s v="Male"/>
    <n v="1"/>
    <n v="2013.62"/>
    <n v="6287.9"/>
    <x v="0"/>
    <s v="Q2"/>
    <n v="2023"/>
    <s v="COD"/>
  </r>
  <r>
    <d v="2022-10-11T00:00:00"/>
    <x v="2"/>
    <x v="2"/>
    <s v="Fiction"/>
    <n v="36"/>
    <n v="7159.67"/>
    <s v="Female"/>
    <n v="1"/>
    <n v="1057.54"/>
    <n v="6102.13"/>
    <x v="8"/>
    <s v="Q4"/>
    <n v="2022"/>
    <s v="COD"/>
  </r>
  <r>
    <d v="2022-09-29T00:00:00"/>
    <x v="1"/>
    <x v="4"/>
    <s v="Beverages"/>
    <n v="5"/>
    <n v="1174.32"/>
    <s v="Male"/>
    <n v="3"/>
    <n v="1236.5899999999999"/>
    <n v="-62.27"/>
    <x v="7"/>
    <s v="Q3"/>
    <n v="2022"/>
    <s v="Debit Card"/>
  </r>
  <r>
    <d v="2023-05-16T00:00:00"/>
    <x v="2"/>
    <x v="4"/>
    <s v="Beverages"/>
    <n v="36"/>
    <n v="1759.75"/>
    <s v="Male"/>
    <n v="5"/>
    <n v="7261.15"/>
    <n v="-5501.4"/>
    <x v="4"/>
    <s v="Q2"/>
    <n v="2023"/>
    <s v="COD"/>
  </r>
  <r>
    <d v="2022-09-06T00:00:00"/>
    <x v="2"/>
    <x v="0"/>
    <s v="Laptop"/>
    <n v="31"/>
    <n v="11188.18"/>
    <s v="Female"/>
    <n v="4"/>
    <n v="646.59"/>
    <n v="10541.59"/>
    <x v="7"/>
    <s v="Q3"/>
    <n v="2022"/>
    <s v="UPI"/>
  </r>
  <r>
    <d v="2022-08-02T00:00:00"/>
    <x v="1"/>
    <x v="1"/>
    <s v="T-Shirt"/>
    <n v="20"/>
    <n v="5118.13"/>
    <s v="Male"/>
    <n v="3"/>
    <n v="497.02"/>
    <n v="4621.1099999999997"/>
    <x v="10"/>
    <s v="Q3"/>
    <n v="2022"/>
    <s v="COD"/>
  </r>
  <r>
    <d v="2023-12-06T00:00:00"/>
    <x v="2"/>
    <x v="2"/>
    <s v="Non-Fiction"/>
    <n v="5"/>
    <n v="222.51"/>
    <s v="Male"/>
    <n v="5"/>
    <n v="881.61"/>
    <n v="-659.1"/>
    <x v="6"/>
    <s v="Q4"/>
    <n v="2023"/>
    <s v="Debit Card"/>
  </r>
  <r>
    <d v="2023-11-17T00:00:00"/>
    <x v="2"/>
    <x v="4"/>
    <s v="Beverages"/>
    <n v="31"/>
    <n v="5395.07"/>
    <s v="Female"/>
    <n v="4"/>
    <n v="6157.3"/>
    <n v="-762.23"/>
    <x v="11"/>
    <s v="Q4"/>
    <n v="2023"/>
    <s v="Debit Card"/>
  </r>
  <r>
    <d v="2023-06-11T00:00:00"/>
    <x v="4"/>
    <x v="1"/>
    <s v="T-Shirt"/>
    <n v="3"/>
    <n v="630.92999999999995"/>
    <s v="Male"/>
    <n v="3"/>
    <n v="364.29"/>
    <n v="266.64"/>
    <x v="0"/>
    <s v="Q2"/>
    <n v="2023"/>
    <s v="UPI"/>
  </r>
  <r>
    <d v="2022-09-04T00:00:00"/>
    <x v="3"/>
    <x v="0"/>
    <s v="Headphones"/>
    <n v="12"/>
    <n v="3457.27"/>
    <s v="Male"/>
    <n v="2"/>
    <n v="1078.1500000000001"/>
    <n v="2379.12"/>
    <x v="7"/>
    <s v="Q3"/>
    <n v="2022"/>
    <s v="COD"/>
  </r>
  <r>
    <d v="2022-10-09T00:00:00"/>
    <x v="3"/>
    <x v="0"/>
    <s v="Headphones"/>
    <n v="8"/>
    <n v="2376.31"/>
    <s v="Female"/>
    <n v="3"/>
    <n v="141.16"/>
    <n v="2235.15"/>
    <x v="8"/>
    <s v="Q4"/>
    <n v="2022"/>
    <s v="UPI"/>
  </r>
  <r>
    <d v="2022-04-16T00:00:00"/>
    <x v="1"/>
    <x v="4"/>
    <s v="Produce"/>
    <n v="15"/>
    <n v="5383.81"/>
    <s v="Male"/>
    <n v="3"/>
    <n v="2454.92"/>
    <n v="2928.89"/>
    <x v="3"/>
    <s v="Q2"/>
    <n v="2022"/>
    <s v="UPI"/>
  </r>
  <r>
    <d v="2022-08-28T00:00:00"/>
    <x v="0"/>
    <x v="1"/>
    <s v="Sweater"/>
    <n v="19"/>
    <n v="4893.25"/>
    <s v="Male"/>
    <n v="4"/>
    <n v="875.11"/>
    <n v="4018.14"/>
    <x v="10"/>
    <s v="Q3"/>
    <n v="2022"/>
    <s v="COD"/>
  </r>
  <r>
    <d v="2022-11-21T00:00:00"/>
    <x v="1"/>
    <x v="4"/>
    <s v="Grains"/>
    <n v="1"/>
    <n v="128.44"/>
    <s v="Male"/>
    <n v="1"/>
    <n v="8.82"/>
    <n v="119.62"/>
    <x v="11"/>
    <s v="Q4"/>
    <n v="2022"/>
    <s v="UPI"/>
  </r>
  <r>
    <d v="2022-12-23T00:00:00"/>
    <x v="4"/>
    <x v="0"/>
    <s v="Laptop"/>
    <n v="19"/>
    <n v="4564.18"/>
    <s v="Female"/>
    <n v="3"/>
    <n v="1508.36"/>
    <n v="3055.82"/>
    <x v="6"/>
    <s v="Q4"/>
    <n v="2022"/>
    <s v="UPI"/>
  </r>
  <r>
    <d v="2022-08-27T00:00:00"/>
    <x v="2"/>
    <x v="4"/>
    <s v="Produce"/>
    <n v="32"/>
    <n v="13086.66"/>
    <s v="Female"/>
    <n v="2"/>
    <n v="7509.32"/>
    <n v="5577.34"/>
    <x v="10"/>
    <s v="Q3"/>
    <n v="2022"/>
    <s v="UPI"/>
  </r>
  <r>
    <d v="2023-07-12T00:00:00"/>
    <x v="1"/>
    <x v="4"/>
    <s v="Beverages"/>
    <n v="32"/>
    <n v="12014.19"/>
    <s v="Male"/>
    <n v="3"/>
    <n v="3569.5"/>
    <n v="8444.69"/>
    <x v="9"/>
    <s v="Q3"/>
    <n v="2023"/>
    <s v="COD"/>
  </r>
  <r>
    <d v="2022-08-08T00:00:00"/>
    <x v="3"/>
    <x v="4"/>
    <s v="Grains"/>
    <n v="50"/>
    <n v="22622.79"/>
    <s v="Male"/>
    <n v="4"/>
    <n v="1973.2"/>
    <n v="20649.59"/>
    <x v="10"/>
    <s v="Q3"/>
    <n v="2022"/>
    <s v="COD"/>
  </r>
  <r>
    <d v="2022-05-25T00:00:00"/>
    <x v="3"/>
    <x v="4"/>
    <s v="Produce"/>
    <n v="2"/>
    <n v="103.48"/>
    <s v="Female"/>
    <n v="5"/>
    <n v="434.7"/>
    <n v="-331.22"/>
    <x v="4"/>
    <s v="Q2"/>
    <n v="2022"/>
    <s v="Credit Card"/>
  </r>
  <r>
    <d v="2022-04-14T00:00:00"/>
    <x v="1"/>
    <x v="2"/>
    <s v="Sci-Fi"/>
    <n v="39"/>
    <n v="4950.1899999999996"/>
    <s v="Male"/>
    <n v="3"/>
    <n v="3048.14"/>
    <n v="1902.05"/>
    <x v="3"/>
    <s v="Q2"/>
    <n v="2022"/>
    <s v="COD"/>
  </r>
  <r>
    <d v="2023-08-06T00:00:00"/>
    <x v="2"/>
    <x v="3"/>
    <s v="Lamp"/>
    <n v="31"/>
    <n v="4975.3100000000004"/>
    <s v="Female"/>
    <n v="2"/>
    <n v="214.27"/>
    <n v="4761.04"/>
    <x v="10"/>
    <s v="Q3"/>
    <n v="2023"/>
    <s v="COD"/>
  </r>
  <r>
    <d v="2023-01-24T00:00:00"/>
    <x v="3"/>
    <x v="0"/>
    <s v="Headphones"/>
    <n v="15"/>
    <n v="3442.4"/>
    <s v="Female"/>
    <n v="3"/>
    <n v="3499.22"/>
    <n v="-56.82"/>
    <x v="5"/>
    <s v="Q1"/>
    <n v="2023"/>
    <s v="UPI"/>
  </r>
  <r>
    <d v="2023-11-30T00:00:00"/>
    <x v="3"/>
    <x v="4"/>
    <s v="Snacks"/>
    <n v="44"/>
    <n v="7290.26"/>
    <s v="Female"/>
    <n v="1"/>
    <n v="6233.44"/>
    <n v="1056.82"/>
    <x v="11"/>
    <s v="Q4"/>
    <n v="2023"/>
    <s v="COD"/>
  </r>
  <r>
    <d v="2022-06-15T00:00:00"/>
    <x v="3"/>
    <x v="2"/>
    <s v="Sci-Fi"/>
    <n v="8"/>
    <n v="3906.7"/>
    <s v="Male"/>
    <n v="2"/>
    <n v="550.47"/>
    <n v="3356.23"/>
    <x v="0"/>
    <s v="Q2"/>
    <n v="2022"/>
    <s v="UPI"/>
  </r>
  <r>
    <d v="2023-02-25T00:00:00"/>
    <x v="1"/>
    <x v="0"/>
    <s v="Headphones"/>
    <n v="38"/>
    <n v="12938.7"/>
    <s v="Male"/>
    <n v="5"/>
    <n v="9159.6200000000008"/>
    <n v="3779.08"/>
    <x v="2"/>
    <s v="Q1"/>
    <n v="2023"/>
    <s v="Credit Card"/>
  </r>
  <r>
    <d v="2022-07-17T00:00:00"/>
    <x v="2"/>
    <x v="2"/>
    <s v="Mystery"/>
    <n v="15"/>
    <n v="2644.13"/>
    <s v="Female"/>
    <n v="5"/>
    <n v="1288.96"/>
    <n v="1355.17"/>
    <x v="9"/>
    <s v="Q3"/>
    <n v="2022"/>
    <s v="COD"/>
  </r>
  <r>
    <d v="2022-08-03T00:00:00"/>
    <x v="2"/>
    <x v="1"/>
    <s v="Dress"/>
    <n v="5"/>
    <n v="1947.37"/>
    <s v="Female"/>
    <n v="5"/>
    <n v="44.47"/>
    <n v="1902.9"/>
    <x v="10"/>
    <s v="Q3"/>
    <n v="2022"/>
    <s v="COD"/>
  </r>
  <r>
    <d v="2023-03-15T00:00:00"/>
    <x v="3"/>
    <x v="3"/>
    <s v="Lamp"/>
    <n v="17"/>
    <n v="3153.33"/>
    <s v="Male"/>
    <n v="1"/>
    <n v="859.15"/>
    <n v="2294.1799999999998"/>
    <x v="1"/>
    <s v="Q1"/>
    <n v="2023"/>
    <s v="UPI"/>
  </r>
  <r>
    <d v="2022-05-31T00:00:00"/>
    <x v="3"/>
    <x v="1"/>
    <s v="Dress"/>
    <n v="12"/>
    <n v="5539.81"/>
    <s v="Male"/>
    <n v="1"/>
    <n v="2253.59"/>
    <n v="3286.22"/>
    <x v="4"/>
    <s v="Q2"/>
    <n v="2022"/>
    <s v="UPI"/>
  </r>
  <r>
    <d v="2023-04-13T00:00:00"/>
    <x v="1"/>
    <x v="0"/>
    <s v="Laptop"/>
    <n v="37"/>
    <n v="834.5"/>
    <s v="Male"/>
    <n v="4"/>
    <n v="3459.38"/>
    <n v="-2624.88"/>
    <x v="3"/>
    <s v="Q2"/>
    <n v="2023"/>
    <s v="UPI"/>
  </r>
  <r>
    <d v="2023-02-17T00:00:00"/>
    <x v="3"/>
    <x v="4"/>
    <s v="Produce"/>
    <n v="13"/>
    <n v="986.36"/>
    <s v="Male"/>
    <n v="2"/>
    <n v="2595.37"/>
    <n v="-1609.01"/>
    <x v="2"/>
    <s v="Q1"/>
    <n v="2023"/>
    <s v="COD"/>
  </r>
  <r>
    <d v="2022-07-19T00:00:00"/>
    <x v="1"/>
    <x v="1"/>
    <s v="Jeans"/>
    <n v="8"/>
    <n v="390.21"/>
    <s v="Female"/>
    <n v="2"/>
    <n v="580.39"/>
    <n v="-190.18"/>
    <x v="9"/>
    <s v="Q3"/>
    <n v="2022"/>
    <s v="UPI"/>
  </r>
  <r>
    <d v="2023-11-02T00:00:00"/>
    <x v="4"/>
    <x v="1"/>
    <s v="Sweater"/>
    <n v="44"/>
    <n v="20220.849999999999"/>
    <s v="Female"/>
    <n v="2"/>
    <n v="9939.94"/>
    <n v="10280.91"/>
    <x v="11"/>
    <s v="Q4"/>
    <n v="2023"/>
    <s v="COD"/>
  </r>
  <r>
    <d v="2023-09-13T00:00:00"/>
    <x v="4"/>
    <x v="1"/>
    <s v="Sweater"/>
    <n v="40"/>
    <n v="1592.7"/>
    <s v="Female"/>
    <n v="2"/>
    <n v="2612.94"/>
    <n v="-1020.24"/>
    <x v="7"/>
    <s v="Q3"/>
    <n v="2023"/>
    <s v="COD"/>
  </r>
  <r>
    <d v="2022-03-24T00:00:00"/>
    <x v="4"/>
    <x v="0"/>
    <s v="Smartphone"/>
    <n v="4"/>
    <n v="1414.97"/>
    <s v="Female"/>
    <n v="2"/>
    <n v="962.52"/>
    <n v="452.45"/>
    <x v="1"/>
    <s v="Q1"/>
    <n v="2022"/>
    <s v="UPI"/>
  </r>
  <r>
    <d v="2023-03-03T00:00:00"/>
    <x v="0"/>
    <x v="1"/>
    <s v="Jeans"/>
    <n v="5"/>
    <n v="1348.9"/>
    <s v="Male"/>
    <n v="4"/>
    <n v="1101.76"/>
    <n v="247.14"/>
    <x v="1"/>
    <s v="Q1"/>
    <n v="2023"/>
    <s v="UPI"/>
  </r>
  <r>
    <d v="2023-10-27T00:00:00"/>
    <x v="3"/>
    <x v="0"/>
    <s v="Laptop"/>
    <n v="12"/>
    <n v="5094.12"/>
    <s v="Female"/>
    <n v="5"/>
    <n v="277.26"/>
    <n v="4816.8599999999997"/>
    <x v="8"/>
    <s v="Q4"/>
    <n v="2023"/>
    <s v="EMI"/>
  </r>
  <r>
    <d v="2023-03-10T00:00:00"/>
    <x v="3"/>
    <x v="2"/>
    <s v="Mystery"/>
    <n v="45"/>
    <n v="8712.65"/>
    <s v="Male"/>
    <n v="5"/>
    <n v="9405.6200000000008"/>
    <n v="-692.97"/>
    <x v="1"/>
    <s v="Q1"/>
    <n v="2023"/>
    <s v="UPI"/>
  </r>
  <r>
    <d v="2023-10-31T00:00:00"/>
    <x v="0"/>
    <x v="1"/>
    <s v="Jeans"/>
    <n v="6"/>
    <n v="2378.25"/>
    <s v="Female"/>
    <n v="4"/>
    <n v="1362.33"/>
    <n v="1015.92"/>
    <x v="8"/>
    <s v="Q4"/>
    <n v="2023"/>
    <s v="Debit Card"/>
  </r>
  <r>
    <d v="2022-08-19T00:00:00"/>
    <x v="4"/>
    <x v="1"/>
    <s v="Jeans"/>
    <n v="44"/>
    <n v="14703.62"/>
    <s v="Male"/>
    <n v="2"/>
    <n v="7756.94"/>
    <n v="6946.68"/>
    <x v="10"/>
    <s v="Q3"/>
    <n v="2022"/>
    <s v="UPI"/>
  </r>
  <r>
    <d v="2023-08-05T00:00:00"/>
    <x v="2"/>
    <x v="0"/>
    <s v="Headphones"/>
    <n v="48"/>
    <n v="5125.6400000000003"/>
    <s v="Male"/>
    <n v="1"/>
    <n v="10260.82"/>
    <n v="-5135.18"/>
    <x v="10"/>
    <s v="Q3"/>
    <n v="2023"/>
    <s v="COD"/>
  </r>
  <r>
    <d v="2022-02-08T00:00:00"/>
    <x v="1"/>
    <x v="0"/>
    <s v="Smartphone"/>
    <n v="40"/>
    <n v="7729.4"/>
    <s v="Female"/>
    <n v="4"/>
    <n v="6743.06"/>
    <n v="986.34"/>
    <x v="2"/>
    <s v="Q1"/>
    <n v="2022"/>
    <s v="Debit Card"/>
  </r>
  <r>
    <d v="2022-05-23T00:00:00"/>
    <x v="1"/>
    <x v="1"/>
    <s v="T-Shirt"/>
    <n v="28"/>
    <n v="1706.27"/>
    <s v="Female"/>
    <n v="5"/>
    <n v="1058.06"/>
    <n v="648.21"/>
    <x v="4"/>
    <s v="Q2"/>
    <n v="2022"/>
    <s v="COD"/>
  </r>
  <r>
    <d v="2023-02-07T00:00:00"/>
    <x v="0"/>
    <x v="0"/>
    <s v="Headphones"/>
    <n v="42"/>
    <n v="12100.39"/>
    <s v="Female"/>
    <n v="1"/>
    <n v="8635.59"/>
    <n v="3464.8"/>
    <x v="2"/>
    <s v="Q1"/>
    <n v="2023"/>
    <s v="UPI"/>
  </r>
  <r>
    <d v="2022-07-19T00:00:00"/>
    <x v="0"/>
    <x v="4"/>
    <s v="Beverages"/>
    <n v="41"/>
    <n v="20444.23"/>
    <s v="Female"/>
    <n v="5"/>
    <n v="2755.95"/>
    <n v="17688.28"/>
    <x v="9"/>
    <s v="Q3"/>
    <n v="2022"/>
    <s v="COD"/>
  </r>
  <r>
    <d v="2023-09-28T00:00:00"/>
    <x v="1"/>
    <x v="3"/>
    <s v="Lamp"/>
    <n v="25"/>
    <n v="6936.27"/>
    <s v="Male"/>
    <n v="1"/>
    <n v="5527.45"/>
    <n v="1408.82"/>
    <x v="7"/>
    <s v="Q3"/>
    <n v="2023"/>
    <s v="COD"/>
  </r>
  <r>
    <d v="2023-06-29T00:00:00"/>
    <x v="0"/>
    <x v="2"/>
    <s v="Sci-Fi"/>
    <n v="49"/>
    <n v="7163.09"/>
    <s v="Female"/>
    <n v="5"/>
    <n v="7180.57"/>
    <n v="-17.48"/>
    <x v="0"/>
    <s v="Q2"/>
    <n v="2023"/>
    <s v="COD"/>
  </r>
  <r>
    <d v="2023-08-19T00:00:00"/>
    <x v="3"/>
    <x v="2"/>
    <s v="Sci-Fi"/>
    <n v="29"/>
    <n v="12517.51"/>
    <s v="Female"/>
    <n v="1"/>
    <n v="3278.84"/>
    <n v="9238.67"/>
    <x v="10"/>
    <s v="Q3"/>
    <n v="2023"/>
    <s v="UPI"/>
  </r>
  <r>
    <d v="2022-01-22T00:00:00"/>
    <x v="3"/>
    <x v="1"/>
    <s v="Dress"/>
    <n v="1"/>
    <n v="210.4"/>
    <s v="Female"/>
    <n v="2"/>
    <n v="84.42"/>
    <n v="125.98"/>
    <x v="5"/>
    <s v="Q1"/>
    <n v="2022"/>
    <s v="Debit Card"/>
  </r>
  <r>
    <d v="2023-08-02T00:00:00"/>
    <x v="1"/>
    <x v="2"/>
    <s v="Fiction"/>
    <n v="18"/>
    <n v="8827.44"/>
    <s v="Female"/>
    <n v="1"/>
    <n v="4082.79"/>
    <n v="4744.6499999999996"/>
    <x v="10"/>
    <s v="Q3"/>
    <n v="2023"/>
    <s v="Credit Card"/>
  </r>
  <r>
    <d v="2023-03-27T00:00:00"/>
    <x v="3"/>
    <x v="4"/>
    <s v="Beverages"/>
    <n v="9"/>
    <n v="1034.9000000000001"/>
    <s v="Female"/>
    <n v="4"/>
    <n v="1601.21"/>
    <n v="-566.30999999999995"/>
    <x v="1"/>
    <s v="Q1"/>
    <n v="2023"/>
    <s v="COD"/>
  </r>
  <r>
    <d v="2022-06-03T00:00:00"/>
    <x v="1"/>
    <x v="3"/>
    <s v="Table"/>
    <n v="17"/>
    <n v="1750.19"/>
    <s v="Male"/>
    <n v="2"/>
    <n v="3583.79"/>
    <n v="-1833.6"/>
    <x v="0"/>
    <s v="Q2"/>
    <n v="2022"/>
    <s v="Debit Card"/>
  </r>
  <r>
    <d v="2023-03-29T00:00:00"/>
    <x v="3"/>
    <x v="0"/>
    <s v="Smartphone"/>
    <n v="23"/>
    <n v="628.30999999999995"/>
    <s v="Male"/>
    <n v="3"/>
    <n v="1503.9"/>
    <n v="-875.59"/>
    <x v="1"/>
    <s v="Q1"/>
    <n v="2023"/>
    <s v="UPI"/>
  </r>
  <r>
    <d v="2023-05-23T00:00:00"/>
    <x v="4"/>
    <x v="2"/>
    <s v="Fiction"/>
    <n v="14"/>
    <n v="2528.84"/>
    <s v="Male"/>
    <n v="5"/>
    <n v="1402.59"/>
    <n v="1126.25"/>
    <x v="4"/>
    <s v="Q2"/>
    <n v="2023"/>
    <s v="COD"/>
  </r>
  <r>
    <d v="2022-05-06T00:00:00"/>
    <x v="2"/>
    <x v="3"/>
    <s v="Table"/>
    <n v="27"/>
    <n v="11992.06"/>
    <s v="Female"/>
    <n v="2"/>
    <n v="2460.9"/>
    <n v="9531.16"/>
    <x v="4"/>
    <s v="Q2"/>
    <n v="2022"/>
    <s v="Debit Card"/>
  </r>
  <r>
    <d v="2022-12-24T00:00:00"/>
    <x v="3"/>
    <x v="3"/>
    <s v="Lamp"/>
    <n v="35"/>
    <n v="1388.57"/>
    <s v="Female"/>
    <n v="4"/>
    <n v="3776.82"/>
    <n v="-2388.25"/>
    <x v="6"/>
    <s v="Q4"/>
    <n v="2022"/>
    <s v="COD"/>
  </r>
  <r>
    <d v="2023-05-21T00:00:00"/>
    <x v="0"/>
    <x v="2"/>
    <s v="Mystery"/>
    <n v="47"/>
    <n v="11682.36"/>
    <s v="Female"/>
    <n v="5"/>
    <n v="8465.8799999999992"/>
    <n v="3216.48"/>
    <x v="4"/>
    <s v="Q2"/>
    <n v="2023"/>
    <s v="COD"/>
  </r>
  <r>
    <d v="2023-07-14T00:00:00"/>
    <x v="2"/>
    <x v="1"/>
    <s v="T-Shirt"/>
    <n v="6"/>
    <n v="1599.61"/>
    <s v="Male"/>
    <n v="2"/>
    <n v="1282.94"/>
    <n v="316.67"/>
    <x v="9"/>
    <s v="Q3"/>
    <n v="2023"/>
    <s v="COD"/>
  </r>
  <r>
    <d v="2022-06-28T00:00:00"/>
    <x v="0"/>
    <x v="4"/>
    <s v="Snacks"/>
    <n v="49"/>
    <n v="21137.9"/>
    <s v="Male"/>
    <n v="1"/>
    <n v="11796.37"/>
    <n v="9341.5300000000007"/>
    <x v="0"/>
    <s v="Q2"/>
    <n v="2022"/>
    <s v="Debit Card"/>
  </r>
  <r>
    <d v="2023-10-03T00:00:00"/>
    <x v="1"/>
    <x v="4"/>
    <s v="Beverages"/>
    <n v="29"/>
    <n v="5716.47"/>
    <s v="Male"/>
    <n v="2"/>
    <n v="1284.3900000000001"/>
    <n v="4432.08"/>
    <x v="8"/>
    <s v="Q4"/>
    <n v="2023"/>
    <s v="COD"/>
  </r>
  <r>
    <d v="2022-09-02T00:00:00"/>
    <x v="3"/>
    <x v="1"/>
    <s v="Dress"/>
    <n v="41"/>
    <n v="15766.06"/>
    <s v="Male"/>
    <n v="3"/>
    <n v="5469.54"/>
    <n v="10296.52"/>
    <x v="7"/>
    <s v="Q3"/>
    <n v="2022"/>
    <s v="Debit Card"/>
  </r>
  <r>
    <d v="2023-05-15T00:00:00"/>
    <x v="2"/>
    <x v="2"/>
    <s v="Mystery"/>
    <n v="24"/>
    <n v="6922.87"/>
    <s v="Female"/>
    <n v="3"/>
    <n v="5735.8"/>
    <n v="1187.07"/>
    <x v="4"/>
    <s v="Q2"/>
    <n v="2023"/>
    <s v="Debit Card"/>
  </r>
  <r>
    <d v="2023-02-11T00:00:00"/>
    <x v="1"/>
    <x v="0"/>
    <s v="Laptop"/>
    <n v="21"/>
    <n v="9381.77"/>
    <s v="Male"/>
    <n v="1"/>
    <n v="4391.62"/>
    <n v="4990.1499999999996"/>
    <x v="2"/>
    <s v="Q1"/>
    <n v="2023"/>
    <s v="UPI"/>
  </r>
  <r>
    <d v="2022-09-11T00:00:00"/>
    <x v="4"/>
    <x v="3"/>
    <s v="Lamp"/>
    <n v="45"/>
    <n v="14630.71"/>
    <s v="Female"/>
    <n v="4"/>
    <n v="6947.72"/>
    <n v="7682.99"/>
    <x v="7"/>
    <s v="Q3"/>
    <n v="2022"/>
    <s v="COD"/>
  </r>
  <r>
    <d v="2022-10-23T00:00:00"/>
    <x v="4"/>
    <x v="1"/>
    <s v="Jeans"/>
    <n v="21"/>
    <n v="7663.47"/>
    <s v="Female"/>
    <n v="2"/>
    <n v="3975.78"/>
    <n v="3687.69"/>
    <x v="8"/>
    <s v="Q4"/>
    <n v="2022"/>
    <s v="Debit Card"/>
  </r>
  <r>
    <d v="2023-02-28T00:00:00"/>
    <x v="0"/>
    <x v="3"/>
    <s v="Lamp"/>
    <n v="9"/>
    <n v="4295.24"/>
    <s v="Male"/>
    <n v="3"/>
    <n v="53.63"/>
    <n v="4241.6099999999997"/>
    <x v="2"/>
    <s v="Q1"/>
    <n v="2023"/>
    <s v="Credit Card"/>
  </r>
  <r>
    <d v="2023-09-14T00:00:00"/>
    <x v="3"/>
    <x v="2"/>
    <s v="Sci-Fi"/>
    <n v="2"/>
    <n v="601.9"/>
    <s v="Male"/>
    <n v="5"/>
    <n v="272.72000000000003"/>
    <n v="329.18"/>
    <x v="7"/>
    <s v="Q3"/>
    <n v="2023"/>
    <s v="Debit Card"/>
  </r>
  <r>
    <d v="2022-12-16T00:00:00"/>
    <x v="0"/>
    <x v="2"/>
    <s v="Fiction"/>
    <n v="36"/>
    <n v="10018.43"/>
    <s v="Male"/>
    <n v="2"/>
    <n v="1027.8599999999999"/>
    <n v="8990.57"/>
    <x v="6"/>
    <s v="Q4"/>
    <n v="2022"/>
    <s v="Debit Card"/>
  </r>
  <r>
    <d v="2022-06-29T00:00:00"/>
    <x v="4"/>
    <x v="0"/>
    <s v="Laptop"/>
    <n v="31"/>
    <n v="10685.43"/>
    <s v="Female"/>
    <n v="3"/>
    <n v="3752.13"/>
    <n v="6933.3"/>
    <x v="0"/>
    <s v="Q2"/>
    <n v="2022"/>
    <s v="COD"/>
  </r>
  <r>
    <d v="2023-10-31T00:00:00"/>
    <x v="4"/>
    <x v="3"/>
    <s v="Chair"/>
    <n v="14"/>
    <n v="5724.09"/>
    <s v="Female"/>
    <n v="3"/>
    <n v="2954.53"/>
    <n v="2769.56"/>
    <x v="8"/>
    <s v="Q4"/>
    <n v="2023"/>
    <s v="Debit Card"/>
  </r>
  <r>
    <d v="2023-06-05T00:00:00"/>
    <x v="1"/>
    <x v="4"/>
    <s v="Beverages"/>
    <n v="22"/>
    <n v="979.36"/>
    <s v="Female"/>
    <n v="1"/>
    <n v="1678.26"/>
    <n v="-698.9"/>
    <x v="0"/>
    <s v="Q2"/>
    <n v="2023"/>
    <s v="COD"/>
  </r>
  <r>
    <d v="2023-08-03T00:00:00"/>
    <x v="1"/>
    <x v="1"/>
    <s v="Sweater"/>
    <n v="2"/>
    <n v="656.47"/>
    <s v="Male"/>
    <n v="3"/>
    <n v="16.43"/>
    <n v="640.04"/>
    <x v="10"/>
    <s v="Q3"/>
    <n v="2023"/>
    <s v="COD"/>
  </r>
  <r>
    <d v="2022-12-06T00:00:00"/>
    <x v="0"/>
    <x v="0"/>
    <s v="Headphones"/>
    <n v="46"/>
    <n v="743.49"/>
    <s v="Male"/>
    <n v="3"/>
    <n v="4154.4399999999996"/>
    <n v="-3410.95"/>
    <x v="6"/>
    <s v="Q4"/>
    <n v="2022"/>
    <s v="Debit Card"/>
  </r>
  <r>
    <d v="2023-12-19T00:00:00"/>
    <x v="3"/>
    <x v="0"/>
    <s v="Headphones"/>
    <n v="10"/>
    <n v="1019.29"/>
    <s v="Male"/>
    <n v="3"/>
    <n v="1220.53"/>
    <n v="-201.24"/>
    <x v="6"/>
    <s v="Q4"/>
    <n v="2023"/>
    <s v="COD"/>
  </r>
  <r>
    <d v="2022-07-25T00:00:00"/>
    <x v="3"/>
    <x v="0"/>
    <s v="Headphones"/>
    <n v="16"/>
    <n v="7097.62"/>
    <s v="Male"/>
    <n v="3"/>
    <n v="2961.31"/>
    <n v="4136.3100000000004"/>
    <x v="9"/>
    <s v="Q3"/>
    <n v="2022"/>
    <s v="COD"/>
  </r>
  <r>
    <d v="2023-12-07T00:00:00"/>
    <x v="0"/>
    <x v="2"/>
    <s v="Fiction"/>
    <n v="17"/>
    <n v="1861.94"/>
    <s v="Male"/>
    <n v="1"/>
    <n v="1242.19"/>
    <n v="619.75"/>
    <x v="6"/>
    <s v="Q4"/>
    <n v="2023"/>
    <s v="Debit Card"/>
  </r>
  <r>
    <d v="2023-05-31T00:00:00"/>
    <x v="0"/>
    <x v="1"/>
    <s v="Dress"/>
    <n v="10"/>
    <n v="1722.51"/>
    <s v="Female"/>
    <n v="3"/>
    <n v="1146.9100000000001"/>
    <n v="575.6"/>
    <x v="4"/>
    <s v="Q2"/>
    <n v="2023"/>
    <s v="COD"/>
  </r>
  <r>
    <d v="2022-04-02T00:00:00"/>
    <x v="4"/>
    <x v="4"/>
    <s v="Beverages"/>
    <n v="34"/>
    <n v="16648.830000000002"/>
    <s v="Male"/>
    <n v="3"/>
    <n v="2046.46"/>
    <n v="14602.37"/>
    <x v="3"/>
    <s v="Q2"/>
    <n v="2022"/>
    <s v="Debit Card"/>
  </r>
  <r>
    <d v="2022-10-18T00:00:00"/>
    <x v="1"/>
    <x v="2"/>
    <s v="Fiction"/>
    <n v="49"/>
    <n v="22291.82"/>
    <s v="Female"/>
    <n v="1"/>
    <n v="2021.93"/>
    <n v="20269.89"/>
    <x v="8"/>
    <s v="Q4"/>
    <n v="2022"/>
    <s v="Credit Card"/>
  </r>
  <r>
    <d v="2022-11-20T00:00:00"/>
    <x v="3"/>
    <x v="4"/>
    <s v="Beverages"/>
    <n v="18"/>
    <n v="8629.34"/>
    <s v="Male"/>
    <n v="5"/>
    <n v="1099.04"/>
    <n v="7530.3"/>
    <x v="11"/>
    <s v="Q4"/>
    <n v="2022"/>
    <s v="COD"/>
  </r>
  <r>
    <d v="2023-12-29T00:00:00"/>
    <x v="2"/>
    <x v="2"/>
    <s v="Sci-Fi"/>
    <n v="29"/>
    <n v="2191.92"/>
    <s v="Male"/>
    <n v="2"/>
    <n v="5751.89"/>
    <n v="-3559.97"/>
    <x v="6"/>
    <s v="Q4"/>
    <n v="2023"/>
    <s v="COD"/>
  </r>
  <r>
    <d v="2022-03-28T00:00:00"/>
    <x v="3"/>
    <x v="1"/>
    <s v="T-Shirt"/>
    <n v="46"/>
    <n v="20885.71"/>
    <s v="Male"/>
    <n v="4"/>
    <n v="5414.01"/>
    <n v="15471.7"/>
    <x v="1"/>
    <s v="Q1"/>
    <n v="2022"/>
    <s v="COD"/>
  </r>
  <r>
    <d v="2022-05-31T00:00:00"/>
    <x v="1"/>
    <x v="3"/>
    <s v="Rug"/>
    <n v="6"/>
    <n v="809.16"/>
    <s v="Male"/>
    <n v="2"/>
    <n v="1005.3"/>
    <n v="-196.14"/>
    <x v="4"/>
    <s v="Q2"/>
    <n v="2022"/>
    <s v="Debit Card"/>
  </r>
  <r>
    <d v="2023-12-31T00:00:00"/>
    <x v="1"/>
    <x v="2"/>
    <s v="Sci-Fi"/>
    <n v="41"/>
    <n v="4988.41"/>
    <s v="Female"/>
    <n v="3"/>
    <n v="10213.41"/>
    <n v="-5225"/>
    <x v="6"/>
    <s v="Q4"/>
    <n v="2023"/>
    <s v="COD"/>
  </r>
  <r>
    <d v="2022-07-23T00:00:00"/>
    <x v="3"/>
    <x v="2"/>
    <s v="Mystery"/>
    <n v="42"/>
    <n v="3048.02"/>
    <s v="Female"/>
    <n v="5"/>
    <n v="6765.77"/>
    <n v="-3717.75"/>
    <x v="9"/>
    <s v="Q3"/>
    <n v="2022"/>
    <s v="COD"/>
  </r>
  <r>
    <d v="2022-06-30T00:00:00"/>
    <x v="3"/>
    <x v="4"/>
    <s v="Produce"/>
    <n v="34"/>
    <n v="10878.06"/>
    <s v="Female"/>
    <n v="3"/>
    <n v="3436.73"/>
    <n v="7441.33"/>
    <x v="0"/>
    <s v="Q2"/>
    <n v="2022"/>
    <s v="Credit Card"/>
  </r>
  <r>
    <d v="2022-12-27T00:00:00"/>
    <x v="2"/>
    <x v="2"/>
    <s v="Fiction"/>
    <n v="28"/>
    <n v="1785.75"/>
    <s v="Male"/>
    <n v="2"/>
    <n v="1238.3599999999999"/>
    <n v="547.39"/>
    <x v="6"/>
    <s v="Q4"/>
    <n v="2022"/>
    <s v="Debit Card"/>
  </r>
  <r>
    <d v="2022-09-07T00:00:00"/>
    <x v="1"/>
    <x v="0"/>
    <s v="Tablet"/>
    <n v="5"/>
    <n v="1811.92"/>
    <s v="Male"/>
    <n v="3"/>
    <n v="607.48"/>
    <n v="1204.44"/>
    <x v="7"/>
    <s v="Q3"/>
    <n v="2022"/>
    <s v="Debit Card"/>
  </r>
  <r>
    <d v="2022-08-05T00:00:00"/>
    <x v="4"/>
    <x v="1"/>
    <s v="Dress"/>
    <n v="42"/>
    <n v="894.18"/>
    <s v="Male"/>
    <n v="5"/>
    <n v="7824.87"/>
    <n v="-6930.69"/>
    <x v="10"/>
    <s v="Q3"/>
    <n v="2022"/>
    <s v="UPI"/>
  </r>
  <r>
    <d v="2022-09-13T00:00:00"/>
    <x v="1"/>
    <x v="2"/>
    <s v="Mystery"/>
    <n v="44"/>
    <n v="13375.67"/>
    <s v="Male"/>
    <n v="3"/>
    <n v="6672.59"/>
    <n v="6703.08"/>
    <x v="7"/>
    <s v="Q3"/>
    <n v="2022"/>
    <s v="Debit Card"/>
  </r>
  <r>
    <d v="2023-05-09T00:00:00"/>
    <x v="1"/>
    <x v="2"/>
    <s v="Sci-Fi"/>
    <n v="44"/>
    <n v="10746.96"/>
    <s v="Female"/>
    <n v="4"/>
    <n v="2403.0100000000002"/>
    <n v="8343.9500000000007"/>
    <x v="4"/>
    <s v="Q2"/>
    <n v="2023"/>
    <s v="UPI"/>
  </r>
  <r>
    <d v="2022-04-07T00:00:00"/>
    <x v="0"/>
    <x v="3"/>
    <s v="Rug"/>
    <n v="32"/>
    <n v="6784.15"/>
    <s v="Female"/>
    <n v="5"/>
    <n v="7112.47"/>
    <n v="-328.32"/>
    <x v="3"/>
    <s v="Q2"/>
    <n v="2022"/>
    <s v="Debit Card"/>
  </r>
  <r>
    <d v="2023-09-08T00:00:00"/>
    <x v="3"/>
    <x v="2"/>
    <s v="Sci-Fi"/>
    <n v="7"/>
    <n v="594.35"/>
    <s v="Female"/>
    <n v="3"/>
    <n v="482.67"/>
    <n v="111.68"/>
    <x v="7"/>
    <s v="Q3"/>
    <n v="2023"/>
    <s v="Credit Card"/>
  </r>
  <r>
    <d v="2023-06-04T00:00:00"/>
    <x v="1"/>
    <x v="0"/>
    <s v="Smartphone"/>
    <n v="2"/>
    <n v="641.79999999999995"/>
    <s v="Male"/>
    <n v="2"/>
    <n v="404.43"/>
    <n v="237.37"/>
    <x v="0"/>
    <s v="Q2"/>
    <n v="2023"/>
    <s v="UPI"/>
  </r>
  <r>
    <d v="2023-05-03T00:00:00"/>
    <x v="3"/>
    <x v="3"/>
    <s v="Lamp"/>
    <n v="47"/>
    <n v="4781.95"/>
    <s v="Female"/>
    <n v="4"/>
    <n v="5937.86"/>
    <n v="-1155.9100000000001"/>
    <x v="4"/>
    <s v="Q2"/>
    <n v="2023"/>
    <s v="Debit Card"/>
  </r>
  <r>
    <d v="2022-06-23T00:00:00"/>
    <x v="1"/>
    <x v="3"/>
    <s v="Chair"/>
    <n v="3"/>
    <n v="125"/>
    <s v="Female"/>
    <n v="1"/>
    <n v="239.13"/>
    <n v="-114.13"/>
    <x v="0"/>
    <s v="Q2"/>
    <n v="2022"/>
    <s v="Debit Card"/>
  </r>
  <r>
    <d v="2022-10-02T00:00:00"/>
    <x v="4"/>
    <x v="2"/>
    <s v="Fiction"/>
    <n v="13"/>
    <n v="5309.43"/>
    <s v="Female"/>
    <n v="5"/>
    <n v="812.92"/>
    <n v="4496.51"/>
    <x v="8"/>
    <s v="Q4"/>
    <n v="2022"/>
    <s v="COD"/>
  </r>
  <r>
    <d v="2022-03-09T00:00:00"/>
    <x v="1"/>
    <x v="1"/>
    <s v="Dress"/>
    <n v="39"/>
    <n v="1107.29"/>
    <s v="Male"/>
    <n v="5"/>
    <n v="2614.89"/>
    <n v="-1507.6"/>
    <x v="1"/>
    <s v="Q1"/>
    <n v="2022"/>
    <s v="COD"/>
  </r>
  <r>
    <d v="2022-07-22T00:00:00"/>
    <x v="4"/>
    <x v="1"/>
    <s v="Dress"/>
    <n v="40"/>
    <n v="17757.37"/>
    <s v="Male"/>
    <n v="1"/>
    <n v="5851.26"/>
    <n v="11906.11"/>
    <x v="9"/>
    <s v="Q3"/>
    <n v="2022"/>
    <s v="Debit Card"/>
  </r>
  <r>
    <d v="2023-02-18T00:00:00"/>
    <x v="0"/>
    <x v="1"/>
    <s v="Jeans"/>
    <n v="29"/>
    <n v="11259.88"/>
    <s v="Female"/>
    <n v="4"/>
    <n v="3062.55"/>
    <n v="8197.33"/>
    <x v="2"/>
    <s v="Q1"/>
    <n v="2023"/>
    <s v="COD"/>
  </r>
  <r>
    <d v="2022-11-12T00:00:00"/>
    <x v="4"/>
    <x v="0"/>
    <s v="Tablet"/>
    <n v="21"/>
    <n v="1672.36"/>
    <s v="Male"/>
    <n v="1"/>
    <n v="636.59"/>
    <n v="1035.77"/>
    <x v="11"/>
    <s v="Q4"/>
    <n v="2022"/>
    <s v="COD"/>
  </r>
  <r>
    <d v="2023-03-10T00:00:00"/>
    <x v="2"/>
    <x v="0"/>
    <s v="Laptop"/>
    <n v="28"/>
    <n v="1232.2"/>
    <s v="Female"/>
    <n v="4"/>
    <n v="4111.75"/>
    <n v="-2879.55"/>
    <x v="1"/>
    <s v="Q1"/>
    <n v="2023"/>
    <s v="COD"/>
  </r>
  <r>
    <d v="2023-01-26T00:00:00"/>
    <x v="3"/>
    <x v="1"/>
    <s v="Sweater"/>
    <n v="6"/>
    <n v="2774.43"/>
    <s v="Female"/>
    <n v="4"/>
    <n v="1148.73"/>
    <n v="1625.7"/>
    <x v="5"/>
    <s v="Q1"/>
    <n v="2023"/>
    <s v="UPI"/>
  </r>
  <r>
    <d v="2022-06-18T00:00:00"/>
    <x v="1"/>
    <x v="1"/>
    <s v="Dress"/>
    <n v="6"/>
    <n v="2318.21"/>
    <s v="Male"/>
    <n v="3"/>
    <n v="380.15"/>
    <n v="1938.06"/>
    <x v="0"/>
    <s v="Q2"/>
    <n v="2022"/>
    <s v="Debit Card"/>
  </r>
  <r>
    <d v="2022-04-08T00:00:00"/>
    <x v="3"/>
    <x v="2"/>
    <s v="Fiction"/>
    <n v="27"/>
    <n v="10981.95"/>
    <s v="Male"/>
    <n v="3"/>
    <n v="5830.26"/>
    <n v="5151.6899999999996"/>
    <x v="3"/>
    <s v="Q2"/>
    <n v="2022"/>
    <s v="Debit Card"/>
  </r>
  <r>
    <d v="2023-10-09T00:00:00"/>
    <x v="3"/>
    <x v="0"/>
    <s v="Smartphone"/>
    <n v="2"/>
    <n v="470.39"/>
    <s v="Female"/>
    <n v="4"/>
    <n v="126.94"/>
    <n v="343.45"/>
    <x v="8"/>
    <s v="Q4"/>
    <n v="2023"/>
    <s v="Debit Card"/>
  </r>
  <r>
    <d v="2022-08-23T00:00:00"/>
    <x v="0"/>
    <x v="4"/>
    <s v="Grains"/>
    <n v="30"/>
    <n v="3144.65"/>
    <s v="Male"/>
    <n v="5"/>
    <n v="6967.12"/>
    <n v="-3822.47"/>
    <x v="10"/>
    <s v="Q3"/>
    <n v="2022"/>
    <s v="Credit Card"/>
  </r>
  <r>
    <d v="2023-09-13T00:00:00"/>
    <x v="3"/>
    <x v="2"/>
    <s v="Fiction"/>
    <n v="19"/>
    <n v="5458.09"/>
    <s v="Male"/>
    <n v="3"/>
    <n v="1862.19"/>
    <n v="3595.9"/>
    <x v="7"/>
    <s v="Q3"/>
    <n v="2023"/>
    <s v="Credit Card"/>
  </r>
  <r>
    <d v="2023-10-25T00:00:00"/>
    <x v="3"/>
    <x v="3"/>
    <s v="Table"/>
    <n v="30"/>
    <n v="2163.61"/>
    <s v="Male"/>
    <n v="2"/>
    <n v="1059.24"/>
    <n v="1104.3699999999999"/>
    <x v="8"/>
    <s v="Q4"/>
    <n v="2023"/>
    <s v="Credit Card"/>
  </r>
  <r>
    <d v="2022-05-27T00:00:00"/>
    <x v="3"/>
    <x v="4"/>
    <s v="Grains"/>
    <n v="14"/>
    <n v="4503.17"/>
    <s v="Male"/>
    <n v="2"/>
    <n v="155.46"/>
    <n v="4347.71"/>
    <x v="4"/>
    <s v="Q2"/>
    <n v="2022"/>
    <s v="Debit Card"/>
  </r>
  <r>
    <d v="2022-10-22T00:00:00"/>
    <x v="1"/>
    <x v="4"/>
    <s v="Beverages"/>
    <n v="7"/>
    <n v="445.83"/>
    <s v="Female"/>
    <n v="1"/>
    <n v="769.91"/>
    <n v="-324.08"/>
    <x v="8"/>
    <s v="Q4"/>
    <n v="2022"/>
    <s v="UPI"/>
  </r>
  <r>
    <d v="2023-04-26T00:00:00"/>
    <x v="4"/>
    <x v="1"/>
    <s v="Dress"/>
    <n v="9"/>
    <n v="419.81"/>
    <s v="Female"/>
    <n v="2"/>
    <n v="1804.95"/>
    <n v="-1385.14"/>
    <x v="3"/>
    <s v="Q2"/>
    <n v="2023"/>
    <s v="Credit Card"/>
  </r>
  <r>
    <d v="2023-03-04T00:00:00"/>
    <x v="1"/>
    <x v="2"/>
    <s v="Mystery"/>
    <n v="30"/>
    <n v="13219.18"/>
    <s v="Female"/>
    <n v="3"/>
    <n v="3897.44"/>
    <n v="9321.74"/>
    <x v="1"/>
    <s v="Q1"/>
    <n v="2023"/>
    <s v="COD"/>
  </r>
  <r>
    <d v="2022-07-25T00:00:00"/>
    <x v="3"/>
    <x v="0"/>
    <s v="Laptop"/>
    <n v="13"/>
    <n v="1525.73"/>
    <s v="Male"/>
    <n v="2"/>
    <n v="2334.17"/>
    <n v="-808.44"/>
    <x v="9"/>
    <s v="Q3"/>
    <n v="2022"/>
    <s v="UPI"/>
  </r>
  <r>
    <d v="2023-05-27T00:00:00"/>
    <x v="1"/>
    <x v="4"/>
    <s v="Produce"/>
    <n v="8"/>
    <n v="1197.0899999999999"/>
    <s v="Female"/>
    <n v="4"/>
    <n v="900.95"/>
    <n v="296.14"/>
    <x v="4"/>
    <s v="Q2"/>
    <n v="2023"/>
    <s v="COD"/>
  </r>
  <r>
    <d v="2023-11-17T00:00:00"/>
    <x v="4"/>
    <x v="3"/>
    <s v="Chair"/>
    <n v="19"/>
    <n v="4874.17"/>
    <s v="Male"/>
    <n v="2"/>
    <n v="1630.91"/>
    <n v="3243.26"/>
    <x v="11"/>
    <s v="Q4"/>
    <n v="2023"/>
    <s v="Debit Card"/>
  </r>
  <r>
    <d v="2022-12-26T00:00:00"/>
    <x v="0"/>
    <x v="3"/>
    <s v="Table"/>
    <n v="40"/>
    <n v="19120.07"/>
    <s v="Female"/>
    <n v="2"/>
    <n v="7553.42"/>
    <n v="11566.65"/>
    <x v="6"/>
    <s v="Q4"/>
    <n v="2022"/>
    <s v="COD"/>
  </r>
  <r>
    <d v="2022-10-11T00:00:00"/>
    <x v="2"/>
    <x v="2"/>
    <s v="Fiction"/>
    <n v="30"/>
    <n v="2124.25"/>
    <s v="Male"/>
    <n v="3"/>
    <n v="5387.46"/>
    <n v="-3263.21"/>
    <x v="8"/>
    <s v="Q4"/>
    <n v="2022"/>
    <s v="COD"/>
  </r>
  <r>
    <d v="2022-01-04T00:00:00"/>
    <x v="0"/>
    <x v="3"/>
    <s v="Lamp"/>
    <n v="34"/>
    <n v="15245.3"/>
    <s v="Female"/>
    <n v="1"/>
    <n v="324.27"/>
    <n v="14921.03"/>
    <x v="5"/>
    <s v="Q1"/>
    <n v="2022"/>
    <s v="Debit Card"/>
  </r>
  <r>
    <d v="2023-02-16T00:00:00"/>
    <x v="3"/>
    <x v="4"/>
    <s v="Grains"/>
    <n v="17"/>
    <n v="8468.09"/>
    <s v="Female"/>
    <n v="5"/>
    <n v="1595.71"/>
    <n v="6872.38"/>
    <x v="2"/>
    <s v="Q1"/>
    <n v="2023"/>
    <s v="Credit Card"/>
  </r>
  <r>
    <d v="2022-09-21T00:00:00"/>
    <x v="0"/>
    <x v="0"/>
    <s v="Laptop"/>
    <n v="20"/>
    <n v="3278.07"/>
    <s v="Female"/>
    <n v="5"/>
    <n v="2068.98"/>
    <n v="1209.0899999999999"/>
    <x v="7"/>
    <s v="Q3"/>
    <n v="2022"/>
    <s v="COD"/>
  </r>
  <r>
    <d v="2023-08-09T00:00:00"/>
    <x v="4"/>
    <x v="1"/>
    <s v="Dress"/>
    <n v="32"/>
    <n v="13936.06"/>
    <s v="Female"/>
    <n v="2"/>
    <n v="6153.07"/>
    <n v="7782.99"/>
    <x v="10"/>
    <s v="Q3"/>
    <n v="2023"/>
    <s v="UPI"/>
  </r>
  <r>
    <d v="2022-07-15T00:00:00"/>
    <x v="4"/>
    <x v="0"/>
    <s v="Smartphone"/>
    <n v="23"/>
    <n v="7548.04"/>
    <s v="Male"/>
    <n v="1"/>
    <n v="145.09"/>
    <n v="7402.95"/>
    <x v="9"/>
    <s v="Q3"/>
    <n v="2022"/>
    <s v="COD"/>
  </r>
  <r>
    <d v="2022-06-01T00:00:00"/>
    <x v="3"/>
    <x v="4"/>
    <s v="Snacks"/>
    <n v="33"/>
    <n v="5052.33"/>
    <s v="Male"/>
    <n v="1"/>
    <n v="3651.58"/>
    <n v="1400.75"/>
    <x v="0"/>
    <s v="Q2"/>
    <n v="2022"/>
    <s v="COD"/>
  </r>
  <r>
    <d v="2023-04-30T00:00:00"/>
    <x v="3"/>
    <x v="0"/>
    <s v="Laptop"/>
    <n v="7"/>
    <n v="2911.7"/>
    <s v="Male"/>
    <n v="2"/>
    <n v="1605.03"/>
    <n v="1306.67"/>
    <x v="3"/>
    <s v="Q2"/>
    <n v="2023"/>
    <s v="Debit Card"/>
  </r>
  <r>
    <d v="2022-12-03T00:00:00"/>
    <x v="0"/>
    <x v="0"/>
    <s v="Laptop"/>
    <n v="36"/>
    <n v="15766.43"/>
    <s v="Male"/>
    <n v="3"/>
    <n v="6354.08"/>
    <n v="9412.35"/>
    <x v="6"/>
    <s v="Q4"/>
    <n v="2022"/>
    <s v="UPI"/>
  </r>
  <r>
    <d v="2023-04-24T00:00:00"/>
    <x v="1"/>
    <x v="4"/>
    <s v="Grains"/>
    <n v="34"/>
    <n v="13641.95"/>
    <s v="Female"/>
    <n v="5"/>
    <n v="1255.01"/>
    <n v="12386.94"/>
    <x v="3"/>
    <s v="Q2"/>
    <n v="2023"/>
    <s v="UPI"/>
  </r>
  <r>
    <d v="2022-03-14T00:00:00"/>
    <x v="0"/>
    <x v="1"/>
    <s v="T-Shirt"/>
    <n v="48"/>
    <n v="5674.09"/>
    <s v="Female"/>
    <n v="3"/>
    <n v="462.44"/>
    <n v="5211.6499999999996"/>
    <x v="1"/>
    <s v="Q1"/>
    <n v="2022"/>
    <s v="COD"/>
  </r>
  <r>
    <d v="2022-07-05T00:00:00"/>
    <x v="3"/>
    <x v="3"/>
    <s v="Rug"/>
    <n v="30"/>
    <n v="13046.77"/>
    <s v="Female"/>
    <n v="5"/>
    <n v="5820.05"/>
    <n v="7226.72"/>
    <x v="9"/>
    <s v="Q3"/>
    <n v="2022"/>
    <s v="COD"/>
  </r>
  <r>
    <d v="2022-04-12T00:00:00"/>
    <x v="4"/>
    <x v="1"/>
    <s v="Jeans"/>
    <n v="41"/>
    <n v="8756.34"/>
    <s v="Female"/>
    <n v="3"/>
    <n v="3955.92"/>
    <n v="4800.42"/>
    <x v="3"/>
    <s v="Q2"/>
    <n v="2022"/>
    <s v="COD"/>
  </r>
  <r>
    <d v="2023-05-25T00:00:00"/>
    <x v="4"/>
    <x v="1"/>
    <s v="T-Shirt"/>
    <n v="4"/>
    <n v="647.48"/>
    <s v="Male"/>
    <n v="1"/>
    <n v="629.32000000000005"/>
    <n v="18.16"/>
    <x v="4"/>
    <s v="Q2"/>
    <n v="2023"/>
    <s v="COD"/>
  </r>
  <r>
    <d v="2023-12-02T00:00:00"/>
    <x v="3"/>
    <x v="4"/>
    <s v="Snacks"/>
    <n v="27"/>
    <n v="346.9"/>
    <s v="Male"/>
    <n v="3"/>
    <n v="331.07"/>
    <n v="15.83"/>
    <x v="6"/>
    <s v="Q4"/>
    <n v="2023"/>
    <s v="Debit Card"/>
  </r>
  <r>
    <d v="2022-01-15T00:00:00"/>
    <x v="4"/>
    <x v="4"/>
    <s v="Beverages"/>
    <n v="17"/>
    <n v="8491.59"/>
    <s v="Male"/>
    <n v="3"/>
    <n v="127.64"/>
    <n v="8363.9500000000007"/>
    <x v="5"/>
    <s v="Q1"/>
    <n v="2022"/>
    <s v="COD"/>
  </r>
  <r>
    <d v="2023-01-22T00:00:00"/>
    <x v="0"/>
    <x v="4"/>
    <s v="Grains"/>
    <n v="8"/>
    <n v="747.33"/>
    <s v="Male"/>
    <n v="2"/>
    <n v="772.1"/>
    <n v="-24.77"/>
    <x v="5"/>
    <s v="Q1"/>
    <n v="2023"/>
    <s v="Debit Card"/>
  </r>
  <r>
    <d v="2022-06-12T00:00:00"/>
    <x v="1"/>
    <x v="4"/>
    <s v="Snacks"/>
    <n v="26"/>
    <n v="8862.4599999999991"/>
    <s v="Male"/>
    <n v="4"/>
    <n v="3538.83"/>
    <n v="5323.63"/>
    <x v="0"/>
    <s v="Q2"/>
    <n v="2022"/>
    <s v="COD"/>
  </r>
  <r>
    <d v="2022-10-24T00:00:00"/>
    <x v="0"/>
    <x v="2"/>
    <s v="Mystery"/>
    <n v="15"/>
    <n v="4314.74"/>
    <s v="Female"/>
    <n v="1"/>
    <n v="1877.12"/>
    <n v="2437.62"/>
    <x v="8"/>
    <s v="Q4"/>
    <n v="2022"/>
    <s v="EMI"/>
  </r>
  <r>
    <d v="2023-07-30T00:00:00"/>
    <x v="4"/>
    <x v="4"/>
    <s v="Snacks"/>
    <n v="49"/>
    <n v="13083.23"/>
    <s v="Female"/>
    <n v="5"/>
    <n v="10889.27"/>
    <n v="2193.96"/>
    <x v="9"/>
    <s v="Q3"/>
    <n v="2023"/>
    <s v="Debit Card"/>
  </r>
  <r>
    <d v="2022-12-16T00:00:00"/>
    <x v="3"/>
    <x v="2"/>
    <s v="Mystery"/>
    <n v="6"/>
    <n v="2267.37"/>
    <s v="Female"/>
    <n v="4"/>
    <n v="442.44"/>
    <n v="1824.93"/>
    <x v="6"/>
    <s v="Q4"/>
    <n v="2022"/>
    <s v="COD"/>
  </r>
  <r>
    <d v="2023-11-12T00:00:00"/>
    <x v="1"/>
    <x v="3"/>
    <s v="Table"/>
    <n v="33"/>
    <n v="10853.44"/>
    <s v="Male"/>
    <n v="1"/>
    <n v="2488"/>
    <n v="8365.44"/>
    <x v="11"/>
    <s v="Q4"/>
    <n v="2023"/>
    <s v="EMI"/>
  </r>
  <r>
    <d v="2022-10-13T00:00:00"/>
    <x v="2"/>
    <x v="4"/>
    <s v="Beverages"/>
    <n v="29"/>
    <n v="8416.02"/>
    <s v="Female"/>
    <n v="5"/>
    <n v="425.58"/>
    <n v="7990.44"/>
    <x v="8"/>
    <s v="Q4"/>
    <n v="2022"/>
    <s v="UPI"/>
  </r>
  <r>
    <d v="2023-04-23T00:00:00"/>
    <x v="3"/>
    <x v="2"/>
    <s v="Fiction"/>
    <n v="26"/>
    <n v="2899.92"/>
    <s v="Male"/>
    <n v="1"/>
    <n v="5579.1"/>
    <n v="-2679.18"/>
    <x v="3"/>
    <s v="Q2"/>
    <n v="2023"/>
    <s v="COD"/>
  </r>
  <r>
    <d v="2023-07-10T00:00:00"/>
    <x v="0"/>
    <x v="2"/>
    <s v="Mystery"/>
    <n v="15"/>
    <n v="1229.82"/>
    <s v="Female"/>
    <n v="1"/>
    <n v="3745.89"/>
    <n v="-2516.0700000000002"/>
    <x v="9"/>
    <s v="Q3"/>
    <n v="2023"/>
    <s v="EMI"/>
  </r>
  <r>
    <d v="2023-06-23T00:00:00"/>
    <x v="4"/>
    <x v="0"/>
    <s v="Tablet"/>
    <n v="17"/>
    <n v="2939.89"/>
    <s v="Female"/>
    <n v="5"/>
    <n v="2282.96"/>
    <n v="656.93"/>
    <x v="0"/>
    <s v="Q2"/>
    <n v="2023"/>
    <s v="COD"/>
  </r>
  <r>
    <d v="2023-01-03T00:00:00"/>
    <x v="1"/>
    <x v="2"/>
    <s v="Mystery"/>
    <n v="50"/>
    <n v="2569.27"/>
    <s v="Female"/>
    <n v="4"/>
    <n v="2016.47"/>
    <n v="552.79999999999995"/>
    <x v="5"/>
    <s v="Q1"/>
    <n v="2023"/>
    <s v="Debit Card"/>
  </r>
  <r>
    <d v="2022-08-04T00:00:00"/>
    <x v="3"/>
    <x v="1"/>
    <s v="Dress"/>
    <n v="47"/>
    <n v="17878.88"/>
    <s v="Female"/>
    <n v="4"/>
    <n v="4121.26"/>
    <n v="13757.62"/>
    <x v="10"/>
    <s v="Q3"/>
    <n v="2022"/>
    <s v="COD"/>
  </r>
  <r>
    <d v="2023-12-06T00:00:00"/>
    <x v="4"/>
    <x v="1"/>
    <s v="Jeans"/>
    <n v="3"/>
    <n v="303.24"/>
    <s v="Female"/>
    <n v="5"/>
    <n v="594.44000000000005"/>
    <n v="-291.2"/>
    <x v="6"/>
    <s v="Q4"/>
    <n v="2023"/>
    <s v="UPI"/>
  </r>
  <r>
    <d v="2023-03-01T00:00:00"/>
    <x v="2"/>
    <x v="2"/>
    <s v="Non-Fiction"/>
    <n v="39"/>
    <n v="14894.34"/>
    <s v="Male"/>
    <n v="1"/>
    <n v="4325.66"/>
    <n v="10568.68"/>
    <x v="1"/>
    <s v="Q1"/>
    <n v="2023"/>
    <s v="COD"/>
  </r>
  <r>
    <d v="2022-07-09T00:00:00"/>
    <x v="0"/>
    <x v="4"/>
    <s v="Grains"/>
    <n v="36"/>
    <n v="1043.08"/>
    <s v="Female"/>
    <n v="3"/>
    <n v="5500.54"/>
    <n v="-4457.46"/>
    <x v="9"/>
    <s v="Q3"/>
    <n v="2022"/>
    <s v="Debit Card"/>
  </r>
  <r>
    <d v="2022-06-26T00:00:00"/>
    <x v="3"/>
    <x v="3"/>
    <s v="Rug"/>
    <n v="2"/>
    <n v="850.26"/>
    <s v="Female"/>
    <n v="3"/>
    <n v="140.12"/>
    <n v="710.14"/>
    <x v="0"/>
    <s v="Q2"/>
    <n v="2022"/>
    <s v="EMI"/>
  </r>
  <r>
    <d v="2022-08-12T00:00:00"/>
    <x v="1"/>
    <x v="1"/>
    <s v="Sweater"/>
    <n v="37"/>
    <n v="15779.46"/>
    <s v="Female"/>
    <n v="3"/>
    <n v="7818.26"/>
    <n v="7961.2"/>
    <x v="10"/>
    <s v="Q3"/>
    <n v="2022"/>
    <s v="UPI"/>
  </r>
  <r>
    <d v="2022-03-23T00:00:00"/>
    <x v="1"/>
    <x v="1"/>
    <s v="T-Shirt"/>
    <n v="13"/>
    <n v="1460.26"/>
    <s v="Female"/>
    <n v="3"/>
    <n v="1134.8699999999999"/>
    <n v="325.39"/>
    <x v="1"/>
    <s v="Q1"/>
    <n v="2022"/>
    <s v="COD"/>
  </r>
  <r>
    <d v="2022-10-26T00:00:00"/>
    <x v="2"/>
    <x v="4"/>
    <s v="Produce"/>
    <n v="43"/>
    <n v="3927.93"/>
    <s v="Female"/>
    <n v="5"/>
    <n v="7391.29"/>
    <n v="-3463.36"/>
    <x v="8"/>
    <s v="Q4"/>
    <n v="2022"/>
    <s v="UPI"/>
  </r>
  <r>
    <d v="2022-08-15T00:00:00"/>
    <x v="4"/>
    <x v="0"/>
    <s v="Laptop"/>
    <n v="49"/>
    <n v="4671.83"/>
    <s v="Male"/>
    <n v="4"/>
    <n v="4134.78"/>
    <n v="537.04999999999995"/>
    <x v="10"/>
    <s v="Q3"/>
    <n v="2022"/>
    <s v="COD"/>
  </r>
  <r>
    <d v="2023-06-11T00:00:00"/>
    <x v="3"/>
    <x v="4"/>
    <s v="Grains"/>
    <n v="9"/>
    <n v="3329.25"/>
    <s v="Male"/>
    <n v="5"/>
    <n v="1289.75"/>
    <n v="2039.5"/>
    <x v="0"/>
    <s v="Q2"/>
    <n v="2023"/>
    <s v="UPI"/>
  </r>
  <r>
    <d v="2023-05-06T00:00:00"/>
    <x v="1"/>
    <x v="1"/>
    <s v="T-Shirt"/>
    <n v="7"/>
    <n v="554.71"/>
    <s v="Male"/>
    <n v="5"/>
    <n v="1671.55"/>
    <n v="-1116.8399999999999"/>
    <x v="4"/>
    <s v="Q2"/>
    <n v="2023"/>
    <s v="Credit Card"/>
  </r>
  <r>
    <d v="2022-08-28T00:00:00"/>
    <x v="3"/>
    <x v="4"/>
    <s v="Beverages"/>
    <n v="10"/>
    <n v="2086.4"/>
    <s v="Female"/>
    <n v="3"/>
    <n v="909.9"/>
    <n v="1176.5"/>
    <x v="10"/>
    <s v="Q3"/>
    <n v="2022"/>
    <s v="COD"/>
  </r>
  <r>
    <d v="2023-07-17T00:00:00"/>
    <x v="4"/>
    <x v="0"/>
    <s v="Tablet"/>
    <n v="21"/>
    <n v="1878.05"/>
    <s v="Female"/>
    <n v="5"/>
    <n v="1726.37"/>
    <n v="151.68"/>
    <x v="9"/>
    <s v="Q3"/>
    <n v="2023"/>
    <s v="COD"/>
  </r>
  <r>
    <d v="2023-06-27T00:00:00"/>
    <x v="4"/>
    <x v="2"/>
    <s v="Fiction"/>
    <n v="14"/>
    <n v="6674.26"/>
    <s v="Female"/>
    <n v="5"/>
    <n v="1188.46"/>
    <n v="5485.8"/>
    <x v="0"/>
    <s v="Q2"/>
    <n v="2023"/>
    <s v="UPI"/>
  </r>
  <r>
    <d v="2022-11-25T00:00:00"/>
    <x v="2"/>
    <x v="4"/>
    <s v="Beverages"/>
    <n v="48"/>
    <n v="21935.279999999999"/>
    <s v="Female"/>
    <n v="2"/>
    <n v="3556.47"/>
    <n v="18378.810000000001"/>
    <x v="11"/>
    <s v="Q4"/>
    <n v="2022"/>
    <s v="COD"/>
  </r>
  <r>
    <d v="2022-04-06T00:00:00"/>
    <x v="2"/>
    <x v="2"/>
    <s v="Fiction"/>
    <n v="24"/>
    <n v="2357.9899999999998"/>
    <s v="Male"/>
    <n v="5"/>
    <n v="5622.46"/>
    <n v="-3264.47"/>
    <x v="3"/>
    <s v="Q2"/>
    <n v="2022"/>
    <s v="COD"/>
  </r>
  <r>
    <d v="2023-05-23T00:00:00"/>
    <x v="2"/>
    <x v="4"/>
    <s v="Snacks"/>
    <n v="37"/>
    <n v="13226"/>
    <s v="Male"/>
    <n v="4"/>
    <n v="1490.38"/>
    <n v="11735.62"/>
    <x v="4"/>
    <s v="Q2"/>
    <n v="2023"/>
    <s v="Credit Card"/>
  </r>
  <r>
    <d v="2023-12-12T00:00:00"/>
    <x v="2"/>
    <x v="4"/>
    <s v="Snacks"/>
    <n v="38"/>
    <n v="3645.81"/>
    <s v="Female"/>
    <n v="2"/>
    <n v="8162.51"/>
    <n v="-4516.7"/>
    <x v="6"/>
    <s v="Q4"/>
    <n v="2023"/>
    <s v="COD"/>
  </r>
  <r>
    <d v="2023-09-24T00:00:00"/>
    <x v="0"/>
    <x v="3"/>
    <s v="Rug"/>
    <n v="26"/>
    <n v="5334.75"/>
    <s v="Female"/>
    <n v="4"/>
    <n v="4418.22"/>
    <n v="916.53"/>
    <x v="7"/>
    <s v="Q3"/>
    <n v="2023"/>
    <s v="UPI"/>
  </r>
  <r>
    <d v="2023-04-06T00:00:00"/>
    <x v="4"/>
    <x v="1"/>
    <s v="Jeans"/>
    <n v="44"/>
    <n v="11811.55"/>
    <s v="Female"/>
    <n v="1"/>
    <n v="9947.85"/>
    <n v="1863.7"/>
    <x v="3"/>
    <s v="Q2"/>
    <n v="2023"/>
    <s v="Credit Card"/>
  </r>
  <r>
    <d v="2023-01-10T00:00:00"/>
    <x v="3"/>
    <x v="1"/>
    <s v="Dress"/>
    <n v="31"/>
    <n v="8585.89"/>
    <s v="Male"/>
    <n v="5"/>
    <n v="6986.6"/>
    <n v="1599.29"/>
    <x v="5"/>
    <s v="Q1"/>
    <n v="2023"/>
    <s v="Debit Card"/>
  </r>
  <r>
    <d v="2022-10-03T00:00:00"/>
    <x v="1"/>
    <x v="2"/>
    <s v="Mystery"/>
    <n v="35"/>
    <n v="8023.19"/>
    <s v="Female"/>
    <n v="5"/>
    <n v="7966.92"/>
    <n v="56.27"/>
    <x v="8"/>
    <s v="Q4"/>
    <n v="2022"/>
    <s v="COD"/>
  </r>
  <r>
    <d v="2023-04-07T00:00:00"/>
    <x v="2"/>
    <x v="3"/>
    <s v="Table"/>
    <n v="45"/>
    <n v="7222.84"/>
    <s v="Male"/>
    <n v="1"/>
    <n v="7715.95"/>
    <n v="-493.11"/>
    <x v="3"/>
    <s v="Q2"/>
    <n v="2023"/>
    <s v="Debit Card"/>
  </r>
  <r>
    <d v="2023-07-11T00:00:00"/>
    <x v="4"/>
    <x v="0"/>
    <s v="Laptop"/>
    <n v="23"/>
    <n v="1904.43"/>
    <s v="Male"/>
    <n v="5"/>
    <n v="2690.51"/>
    <n v="-786.08"/>
    <x v="9"/>
    <s v="Q3"/>
    <n v="2023"/>
    <s v="UPI"/>
  </r>
  <r>
    <d v="2022-06-30T00:00:00"/>
    <x v="4"/>
    <x v="2"/>
    <s v="Non-Fiction"/>
    <n v="44"/>
    <n v="19216"/>
    <s v="Male"/>
    <n v="5"/>
    <n v="8936.42"/>
    <n v="10279.58"/>
    <x v="0"/>
    <s v="Q2"/>
    <n v="2022"/>
    <s v="Debit Card"/>
  </r>
  <r>
    <d v="2022-07-18T00:00:00"/>
    <x v="3"/>
    <x v="4"/>
    <s v="Snacks"/>
    <n v="50"/>
    <n v="19053.34"/>
    <s v="Female"/>
    <n v="2"/>
    <n v="9660.64"/>
    <n v="9392.7000000000007"/>
    <x v="9"/>
    <s v="Q3"/>
    <n v="2022"/>
    <s v="UPI"/>
  </r>
  <r>
    <d v="2023-08-07T00:00:00"/>
    <x v="4"/>
    <x v="2"/>
    <s v="Sci-Fi"/>
    <n v="2"/>
    <n v="418.45"/>
    <s v="Female"/>
    <n v="3"/>
    <n v="335.37"/>
    <n v="83.08"/>
    <x v="10"/>
    <s v="Q3"/>
    <n v="2023"/>
    <s v="COD"/>
  </r>
  <r>
    <d v="2022-09-09T00:00:00"/>
    <x v="3"/>
    <x v="4"/>
    <s v="Snacks"/>
    <n v="18"/>
    <n v="7786.8"/>
    <s v="Female"/>
    <n v="2"/>
    <n v="2057.9"/>
    <n v="5728.9"/>
    <x v="7"/>
    <s v="Q3"/>
    <n v="2022"/>
    <s v="Debit Card"/>
  </r>
  <r>
    <d v="2023-10-30T00:00:00"/>
    <x v="2"/>
    <x v="3"/>
    <s v="Lamp"/>
    <n v="9"/>
    <n v="4068.24"/>
    <s v="Female"/>
    <n v="4"/>
    <n v="1709.81"/>
    <n v="2358.4299999999998"/>
    <x v="8"/>
    <s v="Q4"/>
    <n v="2023"/>
    <s v="COD"/>
  </r>
  <r>
    <d v="2022-08-01T00:00:00"/>
    <x v="2"/>
    <x v="3"/>
    <s v="Table"/>
    <n v="16"/>
    <n v="2730.93"/>
    <s v="Female"/>
    <n v="2"/>
    <n v="3724.89"/>
    <n v="-993.96"/>
    <x v="10"/>
    <s v="Q3"/>
    <n v="2022"/>
    <s v="Debit Card"/>
  </r>
  <r>
    <d v="2022-07-08T00:00:00"/>
    <x v="0"/>
    <x v="3"/>
    <s v="Rug"/>
    <n v="24"/>
    <n v="9168.01"/>
    <s v="Female"/>
    <n v="1"/>
    <n v="1891.41"/>
    <n v="7276.6"/>
    <x v="9"/>
    <s v="Q3"/>
    <n v="2022"/>
    <s v="UPI"/>
  </r>
  <r>
    <d v="2022-09-08T00:00:00"/>
    <x v="3"/>
    <x v="2"/>
    <s v="Mystery"/>
    <n v="26"/>
    <n v="3155.34"/>
    <s v="Female"/>
    <n v="1"/>
    <n v="636.74"/>
    <n v="2518.6"/>
    <x v="7"/>
    <s v="Q3"/>
    <n v="2022"/>
    <s v="UPI"/>
  </r>
  <r>
    <d v="2023-11-13T00:00:00"/>
    <x v="0"/>
    <x v="2"/>
    <s v="Mystery"/>
    <n v="18"/>
    <n v="4481.79"/>
    <s v="Female"/>
    <n v="5"/>
    <n v="4427.7"/>
    <n v="54.09"/>
    <x v="11"/>
    <s v="Q4"/>
    <n v="2023"/>
    <s v="Debit Card"/>
  </r>
  <r>
    <d v="2023-04-04T00:00:00"/>
    <x v="3"/>
    <x v="4"/>
    <s v="Produce"/>
    <n v="18"/>
    <n v="1516.23"/>
    <s v="Male"/>
    <n v="4"/>
    <n v="3548.05"/>
    <n v="-2031.82"/>
    <x v="3"/>
    <s v="Q2"/>
    <n v="2023"/>
    <s v="COD"/>
  </r>
  <r>
    <d v="2023-04-17T00:00:00"/>
    <x v="4"/>
    <x v="2"/>
    <s v="Sci-Fi"/>
    <n v="11"/>
    <n v="1031.49"/>
    <s v="Female"/>
    <n v="3"/>
    <n v="2022.68"/>
    <n v="-991.19"/>
    <x v="3"/>
    <s v="Q2"/>
    <n v="2023"/>
    <s v="UPI"/>
  </r>
  <r>
    <d v="2022-06-12T00:00:00"/>
    <x v="4"/>
    <x v="1"/>
    <s v="Dress"/>
    <n v="20"/>
    <n v="9836.4699999999993"/>
    <s v="Female"/>
    <n v="5"/>
    <n v="4058.98"/>
    <n v="5777.49"/>
    <x v="0"/>
    <s v="Q2"/>
    <n v="2022"/>
    <s v="UPI"/>
  </r>
  <r>
    <d v="2023-08-18T00:00:00"/>
    <x v="4"/>
    <x v="2"/>
    <s v="Mystery"/>
    <n v="14"/>
    <n v="5020.7299999999996"/>
    <s v="Female"/>
    <n v="3"/>
    <n v="2851.44"/>
    <n v="2169.29"/>
    <x v="10"/>
    <s v="Q3"/>
    <n v="2023"/>
    <s v="UPI"/>
  </r>
  <r>
    <d v="2022-10-04T00:00:00"/>
    <x v="2"/>
    <x v="4"/>
    <s v="Beverages"/>
    <n v="1"/>
    <n v="197.11"/>
    <s v="Male"/>
    <n v="2"/>
    <n v="145.13999999999999"/>
    <n v="51.97"/>
    <x v="8"/>
    <s v="Q4"/>
    <n v="2022"/>
    <s v="COD"/>
  </r>
  <r>
    <d v="2023-09-11T00:00:00"/>
    <x v="2"/>
    <x v="1"/>
    <s v="Jeans"/>
    <n v="33"/>
    <n v="13850"/>
    <s v="Female"/>
    <n v="4"/>
    <n v="3825.93"/>
    <n v="10024.07"/>
    <x v="7"/>
    <s v="Q3"/>
    <n v="2023"/>
    <s v="Credit Card"/>
  </r>
  <r>
    <d v="2022-12-21T00:00:00"/>
    <x v="0"/>
    <x v="4"/>
    <s v="Beverages"/>
    <n v="26"/>
    <n v="2702.1"/>
    <s v="Female"/>
    <n v="3"/>
    <n v="222.85"/>
    <n v="2479.25"/>
    <x v="6"/>
    <s v="Q4"/>
    <n v="2022"/>
    <s v="Credit Card"/>
  </r>
  <r>
    <d v="2023-12-05T00:00:00"/>
    <x v="2"/>
    <x v="3"/>
    <s v="Chair"/>
    <n v="22"/>
    <n v="9598.61"/>
    <s v="Male"/>
    <n v="5"/>
    <n v="2074.9"/>
    <n v="7523.71"/>
    <x v="6"/>
    <s v="Q4"/>
    <n v="2023"/>
    <s v="Debit Card"/>
  </r>
  <r>
    <d v="2022-09-01T00:00:00"/>
    <x v="2"/>
    <x v="1"/>
    <s v="Jeans"/>
    <n v="32"/>
    <n v="12688.15"/>
    <s v="Female"/>
    <n v="5"/>
    <n v="1293.79"/>
    <n v="11394.36"/>
    <x v="7"/>
    <s v="Q3"/>
    <n v="2022"/>
    <s v="UPI"/>
  </r>
  <r>
    <d v="2022-04-29T00:00:00"/>
    <x v="3"/>
    <x v="1"/>
    <s v="Sweater"/>
    <n v="44"/>
    <n v="9189.91"/>
    <s v="Male"/>
    <n v="5"/>
    <n v="9333.82"/>
    <n v="-143.91"/>
    <x v="3"/>
    <s v="Q2"/>
    <n v="2022"/>
    <s v="COD"/>
  </r>
  <r>
    <d v="2023-12-11T00:00:00"/>
    <x v="3"/>
    <x v="3"/>
    <s v="Rug"/>
    <n v="6"/>
    <n v="2720.03"/>
    <s v="Male"/>
    <n v="4"/>
    <n v="1430.9"/>
    <n v="1289.1300000000001"/>
    <x v="6"/>
    <s v="Q4"/>
    <n v="2023"/>
    <s v="UPI"/>
  </r>
  <r>
    <d v="2023-11-13T00:00:00"/>
    <x v="0"/>
    <x v="1"/>
    <s v="Jeans"/>
    <n v="19"/>
    <n v="8568.5"/>
    <s v="Male"/>
    <n v="1"/>
    <n v="4351.7"/>
    <n v="4216.8"/>
    <x v="11"/>
    <s v="Q4"/>
    <n v="2023"/>
    <s v="COD"/>
  </r>
  <r>
    <d v="2022-05-16T00:00:00"/>
    <x v="1"/>
    <x v="4"/>
    <s v="Beverages"/>
    <n v="21"/>
    <n v="523.55999999999995"/>
    <s v="Female"/>
    <n v="2"/>
    <n v="1471.08"/>
    <n v="-947.52"/>
    <x v="4"/>
    <s v="Q2"/>
    <n v="2022"/>
    <s v="UPI"/>
  </r>
  <r>
    <d v="2022-10-01T00:00:00"/>
    <x v="1"/>
    <x v="2"/>
    <s v="Sci-Fi"/>
    <n v="3"/>
    <n v="1170.3"/>
    <s v="Male"/>
    <n v="2"/>
    <n v="352.35"/>
    <n v="817.95"/>
    <x v="8"/>
    <s v="Q4"/>
    <n v="2022"/>
    <s v="Debit Card"/>
  </r>
  <r>
    <d v="2022-07-26T00:00:00"/>
    <x v="4"/>
    <x v="3"/>
    <s v="Rug"/>
    <n v="19"/>
    <n v="1497.51"/>
    <s v="Female"/>
    <n v="1"/>
    <n v="1168.73"/>
    <n v="328.78"/>
    <x v="9"/>
    <s v="Q3"/>
    <n v="2022"/>
    <s v="COD"/>
  </r>
  <r>
    <d v="2023-02-20T00:00:00"/>
    <x v="1"/>
    <x v="0"/>
    <s v="Headphones"/>
    <n v="19"/>
    <n v="8247.2999999999993"/>
    <s v="Female"/>
    <n v="4"/>
    <n v="3156.46"/>
    <n v="5090.84"/>
    <x v="2"/>
    <s v="Q1"/>
    <n v="2023"/>
    <s v="Credit Card"/>
  </r>
  <r>
    <d v="2022-11-13T00:00:00"/>
    <x v="2"/>
    <x v="3"/>
    <s v="Lamp"/>
    <n v="3"/>
    <n v="95.71"/>
    <s v="Female"/>
    <n v="2"/>
    <n v="339.72"/>
    <n v="-244.01"/>
    <x v="11"/>
    <s v="Q4"/>
    <n v="2022"/>
    <s v="Debit Card"/>
  </r>
  <r>
    <d v="2022-06-08T00:00:00"/>
    <x v="2"/>
    <x v="4"/>
    <s v="Grains"/>
    <n v="40"/>
    <n v="15585.86"/>
    <s v="Female"/>
    <n v="4"/>
    <n v="6033.93"/>
    <n v="9551.93"/>
    <x v="0"/>
    <s v="Q2"/>
    <n v="2022"/>
    <s v="UPI"/>
  </r>
  <r>
    <d v="2023-02-17T00:00:00"/>
    <x v="4"/>
    <x v="2"/>
    <s v="Mystery"/>
    <n v="32"/>
    <n v="8007.5"/>
    <s v="Male"/>
    <n v="2"/>
    <n v="2102.2600000000002"/>
    <n v="5905.24"/>
    <x v="2"/>
    <s v="Q1"/>
    <n v="2023"/>
    <s v="COD"/>
  </r>
  <r>
    <d v="2023-03-18T00:00:00"/>
    <x v="3"/>
    <x v="4"/>
    <s v="Grains"/>
    <n v="31"/>
    <n v="11394.72"/>
    <s v="Male"/>
    <n v="4"/>
    <n v="5535.31"/>
    <n v="5859.41"/>
    <x v="1"/>
    <s v="Q1"/>
    <n v="2023"/>
    <s v="COD"/>
  </r>
  <r>
    <d v="2022-07-07T00:00:00"/>
    <x v="2"/>
    <x v="2"/>
    <s v="Sci-Fi"/>
    <n v="43"/>
    <n v="21074.83"/>
    <s v="Male"/>
    <n v="2"/>
    <n v="8337.69"/>
    <n v="12737.14"/>
    <x v="9"/>
    <s v="Q3"/>
    <n v="2022"/>
    <s v="Credit Card"/>
  </r>
  <r>
    <d v="2022-07-24T00:00:00"/>
    <x v="2"/>
    <x v="4"/>
    <s v="Produce"/>
    <n v="5"/>
    <n v="1964.61"/>
    <s v="Female"/>
    <n v="1"/>
    <n v="857.05"/>
    <n v="1107.56"/>
    <x v="9"/>
    <s v="Q3"/>
    <n v="2022"/>
    <s v="Debit Card"/>
  </r>
  <r>
    <d v="2023-04-10T00:00:00"/>
    <x v="3"/>
    <x v="4"/>
    <s v="Grains"/>
    <n v="45"/>
    <n v="15158.99"/>
    <s v="Male"/>
    <n v="1"/>
    <n v="1994.26"/>
    <n v="13164.73"/>
    <x v="3"/>
    <s v="Q2"/>
    <n v="2023"/>
    <s v="Credit Card"/>
  </r>
  <r>
    <d v="2022-08-03T00:00:00"/>
    <x v="4"/>
    <x v="1"/>
    <s v="Sweater"/>
    <n v="16"/>
    <n v="5605.58"/>
    <s v="Male"/>
    <n v="3"/>
    <n v="3507.71"/>
    <n v="2097.87"/>
    <x v="10"/>
    <s v="Q3"/>
    <n v="2022"/>
    <s v="COD"/>
  </r>
  <r>
    <d v="2023-10-19T00:00:00"/>
    <x v="4"/>
    <x v="0"/>
    <s v="Smartphone"/>
    <n v="29"/>
    <n v="2392.39"/>
    <s v="Male"/>
    <n v="2"/>
    <n v="4809.43"/>
    <n v="-2417.04"/>
    <x v="8"/>
    <s v="Q4"/>
    <n v="2023"/>
    <s v="COD"/>
  </r>
  <r>
    <d v="2022-06-30T00:00:00"/>
    <x v="3"/>
    <x v="2"/>
    <s v="Mystery"/>
    <n v="32"/>
    <n v="8234.39"/>
    <s v="Male"/>
    <n v="1"/>
    <n v="7179.85"/>
    <n v="1054.54"/>
    <x v="0"/>
    <s v="Q2"/>
    <n v="2022"/>
    <s v="COD"/>
  </r>
  <r>
    <d v="2023-01-11T00:00:00"/>
    <x v="1"/>
    <x v="2"/>
    <s v="Sci-Fi"/>
    <n v="8"/>
    <n v="2810.17"/>
    <s v="Male"/>
    <n v="5"/>
    <n v="1961.92"/>
    <n v="848.25"/>
    <x v="5"/>
    <s v="Q1"/>
    <n v="2023"/>
    <s v="COD"/>
  </r>
  <r>
    <d v="2023-06-19T00:00:00"/>
    <x v="2"/>
    <x v="2"/>
    <s v="Sci-Fi"/>
    <n v="2"/>
    <n v="786.95"/>
    <s v="Male"/>
    <n v="5"/>
    <n v="210.96"/>
    <n v="575.99"/>
    <x v="0"/>
    <s v="Q2"/>
    <n v="2023"/>
    <s v="UPI"/>
  </r>
  <r>
    <d v="2023-11-26T00:00:00"/>
    <x v="0"/>
    <x v="1"/>
    <s v="Sweater"/>
    <n v="41"/>
    <n v="18261.68"/>
    <s v="Male"/>
    <n v="1"/>
    <n v="8890.18"/>
    <n v="9371.5"/>
    <x v="11"/>
    <s v="Q4"/>
    <n v="2023"/>
    <s v="Credit Card"/>
  </r>
  <r>
    <d v="2022-10-11T00:00:00"/>
    <x v="1"/>
    <x v="4"/>
    <s v="Produce"/>
    <n v="2"/>
    <n v="331.27"/>
    <s v="Male"/>
    <n v="2"/>
    <n v="90.12"/>
    <n v="241.15"/>
    <x v="8"/>
    <s v="Q4"/>
    <n v="2022"/>
    <s v="Credit Card"/>
  </r>
  <r>
    <d v="2022-02-25T00:00:00"/>
    <x v="3"/>
    <x v="4"/>
    <s v="Snacks"/>
    <n v="29"/>
    <n v="920.67"/>
    <s v="Female"/>
    <n v="4"/>
    <n v="5162.49"/>
    <n v="-4241.82"/>
    <x v="2"/>
    <s v="Q1"/>
    <n v="2022"/>
    <s v="COD"/>
  </r>
  <r>
    <d v="2022-01-13T00:00:00"/>
    <x v="2"/>
    <x v="2"/>
    <s v="Mystery"/>
    <n v="50"/>
    <n v="9307.27"/>
    <s v="Female"/>
    <n v="3"/>
    <n v="8795"/>
    <n v="512.27"/>
    <x v="5"/>
    <s v="Q1"/>
    <n v="2022"/>
    <s v="COD"/>
  </r>
  <r>
    <d v="2022-03-18T00:00:00"/>
    <x v="2"/>
    <x v="3"/>
    <s v="Rug"/>
    <n v="43"/>
    <n v="18697.21"/>
    <s v="Female"/>
    <n v="2"/>
    <n v="9457.81"/>
    <n v="9239.4"/>
    <x v="1"/>
    <s v="Q1"/>
    <n v="2022"/>
    <s v="COD"/>
  </r>
  <r>
    <d v="2022-08-27T00:00:00"/>
    <x v="0"/>
    <x v="3"/>
    <s v="Rug"/>
    <n v="31"/>
    <n v="10409.33"/>
    <s v="Female"/>
    <n v="3"/>
    <n v="3474.81"/>
    <n v="6934.52"/>
    <x v="10"/>
    <s v="Q3"/>
    <n v="2022"/>
    <s v="COD"/>
  </r>
  <r>
    <d v="2022-01-05T00:00:00"/>
    <x v="1"/>
    <x v="2"/>
    <s v="Sci-Fi"/>
    <n v="17"/>
    <n v="4999.5600000000004"/>
    <s v="Male"/>
    <n v="2"/>
    <n v="814.81"/>
    <n v="4184.75"/>
    <x v="5"/>
    <s v="Q1"/>
    <n v="2022"/>
    <s v="Credit Card"/>
  </r>
  <r>
    <d v="2022-05-16T00:00:00"/>
    <x v="4"/>
    <x v="3"/>
    <s v="Lamp"/>
    <n v="28"/>
    <n v="7772.9"/>
    <s v="Female"/>
    <n v="2"/>
    <n v="1287.1300000000001"/>
    <n v="6485.77"/>
    <x v="4"/>
    <s v="Q2"/>
    <n v="2022"/>
    <s v="Debit Card"/>
  </r>
  <r>
    <d v="2023-04-22T00:00:00"/>
    <x v="3"/>
    <x v="1"/>
    <s v="Dress"/>
    <n v="36"/>
    <n v="14841.19"/>
    <s v="Male"/>
    <n v="4"/>
    <n v="8090.37"/>
    <n v="6750.82"/>
    <x v="3"/>
    <s v="Q2"/>
    <n v="2023"/>
    <s v="UPI"/>
  </r>
  <r>
    <d v="2023-11-25T00:00:00"/>
    <x v="3"/>
    <x v="4"/>
    <s v="Snacks"/>
    <n v="44"/>
    <n v="18310.849999999999"/>
    <s v="Male"/>
    <n v="2"/>
    <n v="10181.41"/>
    <n v="8129.44"/>
    <x v="11"/>
    <s v="Q4"/>
    <n v="2023"/>
    <s v="COD"/>
  </r>
  <r>
    <d v="2023-01-19T00:00:00"/>
    <x v="4"/>
    <x v="1"/>
    <s v="Dress"/>
    <n v="16"/>
    <n v="6611.75"/>
    <s v="Male"/>
    <n v="2"/>
    <n v="1434.51"/>
    <n v="5177.24"/>
    <x v="5"/>
    <s v="Q1"/>
    <n v="2023"/>
    <s v="Debit Card"/>
  </r>
  <r>
    <d v="2023-11-01T00:00:00"/>
    <x v="3"/>
    <x v="1"/>
    <s v="T-Shirt"/>
    <n v="47"/>
    <n v="16896.38"/>
    <s v="Female"/>
    <n v="1"/>
    <n v="5733.82"/>
    <n v="11162.56"/>
    <x v="11"/>
    <s v="Q4"/>
    <n v="2023"/>
    <s v="Credit Card"/>
  </r>
  <r>
    <d v="2022-04-16T00:00:00"/>
    <x v="3"/>
    <x v="0"/>
    <s v="Tablet"/>
    <n v="18"/>
    <n v="5838.88"/>
    <s v="Female"/>
    <n v="5"/>
    <n v="1458.3"/>
    <n v="4380.58"/>
    <x v="3"/>
    <s v="Q2"/>
    <n v="2022"/>
    <s v="UPI"/>
  </r>
  <r>
    <d v="2022-12-03T00:00:00"/>
    <x v="2"/>
    <x v="4"/>
    <s v="Beverages"/>
    <n v="38"/>
    <n v="1939.17"/>
    <s v="Female"/>
    <n v="5"/>
    <n v="5106.04"/>
    <n v="-3166.87"/>
    <x v="6"/>
    <s v="Q4"/>
    <n v="2022"/>
    <s v="Debit Card"/>
  </r>
  <r>
    <d v="2023-12-17T00:00:00"/>
    <x v="3"/>
    <x v="2"/>
    <s v="Fiction"/>
    <n v="22"/>
    <n v="6154.39"/>
    <s v="Female"/>
    <n v="1"/>
    <n v="711.8"/>
    <n v="5442.59"/>
    <x v="6"/>
    <s v="Q4"/>
    <n v="2023"/>
    <s v="Debit Card"/>
  </r>
  <r>
    <d v="2022-12-31T00:00:00"/>
    <x v="1"/>
    <x v="4"/>
    <s v="Grains"/>
    <n v="18"/>
    <n v="8346.75"/>
    <s v="Female"/>
    <n v="5"/>
    <n v="2613.81"/>
    <n v="5732.94"/>
    <x v="6"/>
    <s v="Q4"/>
    <n v="2022"/>
    <s v="Debit Card"/>
  </r>
  <r>
    <d v="2023-02-28T00:00:00"/>
    <x v="3"/>
    <x v="0"/>
    <s v="Headphones"/>
    <n v="3"/>
    <n v="810.1"/>
    <s v="Male"/>
    <n v="2"/>
    <n v="254.3"/>
    <n v="555.79999999999995"/>
    <x v="2"/>
    <s v="Q1"/>
    <n v="2023"/>
    <s v="UPI"/>
  </r>
  <r>
    <d v="2023-03-18T00:00:00"/>
    <x v="0"/>
    <x v="1"/>
    <s v="T-Shirt"/>
    <n v="26"/>
    <n v="9457.94"/>
    <s v="Male"/>
    <n v="4"/>
    <n v="3680.79"/>
    <n v="5777.15"/>
    <x v="1"/>
    <s v="Q1"/>
    <n v="2023"/>
    <s v="COD"/>
  </r>
  <r>
    <d v="2023-05-06T00:00:00"/>
    <x v="2"/>
    <x v="4"/>
    <s v="Snacks"/>
    <n v="50"/>
    <n v="12805.76"/>
    <s v="Female"/>
    <n v="1"/>
    <n v="1234.1300000000001"/>
    <n v="11571.63"/>
    <x v="4"/>
    <s v="Q2"/>
    <n v="2023"/>
    <s v="Debit Card"/>
  </r>
  <r>
    <d v="2022-02-06T00:00:00"/>
    <x v="3"/>
    <x v="3"/>
    <s v="Chair"/>
    <n v="1"/>
    <n v="62.4"/>
    <s v="Female"/>
    <n v="4"/>
    <n v="106.01"/>
    <n v="-43.61"/>
    <x v="2"/>
    <s v="Q1"/>
    <n v="2022"/>
    <s v="Debit Card"/>
  </r>
  <r>
    <d v="2023-10-22T00:00:00"/>
    <x v="1"/>
    <x v="1"/>
    <s v="Jeans"/>
    <n v="21"/>
    <n v="6083.9"/>
    <s v="Male"/>
    <n v="1"/>
    <n v="1731.11"/>
    <n v="4352.79"/>
    <x v="8"/>
    <s v="Q4"/>
    <n v="2023"/>
    <s v="COD"/>
  </r>
  <r>
    <d v="2022-05-11T00:00:00"/>
    <x v="3"/>
    <x v="1"/>
    <s v="T-Shirt"/>
    <n v="8"/>
    <n v="2228.06"/>
    <s v="Male"/>
    <n v="1"/>
    <n v="1574.39"/>
    <n v="653.66999999999996"/>
    <x v="4"/>
    <s v="Q2"/>
    <n v="2022"/>
    <s v="COD"/>
  </r>
  <r>
    <d v="2022-01-03T00:00:00"/>
    <x v="1"/>
    <x v="3"/>
    <s v="Lamp"/>
    <n v="36"/>
    <n v="14155.02"/>
    <s v="Female"/>
    <n v="5"/>
    <n v="6161.55"/>
    <n v="7993.47"/>
    <x v="5"/>
    <s v="Q1"/>
    <n v="2022"/>
    <s v="COD"/>
  </r>
  <r>
    <d v="2023-07-20T00:00:00"/>
    <x v="4"/>
    <x v="3"/>
    <s v="Rug"/>
    <n v="46"/>
    <n v="7071.32"/>
    <s v="Female"/>
    <n v="1"/>
    <n v="3200.53"/>
    <n v="3870.79"/>
    <x v="9"/>
    <s v="Q3"/>
    <n v="2023"/>
    <s v="COD"/>
  </r>
  <r>
    <d v="2023-01-05T00:00:00"/>
    <x v="0"/>
    <x v="3"/>
    <s v="Table"/>
    <n v="48"/>
    <n v="6614.07"/>
    <s v="Male"/>
    <n v="4"/>
    <n v="2329.04"/>
    <n v="4285.03"/>
    <x v="5"/>
    <s v="Q1"/>
    <n v="2023"/>
    <s v="COD"/>
  </r>
  <r>
    <d v="2023-05-23T00:00:00"/>
    <x v="2"/>
    <x v="1"/>
    <s v="Sweater"/>
    <n v="38"/>
    <n v="531.97"/>
    <s v="Male"/>
    <n v="5"/>
    <n v="2607.6"/>
    <n v="-2075.63"/>
    <x v="4"/>
    <s v="Q2"/>
    <n v="2023"/>
    <s v="Credit Card"/>
  </r>
  <r>
    <d v="2022-11-26T00:00:00"/>
    <x v="1"/>
    <x v="4"/>
    <s v="Produce"/>
    <n v="14"/>
    <n v="3819.25"/>
    <s v="Male"/>
    <n v="4"/>
    <n v="1230.56"/>
    <n v="2588.69"/>
    <x v="11"/>
    <s v="Q4"/>
    <n v="2022"/>
    <s v="COD"/>
  </r>
  <r>
    <d v="2022-04-09T00:00:00"/>
    <x v="4"/>
    <x v="0"/>
    <s v="Headphones"/>
    <n v="31"/>
    <n v="6545.6"/>
    <s v="Male"/>
    <n v="2"/>
    <n v="1573.92"/>
    <n v="4971.68"/>
    <x v="3"/>
    <s v="Q2"/>
    <n v="2022"/>
    <s v="COD"/>
  </r>
  <r>
    <d v="2022-11-15T00:00:00"/>
    <x v="2"/>
    <x v="0"/>
    <s v="Laptop"/>
    <n v="48"/>
    <n v="21547.26"/>
    <s v="Female"/>
    <n v="5"/>
    <n v="9876.16"/>
    <n v="11671.1"/>
    <x v="11"/>
    <s v="Q4"/>
    <n v="2022"/>
    <s v="Debit Card"/>
  </r>
  <r>
    <d v="2022-10-26T00:00:00"/>
    <x v="3"/>
    <x v="1"/>
    <s v="Sweater"/>
    <n v="3"/>
    <n v="179.93"/>
    <s v="Female"/>
    <n v="1"/>
    <n v="38.520000000000003"/>
    <n v="141.41"/>
    <x v="8"/>
    <s v="Q4"/>
    <n v="2022"/>
    <s v="Debit Card"/>
  </r>
  <r>
    <d v="2023-08-04T00:00:00"/>
    <x v="0"/>
    <x v="0"/>
    <s v="Smartphone"/>
    <n v="17"/>
    <n v="2968.27"/>
    <s v="Female"/>
    <n v="1"/>
    <n v="1310.78"/>
    <n v="1657.49"/>
    <x v="10"/>
    <s v="Q3"/>
    <n v="2023"/>
    <s v="UPI"/>
  </r>
  <r>
    <d v="2023-11-06T00:00:00"/>
    <x v="2"/>
    <x v="4"/>
    <s v="Beverages"/>
    <n v="17"/>
    <n v="5371.71"/>
    <s v="Male"/>
    <n v="3"/>
    <n v="3484.51"/>
    <n v="1887.2"/>
    <x v="11"/>
    <s v="Q4"/>
    <n v="2023"/>
    <s v="COD"/>
  </r>
  <r>
    <d v="2023-08-28T00:00:00"/>
    <x v="3"/>
    <x v="1"/>
    <s v="Dress"/>
    <n v="47"/>
    <n v="17697.169999999998"/>
    <s v="Female"/>
    <n v="5"/>
    <n v="628.79999999999995"/>
    <n v="17068.37"/>
    <x v="10"/>
    <s v="Q3"/>
    <n v="2023"/>
    <s v="COD"/>
  </r>
  <r>
    <d v="2022-10-24T00:00:00"/>
    <x v="3"/>
    <x v="1"/>
    <s v="Sweater"/>
    <n v="36"/>
    <n v="12910.8"/>
    <s v="Male"/>
    <n v="3"/>
    <n v="5841.7"/>
    <n v="7069.1"/>
    <x v="8"/>
    <s v="Q4"/>
    <n v="2022"/>
    <s v="UPI"/>
  </r>
  <r>
    <d v="2022-10-06T00:00:00"/>
    <x v="2"/>
    <x v="2"/>
    <s v="Fiction"/>
    <n v="10"/>
    <n v="696.24"/>
    <s v="Male"/>
    <n v="5"/>
    <n v="1355.39"/>
    <n v="-659.15"/>
    <x v="8"/>
    <s v="Q4"/>
    <n v="2022"/>
    <s v="COD"/>
  </r>
  <r>
    <d v="2023-09-29T00:00:00"/>
    <x v="2"/>
    <x v="2"/>
    <s v="Non-Fiction"/>
    <n v="2"/>
    <n v="412.42"/>
    <s v="Male"/>
    <n v="3"/>
    <n v="268.42"/>
    <n v="144"/>
    <x v="7"/>
    <s v="Q3"/>
    <n v="2023"/>
    <s v="COD"/>
  </r>
  <r>
    <d v="2022-07-10T00:00:00"/>
    <x v="3"/>
    <x v="4"/>
    <s v="Beverages"/>
    <n v="12"/>
    <n v="5793.04"/>
    <s v="Male"/>
    <n v="2"/>
    <n v="1949.83"/>
    <n v="3843.21"/>
    <x v="9"/>
    <s v="Q3"/>
    <n v="2022"/>
    <s v="COD"/>
  </r>
  <r>
    <d v="2023-06-12T00:00:00"/>
    <x v="1"/>
    <x v="4"/>
    <s v="Grains"/>
    <n v="45"/>
    <n v="8357.02"/>
    <s v="Female"/>
    <n v="5"/>
    <n v="10068.52"/>
    <n v="-1711.5"/>
    <x v="0"/>
    <s v="Q2"/>
    <n v="2023"/>
    <s v="UPI"/>
  </r>
  <r>
    <d v="2023-03-24T00:00:00"/>
    <x v="1"/>
    <x v="1"/>
    <s v="Sweater"/>
    <n v="15"/>
    <n v="382.38"/>
    <s v="Male"/>
    <n v="1"/>
    <n v="3427.84"/>
    <n v="-3045.46"/>
    <x v="1"/>
    <s v="Q1"/>
    <n v="2023"/>
    <s v="UPI"/>
  </r>
  <r>
    <d v="2023-02-04T00:00:00"/>
    <x v="1"/>
    <x v="0"/>
    <s v="Laptop"/>
    <n v="14"/>
    <n v="2251.04"/>
    <s v="Female"/>
    <n v="2"/>
    <n v="2570.9"/>
    <n v="-319.86"/>
    <x v="2"/>
    <s v="Q1"/>
    <n v="2023"/>
    <s v="UPI"/>
  </r>
  <r>
    <d v="2023-08-04T00:00:00"/>
    <x v="0"/>
    <x v="0"/>
    <s v="Smartphone"/>
    <n v="31"/>
    <n v="7265.78"/>
    <s v="Male"/>
    <n v="2"/>
    <n v="4587.03"/>
    <n v="2678.75"/>
    <x v="10"/>
    <s v="Q3"/>
    <n v="2023"/>
    <s v="COD"/>
  </r>
  <r>
    <d v="2023-01-11T00:00:00"/>
    <x v="4"/>
    <x v="2"/>
    <s v="Non-Fiction"/>
    <n v="42"/>
    <n v="9768.7199999999993"/>
    <s v="Male"/>
    <n v="3"/>
    <n v="7235.91"/>
    <n v="2532.81"/>
    <x v="5"/>
    <s v="Q1"/>
    <n v="2023"/>
    <s v="UPI"/>
  </r>
  <r>
    <d v="2023-06-05T00:00:00"/>
    <x v="2"/>
    <x v="2"/>
    <s v="Sci-Fi"/>
    <n v="38"/>
    <n v="18773.87"/>
    <s v="Male"/>
    <n v="2"/>
    <n v="5212.4399999999996"/>
    <n v="13561.43"/>
    <x v="0"/>
    <s v="Q2"/>
    <n v="2023"/>
    <s v="UPI"/>
  </r>
  <r>
    <d v="2023-12-27T00:00:00"/>
    <x v="1"/>
    <x v="2"/>
    <s v="Sci-Fi"/>
    <n v="35"/>
    <n v="11689.44"/>
    <s v="Female"/>
    <n v="1"/>
    <n v="7320.71"/>
    <n v="4368.7299999999996"/>
    <x v="6"/>
    <s v="Q4"/>
    <n v="2023"/>
    <s v="UPI"/>
  </r>
  <r>
    <d v="2023-11-19T00:00:00"/>
    <x v="4"/>
    <x v="0"/>
    <s v="Headphones"/>
    <n v="49"/>
    <n v="17583.650000000001"/>
    <s v="Male"/>
    <n v="4"/>
    <n v="4971.3500000000004"/>
    <n v="12612.3"/>
    <x v="11"/>
    <s v="Q4"/>
    <n v="2023"/>
    <s v="COD"/>
  </r>
  <r>
    <d v="2023-08-05T00:00:00"/>
    <x v="3"/>
    <x v="2"/>
    <s v="Fiction"/>
    <n v="20"/>
    <n v="4844.7299999999996"/>
    <s v="Male"/>
    <n v="1"/>
    <n v="4241.8599999999997"/>
    <n v="602.87"/>
    <x v="10"/>
    <s v="Q3"/>
    <n v="2023"/>
    <s v="UPI"/>
  </r>
  <r>
    <d v="2022-12-21T00:00:00"/>
    <x v="0"/>
    <x v="1"/>
    <s v="Sweater"/>
    <n v="23"/>
    <n v="5878.76"/>
    <s v="Female"/>
    <n v="2"/>
    <n v="2789.62"/>
    <n v="3089.14"/>
    <x v="6"/>
    <s v="Q4"/>
    <n v="2022"/>
    <s v="UPI"/>
  </r>
  <r>
    <d v="2023-01-13T00:00:00"/>
    <x v="2"/>
    <x v="1"/>
    <s v="T-Shirt"/>
    <n v="22"/>
    <n v="1805.91"/>
    <s v="Male"/>
    <n v="5"/>
    <n v="595.19000000000005"/>
    <n v="1210.72"/>
    <x v="5"/>
    <s v="Q1"/>
    <n v="2023"/>
    <s v="COD"/>
  </r>
  <r>
    <d v="2023-01-30T00:00:00"/>
    <x v="4"/>
    <x v="4"/>
    <s v="Grains"/>
    <n v="34"/>
    <n v="15855.99"/>
    <s v="Female"/>
    <n v="3"/>
    <n v="7683.1"/>
    <n v="8172.89"/>
    <x v="5"/>
    <s v="Q1"/>
    <n v="2023"/>
    <s v="COD"/>
  </r>
  <r>
    <d v="2022-01-23T00:00:00"/>
    <x v="4"/>
    <x v="2"/>
    <s v="Sci-Fi"/>
    <n v="40"/>
    <n v="13967.14"/>
    <s v="Female"/>
    <n v="5"/>
    <n v="1180.31"/>
    <n v="12786.83"/>
    <x v="5"/>
    <s v="Q1"/>
    <n v="2022"/>
    <s v="UPI"/>
  </r>
  <r>
    <d v="2023-08-16T00:00:00"/>
    <x v="0"/>
    <x v="4"/>
    <s v="Snacks"/>
    <n v="7"/>
    <n v="570.85"/>
    <s v="Male"/>
    <n v="5"/>
    <n v="203.4"/>
    <n v="367.45"/>
    <x v="10"/>
    <s v="Q3"/>
    <n v="2023"/>
    <s v="UPI"/>
  </r>
  <r>
    <d v="2022-06-09T00:00:00"/>
    <x v="1"/>
    <x v="3"/>
    <s v="Lamp"/>
    <n v="18"/>
    <n v="2486.08"/>
    <s v="Male"/>
    <n v="5"/>
    <n v="3471"/>
    <n v="-984.92"/>
    <x v="0"/>
    <s v="Q2"/>
    <n v="2022"/>
    <s v="UPI"/>
  </r>
  <r>
    <d v="2023-04-22T00:00:00"/>
    <x v="3"/>
    <x v="1"/>
    <s v="T-Shirt"/>
    <n v="9"/>
    <n v="531.45000000000005"/>
    <s v="Female"/>
    <n v="4"/>
    <n v="910.43"/>
    <n v="-378.98"/>
    <x v="3"/>
    <s v="Q2"/>
    <n v="2023"/>
    <s v="UPI"/>
  </r>
  <r>
    <d v="2023-06-20T00:00:00"/>
    <x v="2"/>
    <x v="2"/>
    <s v="Fiction"/>
    <n v="18"/>
    <n v="8413.65"/>
    <s v="Male"/>
    <n v="3"/>
    <n v="328.84"/>
    <n v="8084.81"/>
    <x v="0"/>
    <s v="Q2"/>
    <n v="2023"/>
    <s v="COD"/>
  </r>
  <r>
    <d v="2022-03-06T00:00:00"/>
    <x v="0"/>
    <x v="1"/>
    <s v="Dress"/>
    <n v="39"/>
    <n v="2857.47"/>
    <s v="Male"/>
    <n v="5"/>
    <n v="7190.77"/>
    <n v="-4333.3"/>
    <x v="1"/>
    <s v="Q1"/>
    <n v="2022"/>
    <s v="Credit Card"/>
  </r>
  <r>
    <d v="2022-08-10T00:00:00"/>
    <x v="3"/>
    <x v="4"/>
    <s v="Produce"/>
    <n v="43"/>
    <n v="17232.45"/>
    <s v="Male"/>
    <n v="1"/>
    <n v="1721.78"/>
    <n v="15510.67"/>
    <x v="10"/>
    <s v="Q3"/>
    <n v="2022"/>
    <s v="COD"/>
  </r>
  <r>
    <d v="2023-10-23T00:00:00"/>
    <x v="2"/>
    <x v="1"/>
    <s v="Jeans"/>
    <n v="44"/>
    <n v="20514.66"/>
    <s v="Male"/>
    <n v="5"/>
    <n v="2210.1999999999998"/>
    <n v="18304.46"/>
    <x v="8"/>
    <s v="Q4"/>
    <n v="2023"/>
    <s v="Credit Card"/>
  </r>
  <r>
    <d v="2022-11-16T00:00:00"/>
    <x v="0"/>
    <x v="1"/>
    <s v="Sweater"/>
    <n v="30"/>
    <n v="14840.77"/>
    <s v="Male"/>
    <n v="2"/>
    <n v="2835.75"/>
    <n v="12005.02"/>
    <x v="11"/>
    <s v="Q4"/>
    <n v="2022"/>
    <s v="COD"/>
  </r>
  <r>
    <d v="2023-07-28T00:00:00"/>
    <x v="2"/>
    <x v="0"/>
    <s v="Tablet"/>
    <n v="22"/>
    <n v="5192.7299999999996"/>
    <s v="Male"/>
    <n v="1"/>
    <n v="2004.47"/>
    <n v="3188.26"/>
    <x v="9"/>
    <s v="Q3"/>
    <n v="2023"/>
    <s v="UPI"/>
  </r>
  <r>
    <d v="2023-06-20T00:00:00"/>
    <x v="2"/>
    <x v="0"/>
    <s v="Tablet"/>
    <n v="41"/>
    <n v="19582.03"/>
    <s v="Male"/>
    <n v="5"/>
    <n v="2286.62"/>
    <n v="17295.41"/>
    <x v="0"/>
    <s v="Q2"/>
    <n v="2023"/>
    <s v="COD"/>
  </r>
  <r>
    <d v="2023-01-01T00:00:00"/>
    <x v="2"/>
    <x v="3"/>
    <s v="Table"/>
    <n v="30"/>
    <n v="8658.7900000000009"/>
    <s v="Female"/>
    <n v="1"/>
    <n v="2535.1999999999998"/>
    <n v="6123.59"/>
    <x v="5"/>
    <s v="Q1"/>
    <n v="2023"/>
    <s v="COD"/>
  </r>
  <r>
    <d v="2022-10-28T00:00:00"/>
    <x v="3"/>
    <x v="0"/>
    <s v="Laptop"/>
    <n v="1"/>
    <n v="210.42"/>
    <s v="Male"/>
    <n v="5"/>
    <n v="134.4"/>
    <n v="76.02"/>
    <x v="8"/>
    <s v="Q4"/>
    <n v="2022"/>
    <s v="COD"/>
  </r>
  <r>
    <d v="2022-11-30T00:00:00"/>
    <x v="4"/>
    <x v="1"/>
    <s v="T-Shirt"/>
    <n v="22"/>
    <n v="1957.1"/>
    <s v="Male"/>
    <n v="2"/>
    <n v="3798.32"/>
    <n v="-1841.22"/>
    <x v="11"/>
    <s v="Q4"/>
    <n v="2022"/>
    <s v="COD"/>
  </r>
  <r>
    <d v="2023-12-22T00:00:00"/>
    <x v="0"/>
    <x v="4"/>
    <s v="Grains"/>
    <n v="20"/>
    <n v="8455.3700000000008"/>
    <s v="Female"/>
    <n v="4"/>
    <n v="3737.5"/>
    <n v="4717.87"/>
    <x v="6"/>
    <s v="Q4"/>
    <n v="2023"/>
    <s v="COD"/>
  </r>
  <r>
    <d v="2023-05-11T00:00:00"/>
    <x v="3"/>
    <x v="3"/>
    <s v="Table"/>
    <n v="40"/>
    <n v="2986.74"/>
    <s v="Male"/>
    <n v="1"/>
    <n v="9374.59"/>
    <n v="-6387.85"/>
    <x v="4"/>
    <s v="Q2"/>
    <n v="2023"/>
    <s v="COD"/>
  </r>
  <r>
    <d v="2022-02-09T00:00:00"/>
    <x v="1"/>
    <x v="3"/>
    <s v="Chair"/>
    <n v="24"/>
    <n v="3489.36"/>
    <s v="Male"/>
    <n v="3"/>
    <n v="5414.25"/>
    <n v="-1924.89"/>
    <x v="2"/>
    <s v="Q1"/>
    <n v="2022"/>
    <s v="COD"/>
  </r>
  <r>
    <d v="2023-06-05T00:00:00"/>
    <x v="4"/>
    <x v="4"/>
    <s v="Beverages"/>
    <n v="30"/>
    <n v="14453.64"/>
    <s v="Male"/>
    <n v="4"/>
    <n v="1258.4000000000001"/>
    <n v="13195.24"/>
    <x v="0"/>
    <s v="Q2"/>
    <n v="2023"/>
    <s v="COD"/>
  </r>
  <r>
    <d v="2023-09-15T00:00:00"/>
    <x v="4"/>
    <x v="2"/>
    <s v="Fiction"/>
    <n v="6"/>
    <n v="1409.28"/>
    <s v="Male"/>
    <n v="3"/>
    <n v="640.24"/>
    <n v="769.04"/>
    <x v="7"/>
    <s v="Q3"/>
    <n v="2023"/>
    <s v="COD"/>
  </r>
  <r>
    <d v="2023-08-22T00:00:00"/>
    <x v="2"/>
    <x v="3"/>
    <s v="Table"/>
    <n v="1"/>
    <n v="461.44"/>
    <s v="Male"/>
    <n v="2"/>
    <n v="24.23"/>
    <n v="437.21"/>
    <x v="10"/>
    <s v="Q3"/>
    <n v="2023"/>
    <s v="Credit Card"/>
  </r>
  <r>
    <d v="2022-06-10T00:00:00"/>
    <x v="1"/>
    <x v="1"/>
    <s v="Jeans"/>
    <n v="50"/>
    <n v="11598.03"/>
    <s v="Male"/>
    <n v="4"/>
    <n v="5284.22"/>
    <n v="6313.81"/>
    <x v="0"/>
    <s v="Q2"/>
    <n v="2022"/>
    <s v="UPI"/>
  </r>
  <r>
    <d v="2023-09-24T00:00:00"/>
    <x v="0"/>
    <x v="4"/>
    <s v="Beverages"/>
    <n v="14"/>
    <n v="5997.51"/>
    <s v="Male"/>
    <n v="3"/>
    <n v="280.92"/>
    <n v="5716.59"/>
    <x v="7"/>
    <s v="Q3"/>
    <n v="2023"/>
    <s v="COD"/>
  </r>
  <r>
    <d v="2023-01-06T00:00:00"/>
    <x v="2"/>
    <x v="2"/>
    <s v="Non-Fiction"/>
    <n v="35"/>
    <n v="4680.2700000000004"/>
    <s v="Female"/>
    <n v="5"/>
    <n v="1412.05"/>
    <n v="3268.22"/>
    <x v="5"/>
    <s v="Q1"/>
    <n v="2023"/>
    <s v="COD"/>
  </r>
  <r>
    <d v="2022-02-01T00:00:00"/>
    <x v="2"/>
    <x v="4"/>
    <s v="Grains"/>
    <n v="47"/>
    <n v="23032.400000000001"/>
    <s v="Male"/>
    <n v="5"/>
    <n v="8096.19"/>
    <n v="14936.21"/>
    <x v="2"/>
    <s v="Q1"/>
    <n v="2022"/>
    <s v="EMI"/>
  </r>
  <r>
    <d v="2023-10-11T00:00:00"/>
    <x v="3"/>
    <x v="1"/>
    <s v="T-Shirt"/>
    <n v="47"/>
    <n v="14222.06"/>
    <s v="Female"/>
    <n v="5"/>
    <n v="11722.86"/>
    <n v="2499.1999999999998"/>
    <x v="8"/>
    <s v="Q4"/>
    <n v="2023"/>
    <s v="COD"/>
  </r>
  <r>
    <d v="2023-12-05T00:00:00"/>
    <x v="1"/>
    <x v="2"/>
    <s v="Mystery"/>
    <n v="41"/>
    <n v="4641.2299999999996"/>
    <s v="Male"/>
    <n v="3"/>
    <n v="7618.64"/>
    <n v="-2977.41"/>
    <x v="6"/>
    <s v="Q4"/>
    <n v="2023"/>
    <s v="COD"/>
  </r>
  <r>
    <d v="2022-02-15T00:00:00"/>
    <x v="1"/>
    <x v="2"/>
    <s v="Non-Fiction"/>
    <n v="31"/>
    <n v="11007.55"/>
    <s v="Female"/>
    <n v="3"/>
    <n v="7314.55"/>
    <n v="3693"/>
    <x v="2"/>
    <s v="Q1"/>
    <n v="2022"/>
    <s v="UPI"/>
  </r>
  <r>
    <d v="2023-02-18T00:00:00"/>
    <x v="0"/>
    <x v="1"/>
    <s v="Dress"/>
    <n v="30"/>
    <n v="2286.1999999999998"/>
    <s v="Female"/>
    <n v="1"/>
    <n v="4204.26"/>
    <n v="-1918.06"/>
    <x v="2"/>
    <s v="Q1"/>
    <n v="2023"/>
    <s v="COD"/>
  </r>
  <r>
    <d v="2022-10-26T00:00:00"/>
    <x v="1"/>
    <x v="0"/>
    <s v="Smartphone"/>
    <n v="45"/>
    <n v="18746.27"/>
    <s v="Male"/>
    <n v="1"/>
    <n v="740.44"/>
    <n v="18005.830000000002"/>
    <x v="8"/>
    <s v="Q4"/>
    <n v="2022"/>
    <s v="COD"/>
  </r>
  <r>
    <d v="2023-06-24T00:00:00"/>
    <x v="1"/>
    <x v="1"/>
    <s v="Jeans"/>
    <n v="20"/>
    <n v="7153.84"/>
    <s v="Male"/>
    <n v="1"/>
    <n v="4658.2299999999996"/>
    <n v="2495.61"/>
    <x v="0"/>
    <s v="Q2"/>
    <n v="2023"/>
    <s v="UPI"/>
  </r>
  <r>
    <d v="2022-07-17T00:00:00"/>
    <x v="3"/>
    <x v="2"/>
    <s v="Fiction"/>
    <n v="43"/>
    <n v="10889.27"/>
    <s v="Female"/>
    <n v="1"/>
    <n v="9288.2199999999993"/>
    <n v="1601.05"/>
    <x v="9"/>
    <s v="Q3"/>
    <n v="2022"/>
    <s v="COD"/>
  </r>
  <r>
    <d v="2022-09-11T00:00:00"/>
    <x v="4"/>
    <x v="1"/>
    <s v="Jeans"/>
    <n v="5"/>
    <n v="72.78"/>
    <s v="Male"/>
    <n v="4"/>
    <n v="1145.26"/>
    <n v="-1072.48"/>
    <x v="7"/>
    <s v="Q3"/>
    <n v="2022"/>
    <s v="COD"/>
  </r>
  <r>
    <d v="2023-01-18T00:00:00"/>
    <x v="2"/>
    <x v="2"/>
    <s v="Mystery"/>
    <n v="38"/>
    <n v="5971.38"/>
    <s v="Female"/>
    <n v="5"/>
    <n v="4265.24"/>
    <n v="1706.14"/>
    <x v="5"/>
    <s v="Q1"/>
    <n v="2023"/>
    <s v="UPI"/>
  </r>
  <r>
    <d v="2022-10-28T00:00:00"/>
    <x v="2"/>
    <x v="4"/>
    <s v="Produce"/>
    <n v="27"/>
    <n v="13312.4"/>
    <s v="Female"/>
    <n v="3"/>
    <n v="4266.6000000000004"/>
    <n v="9045.7999999999993"/>
    <x v="8"/>
    <s v="Q4"/>
    <n v="2022"/>
    <s v="COD"/>
  </r>
  <r>
    <d v="2022-02-26T00:00:00"/>
    <x v="4"/>
    <x v="3"/>
    <s v="Lamp"/>
    <n v="46"/>
    <n v="4697.76"/>
    <s v="Female"/>
    <n v="1"/>
    <n v="4921.1899999999996"/>
    <n v="-223.43"/>
    <x v="2"/>
    <s v="Q1"/>
    <n v="2022"/>
    <s v="UPI"/>
  </r>
  <r>
    <d v="2022-07-18T00:00:00"/>
    <x v="2"/>
    <x v="1"/>
    <s v="Jeans"/>
    <n v="25"/>
    <n v="10726.19"/>
    <s v="Male"/>
    <n v="5"/>
    <n v="2439.87"/>
    <n v="8286.32"/>
    <x v="9"/>
    <s v="Q3"/>
    <n v="2022"/>
    <s v="UPI"/>
  </r>
  <r>
    <d v="2022-04-01T00:00:00"/>
    <x v="3"/>
    <x v="2"/>
    <s v="Sci-Fi"/>
    <n v="16"/>
    <n v="1476.66"/>
    <s v="Male"/>
    <n v="5"/>
    <n v="2761.04"/>
    <n v="-1284.3800000000001"/>
    <x v="3"/>
    <s v="Q2"/>
    <n v="2022"/>
    <s v="COD"/>
  </r>
  <r>
    <d v="2022-12-28T00:00:00"/>
    <x v="1"/>
    <x v="1"/>
    <s v="Jeans"/>
    <n v="16"/>
    <n v="1537.34"/>
    <s v="Female"/>
    <n v="2"/>
    <n v="2463.7399999999998"/>
    <n v="-926.4"/>
    <x v="6"/>
    <s v="Q4"/>
    <n v="2022"/>
    <s v="COD"/>
  </r>
  <r>
    <d v="2022-11-28T00:00:00"/>
    <x v="4"/>
    <x v="3"/>
    <s v="Rug"/>
    <n v="12"/>
    <n v="3917.78"/>
    <s v="Female"/>
    <n v="2"/>
    <n v="783.84"/>
    <n v="3133.94"/>
    <x v="11"/>
    <s v="Q4"/>
    <n v="2022"/>
    <s v="COD"/>
  </r>
  <r>
    <d v="2022-03-07T00:00:00"/>
    <x v="1"/>
    <x v="3"/>
    <s v="Rug"/>
    <n v="39"/>
    <n v="16696.03"/>
    <s v="Male"/>
    <n v="1"/>
    <n v="1943.71"/>
    <n v="14752.32"/>
    <x v="1"/>
    <s v="Q1"/>
    <n v="2022"/>
    <s v="COD"/>
  </r>
  <r>
    <d v="2023-10-24T00:00:00"/>
    <x v="4"/>
    <x v="1"/>
    <s v="T-Shirt"/>
    <n v="37"/>
    <n v="13636.54"/>
    <s v="Male"/>
    <n v="1"/>
    <n v="5475.09"/>
    <n v="8161.45"/>
    <x v="8"/>
    <s v="Q4"/>
    <n v="2023"/>
    <s v="UPI"/>
  </r>
  <r>
    <d v="2023-10-30T00:00:00"/>
    <x v="3"/>
    <x v="3"/>
    <s v="Lamp"/>
    <n v="5"/>
    <n v="2131.21"/>
    <s v="Female"/>
    <n v="2"/>
    <n v="88.63"/>
    <n v="2042.58"/>
    <x v="8"/>
    <s v="Q4"/>
    <n v="2023"/>
    <s v="Debit Card"/>
  </r>
  <r>
    <d v="2023-08-04T00:00:00"/>
    <x v="4"/>
    <x v="4"/>
    <s v="Produce"/>
    <n v="20"/>
    <n v="9791.25"/>
    <s v="Male"/>
    <n v="5"/>
    <n v="2590.04"/>
    <n v="7201.21"/>
    <x v="10"/>
    <s v="Q3"/>
    <n v="2023"/>
    <s v="COD"/>
  </r>
  <r>
    <d v="2022-01-05T00:00:00"/>
    <x v="2"/>
    <x v="1"/>
    <s v="Jeans"/>
    <n v="11"/>
    <n v="5473.25"/>
    <s v="Female"/>
    <n v="2"/>
    <n v="977.54"/>
    <n v="4495.71"/>
    <x v="5"/>
    <s v="Q1"/>
    <n v="2022"/>
    <s v="EMI"/>
  </r>
  <r>
    <d v="2022-09-26T00:00:00"/>
    <x v="2"/>
    <x v="1"/>
    <s v="Sweater"/>
    <n v="27"/>
    <n v="11219.24"/>
    <s v="Male"/>
    <n v="2"/>
    <n v="2022.51"/>
    <n v="9196.73"/>
    <x v="7"/>
    <s v="Q3"/>
    <n v="2022"/>
    <s v="UPI"/>
  </r>
  <r>
    <d v="2022-09-01T00:00:00"/>
    <x v="3"/>
    <x v="2"/>
    <s v="Sci-Fi"/>
    <n v="20"/>
    <n v="4100.8100000000004"/>
    <s v="Female"/>
    <n v="2"/>
    <n v="2805.21"/>
    <n v="1295.5999999999999"/>
    <x v="7"/>
    <s v="Q3"/>
    <n v="2022"/>
    <s v="UPI"/>
  </r>
  <r>
    <d v="2022-01-01T00:00:00"/>
    <x v="0"/>
    <x v="1"/>
    <s v="Jeans"/>
    <n v="12"/>
    <n v="5913.59"/>
    <s v="Female"/>
    <n v="2"/>
    <n v="321.54000000000002"/>
    <n v="5592.05"/>
    <x v="5"/>
    <s v="Q1"/>
    <n v="2022"/>
    <s v="COD"/>
  </r>
  <r>
    <d v="2022-01-10T00:00:00"/>
    <x v="3"/>
    <x v="4"/>
    <s v="Produce"/>
    <n v="33"/>
    <n v="8568.1"/>
    <s v="Male"/>
    <n v="4"/>
    <n v="4654.46"/>
    <n v="3913.64"/>
    <x v="5"/>
    <s v="Q1"/>
    <n v="2022"/>
    <s v="COD"/>
  </r>
  <r>
    <d v="2022-11-21T00:00:00"/>
    <x v="0"/>
    <x v="2"/>
    <s v="Mystery"/>
    <n v="28"/>
    <n v="3941.99"/>
    <s v="Male"/>
    <n v="5"/>
    <n v="6696.26"/>
    <n v="-2754.27"/>
    <x v="11"/>
    <s v="Q4"/>
    <n v="2022"/>
    <s v="UPI"/>
  </r>
  <r>
    <d v="2022-12-06T00:00:00"/>
    <x v="4"/>
    <x v="2"/>
    <s v="Non-Fiction"/>
    <n v="11"/>
    <n v="4351.8599999999997"/>
    <s v="Female"/>
    <n v="1"/>
    <n v="2253.02"/>
    <n v="2098.84"/>
    <x v="6"/>
    <s v="Q4"/>
    <n v="2022"/>
    <s v="EMI"/>
  </r>
  <r>
    <d v="2022-05-17T00:00:00"/>
    <x v="0"/>
    <x v="4"/>
    <s v="Produce"/>
    <n v="20"/>
    <n v="3622.76"/>
    <s v="Male"/>
    <n v="3"/>
    <n v="719.37"/>
    <n v="2903.39"/>
    <x v="4"/>
    <s v="Q2"/>
    <n v="2022"/>
    <s v="COD"/>
  </r>
  <r>
    <d v="2023-08-10T00:00:00"/>
    <x v="0"/>
    <x v="4"/>
    <s v="Beverages"/>
    <n v="22"/>
    <n v="10966.05"/>
    <s v="Female"/>
    <n v="2"/>
    <n v="3434.59"/>
    <n v="7531.46"/>
    <x v="10"/>
    <s v="Q3"/>
    <n v="2023"/>
    <s v="COD"/>
  </r>
  <r>
    <d v="2023-03-05T00:00:00"/>
    <x v="0"/>
    <x v="0"/>
    <s v="Tablet"/>
    <n v="31"/>
    <n v="2402.61"/>
    <s v="Female"/>
    <n v="2"/>
    <n v="2110.4499999999998"/>
    <n v="292.16000000000003"/>
    <x v="1"/>
    <s v="Q1"/>
    <n v="2023"/>
    <s v="UPI"/>
  </r>
  <r>
    <d v="2022-05-24T00:00:00"/>
    <x v="2"/>
    <x v="0"/>
    <s v="Laptop"/>
    <n v="25"/>
    <n v="3876.68"/>
    <s v="Male"/>
    <n v="2"/>
    <n v="2204.5"/>
    <n v="1672.18"/>
    <x v="4"/>
    <s v="Q2"/>
    <n v="2022"/>
    <s v="COD"/>
  </r>
  <r>
    <d v="2022-12-02T00:00:00"/>
    <x v="2"/>
    <x v="1"/>
    <s v="Sweater"/>
    <n v="4"/>
    <n v="1845.82"/>
    <s v="Male"/>
    <n v="5"/>
    <n v="90.28"/>
    <n v="1755.54"/>
    <x v="6"/>
    <s v="Q4"/>
    <n v="2022"/>
    <s v="UPI"/>
  </r>
  <r>
    <d v="2022-08-31T00:00:00"/>
    <x v="0"/>
    <x v="1"/>
    <s v="Sweater"/>
    <n v="1"/>
    <n v="450.25"/>
    <s v="Female"/>
    <n v="3"/>
    <n v="151.77000000000001"/>
    <n v="298.48"/>
    <x v="10"/>
    <s v="Q3"/>
    <n v="2022"/>
    <s v="UPI"/>
  </r>
  <r>
    <d v="2023-11-14T00:00:00"/>
    <x v="2"/>
    <x v="1"/>
    <s v="Dress"/>
    <n v="48"/>
    <n v="7274.42"/>
    <s v="Female"/>
    <n v="1"/>
    <n v="4475.6000000000004"/>
    <n v="2798.82"/>
    <x v="11"/>
    <s v="Q4"/>
    <n v="2023"/>
    <s v="COD"/>
  </r>
  <r>
    <d v="2022-03-27T00:00:00"/>
    <x v="3"/>
    <x v="4"/>
    <s v="Produce"/>
    <n v="22"/>
    <n v="6709.83"/>
    <s v="Female"/>
    <n v="3"/>
    <n v="3373.01"/>
    <n v="3336.82"/>
    <x v="1"/>
    <s v="Q1"/>
    <n v="2022"/>
    <s v="EMI"/>
  </r>
  <r>
    <d v="2022-05-08T00:00:00"/>
    <x v="3"/>
    <x v="0"/>
    <s v="Headphones"/>
    <n v="30"/>
    <n v="370.26"/>
    <s v="Female"/>
    <n v="1"/>
    <n v="870.08"/>
    <n v="-499.82"/>
    <x v="4"/>
    <s v="Q2"/>
    <n v="2022"/>
    <s v="COD"/>
  </r>
  <r>
    <d v="2022-08-06T00:00:00"/>
    <x v="3"/>
    <x v="1"/>
    <s v="Jeans"/>
    <n v="37"/>
    <n v="2916.65"/>
    <s v="Male"/>
    <n v="2"/>
    <n v="6850.91"/>
    <n v="-3934.26"/>
    <x v="10"/>
    <s v="Q3"/>
    <n v="2022"/>
    <s v="COD"/>
  </r>
  <r>
    <d v="2022-10-16T00:00:00"/>
    <x v="3"/>
    <x v="1"/>
    <s v="Sweater"/>
    <n v="44"/>
    <n v="8885.34"/>
    <s v="Female"/>
    <n v="5"/>
    <n v="2892.8"/>
    <n v="5992.54"/>
    <x v="8"/>
    <s v="Q4"/>
    <n v="2022"/>
    <s v="EMI"/>
  </r>
  <r>
    <d v="2022-06-02T00:00:00"/>
    <x v="3"/>
    <x v="1"/>
    <s v="Jeans"/>
    <n v="17"/>
    <n v="6268.52"/>
    <s v="Male"/>
    <n v="4"/>
    <n v="3881.89"/>
    <n v="2386.63"/>
    <x v="0"/>
    <s v="Q2"/>
    <n v="2022"/>
    <s v="EMI"/>
  </r>
  <r>
    <d v="2023-05-06T00:00:00"/>
    <x v="2"/>
    <x v="1"/>
    <s v="Jeans"/>
    <n v="10"/>
    <n v="3188.74"/>
    <s v="Female"/>
    <n v="2"/>
    <n v="865.98"/>
    <n v="2322.7600000000002"/>
    <x v="4"/>
    <s v="Q2"/>
    <n v="2023"/>
    <s v="COD"/>
  </r>
  <r>
    <d v="2023-04-06T00:00:00"/>
    <x v="3"/>
    <x v="4"/>
    <s v="Grains"/>
    <n v="30"/>
    <n v="506.52"/>
    <s v="Male"/>
    <n v="1"/>
    <n v="1447.45"/>
    <n v="-940.93"/>
    <x v="3"/>
    <s v="Q2"/>
    <n v="2023"/>
    <s v="UPI"/>
  </r>
  <r>
    <d v="2023-04-04T00:00:00"/>
    <x v="0"/>
    <x v="0"/>
    <s v="Laptop"/>
    <n v="37"/>
    <n v="17522.77"/>
    <s v="Female"/>
    <n v="5"/>
    <n v="3667.34"/>
    <n v="13855.43"/>
    <x v="3"/>
    <s v="Q2"/>
    <n v="2023"/>
    <s v="COD"/>
  </r>
  <r>
    <d v="2023-08-02T00:00:00"/>
    <x v="0"/>
    <x v="4"/>
    <s v="Snacks"/>
    <n v="20"/>
    <n v="7145.59"/>
    <s v="Female"/>
    <n v="5"/>
    <n v="2202.11"/>
    <n v="4943.4799999999996"/>
    <x v="10"/>
    <s v="Q3"/>
    <n v="2023"/>
    <s v="UPI"/>
  </r>
  <r>
    <d v="2022-02-01T00:00:00"/>
    <x v="2"/>
    <x v="2"/>
    <s v="Sci-Fi"/>
    <n v="1"/>
    <n v="79.05"/>
    <s v="Female"/>
    <n v="3"/>
    <n v="136.38999999999999"/>
    <n v="-57.34"/>
    <x v="2"/>
    <s v="Q1"/>
    <n v="2022"/>
    <s v="EMI"/>
  </r>
  <r>
    <d v="2022-06-10T00:00:00"/>
    <x v="4"/>
    <x v="2"/>
    <s v="Non-Fiction"/>
    <n v="5"/>
    <n v="759.23"/>
    <s v="Female"/>
    <n v="4"/>
    <n v="217.1"/>
    <n v="542.13"/>
    <x v="0"/>
    <s v="Q2"/>
    <n v="2022"/>
    <s v="EMI"/>
  </r>
  <r>
    <d v="2023-08-30T00:00:00"/>
    <x v="4"/>
    <x v="2"/>
    <s v="Sci-Fi"/>
    <n v="36"/>
    <n v="11180.46"/>
    <s v="Male"/>
    <n v="2"/>
    <n v="5220.08"/>
    <n v="5960.38"/>
    <x v="10"/>
    <s v="Q3"/>
    <n v="2023"/>
    <s v="EMI"/>
  </r>
  <r>
    <d v="2022-11-19T00:00:00"/>
    <x v="2"/>
    <x v="0"/>
    <s v="Smartphone"/>
    <n v="44"/>
    <n v="20388.86"/>
    <s v="Female"/>
    <n v="4"/>
    <n v="9790.35"/>
    <n v="10598.51"/>
    <x v="11"/>
    <s v="Q4"/>
    <n v="2022"/>
    <s v="EMI"/>
  </r>
  <r>
    <d v="2022-08-01T00:00:00"/>
    <x v="4"/>
    <x v="1"/>
    <s v="Sweater"/>
    <n v="21"/>
    <n v="2817.91"/>
    <s v="Female"/>
    <n v="2"/>
    <n v="1342.6"/>
    <n v="1475.31"/>
    <x v="10"/>
    <s v="Q3"/>
    <n v="2022"/>
    <s v="COD"/>
  </r>
  <r>
    <d v="2023-09-14T00:00:00"/>
    <x v="3"/>
    <x v="0"/>
    <s v="Tablet"/>
    <n v="48"/>
    <n v="13907.65"/>
    <s v="Female"/>
    <n v="4"/>
    <n v="11438.25"/>
    <n v="2469.4"/>
    <x v="7"/>
    <s v="Q3"/>
    <n v="2023"/>
    <s v="COD"/>
  </r>
  <r>
    <d v="2022-02-15T00:00:00"/>
    <x v="3"/>
    <x v="1"/>
    <s v="Jeans"/>
    <n v="44"/>
    <n v="10043.77"/>
    <s v="Male"/>
    <n v="4"/>
    <n v="1187.22"/>
    <n v="8856.5499999999993"/>
    <x v="2"/>
    <s v="Q1"/>
    <n v="2022"/>
    <s v="Debit Card"/>
  </r>
  <r>
    <d v="2022-03-18T00:00:00"/>
    <x v="0"/>
    <x v="4"/>
    <s v="Snacks"/>
    <n v="45"/>
    <n v="6946.85"/>
    <s v="Female"/>
    <n v="5"/>
    <n v="4001.77"/>
    <n v="2945.08"/>
    <x v="1"/>
    <s v="Q1"/>
    <n v="2022"/>
    <s v="UPI"/>
  </r>
  <r>
    <d v="2023-09-10T00:00:00"/>
    <x v="1"/>
    <x v="3"/>
    <s v="Table"/>
    <n v="11"/>
    <n v="3523.86"/>
    <s v="Male"/>
    <n v="4"/>
    <n v="2117.54"/>
    <n v="1406.32"/>
    <x v="7"/>
    <s v="Q3"/>
    <n v="2023"/>
    <s v="Debit Card"/>
  </r>
  <r>
    <d v="2023-05-28T00:00:00"/>
    <x v="0"/>
    <x v="3"/>
    <s v="Lamp"/>
    <n v="10"/>
    <n v="4500.2"/>
    <s v="Male"/>
    <n v="2"/>
    <n v="1821.12"/>
    <n v="2679.08"/>
    <x v="4"/>
    <s v="Q2"/>
    <n v="2023"/>
    <s v="COD"/>
  </r>
  <r>
    <d v="2023-12-02T00:00:00"/>
    <x v="1"/>
    <x v="1"/>
    <s v="Dress"/>
    <n v="12"/>
    <n v="4956.16"/>
    <s v="Female"/>
    <n v="1"/>
    <n v="2674.3"/>
    <n v="2281.86"/>
    <x v="6"/>
    <s v="Q4"/>
    <n v="2023"/>
    <s v="EMI"/>
  </r>
  <r>
    <d v="2023-06-03T00:00:00"/>
    <x v="0"/>
    <x v="4"/>
    <s v="Grains"/>
    <n v="39"/>
    <n v="440.53"/>
    <s v="Male"/>
    <n v="4"/>
    <n v="1201.1400000000001"/>
    <n v="-760.61"/>
    <x v="0"/>
    <s v="Q2"/>
    <n v="2023"/>
    <s v="EMI"/>
  </r>
  <r>
    <d v="2022-09-06T00:00:00"/>
    <x v="0"/>
    <x v="2"/>
    <s v="Fiction"/>
    <n v="50"/>
    <n v="12151.36"/>
    <s v="Female"/>
    <n v="4"/>
    <n v="498.37"/>
    <n v="11652.99"/>
    <x v="7"/>
    <s v="Q3"/>
    <n v="2022"/>
    <s v="Debit Card"/>
  </r>
  <r>
    <d v="2022-10-26T00:00:00"/>
    <x v="0"/>
    <x v="4"/>
    <s v="Snacks"/>
    <n v="32"/>
    <n v="12404.55"/>
    <s v="Female"/>
    <n v="1"/>
    <n v="5754.85"/>
    <n v="6649.7"/>
    <x v="8"/>
    <s v="Q4"/>
    <n v="2022"/>
    <s v="COD"/>
  </r>
  <r>
    <d v="2023-09-27T00:00:00"/>
    <x v="0"/>
    <x v="1"/>
    <s v="Sweater"/>
    <n v="7"/>
    <n v="579.41999999999996"/>
    <s v="Female"/>
    <n v="5"/>
    <n v="848.54"/>
    <n v="-269.12"/>
    <x v="7"/>
    <s v="Q3"/>
    <n v="2023"/>
    <s v="Debit Card"/>
  </r>
  <r>
    <d v="2023-03-01T00:00:00"/>
    <x v="1"/>
    <x v="2"/>
    <s v="Sci-Fi"/>
    <n v="33"/>
    <n v="13718.2"/>
    <s v="Female"/>
    <n v="1"/>
    <n v="2876.19"/>
    <n v="10842.01"/>
    <x v="1"/>
    <s v="Q1"/>
    <n v="2023"/>
    <s v="COD"/>
  </r>
  <r>
    <d v="2023-04-29T00:00:00"/>
    <x v="3"/>
    <x v="3"/>
    <s v="Lamp"/>
    <n v="4"/>
    <n v="1448.93"/>
    <s v="Female"/>
    <n v="1"/>
    <n v="621.11"/>
    <n v="827.82"/>
    <x v="3"/>
    <s v="Q2"/>
    <n v="2023"/>
    <s v="UPI"/>
  </r>
  <r>
    <d v="2023-06-27T00:00:00"/>
    <x v="1"/>
    <x v="0"/>
    <s v="Headphones"/>
    <n v="19"/>
    <n v="2782.17"/>
    <s v="Female"/>
    <n v="4"/>
    <n v="3778.79"/>
    <n v="-996.62"/>
    <x v="0"/>
    <s v="Q2"/>
    <n v="2023"/>
    <s v="COD"/>
  </r>
  <r>
    <d v="2023-07-21T00:00:00"/>
    <x v="3"/>
    <x v="3"/>
    <s v="Rug"/>
    <n v="22"/>
    <n v="585.08000000000004"/>
    <s v="Male"/>
    <n v="4"/>
    <n v="2842.81"/>
    <n v="-2257.73"/>
    <x v="9"/>
    <s v="Q3"/>
    <n v="2023"/>
    <s v="UPI"/>
  </r>
  <r>
    <d v="2023-05-03T00:00:00"/>
    <x v="0"/>
    <x v="3"/>
    <s v="Table"/>
    <n v="23"/>
    <n v="1910.01"/>
    <s v="Female"/>
    <n v="4"/>
    <n v="3298.56"/>
    <n v="-1388.55"/>
    <x v="4"/>
    <s v="Q2"/>
    <n v="2023"/>
    <s v="COD"/>
  </r>
  <r>
    <d v="2022-08-13T00:00:00"/>
    <x v="3"/>
    <x v="2"/>
    <s v="Non-Fiction"/>
    <n v="10"/>
    <n v="3647.6"/>
    <s v="Male"/>
    <n v="5"/>
    <n v="2455.5"/>
    <n v="1192.0999999999999"/>
    <x v="10"/>
    <s v="Q3"/>
    <n v="2022"/>
    <s v="Debit Card"/>
  </r>
  <r>
    <d v="2023-10-31T00:00:00"/>
    <x v="4"/>
    <x v="1"/>
    <s v="Jeans"/>
    <n v="2"/>
    <n v="941.25"/>
    <s v="Female"/>
    <n v="4"/>
    <n v="291.66000000000003"/>
    <n v="649.59"/>
    <x v="8"/>
    <s v="Q4"/>
    <n v="2023"/>
    <s v="COD"/>
  </r>
  <r>
    <d v="2022-04-30T00:00:00"/>
    <x v="4"/>
    <x v="3"/>
    <s v="Lamp"/>
    <n v="46"/>
    <n v="18326.61"/>
    <s v="Male"/>
    <n v="1"/>
    <n v="4438.04"/>
    <n v="13888.57"/>
    <x v="3"/>
    <s v="Q2"/>
    <n v="2022"/>
    <s v="UPI"/>
  </r>
  <r>
    <d v="2022-06-24T00:00:00"/>
    <x v="1"/>
    <x v="2"/>
    <s v="Fiction"/>
    <n v="1"/>
    <n v="148.19999999999999"/>
    <s v="Male"/>
    <n v="1"/>
    <n v="39.71"/>
    <n v="108.49"/>
    <x v="0"/>
    <s v="Q2"/>
    <n v="2022"/>
    <s v="EMI"/>
  </r>
  <r>
    <d v="2022-10-14T00:00:00"/>
    <x v="4"/>
    <x v="4"/>
    <s v="Grains"/>
    <n v="14"/>
    <n v="1490.5"/>
    <s v="Male"/>
    <n v="4"/>
    <n v="486.5"/>
    <n v="1004"/>
    <x v="8"/>
    <s v="Q4"/>
    <n v="2022"/>
    <s v="EMI"/>
  </r>
  <r>
    <d v="2023-12-15T00:00:00"/>
    <x v="0"/>
    <x v="3"/>
    <s v="Table"/>
    <n v="49"/>
    <n v="1718.77"/>
    <s v="Male"/>
    <n v="5"/>
    <n v="9389.77"/>
    <n v="-7671"/>
    <x v="6"/>
    <s v="Q4"/>
    <n v="2023"/>
    <s v="COD"/>
  </r>
  <r>
    <d v="2023-11-13T00:00:00"/>
    <x v="3"/>
    <x v="1"/>
    <s v="Jeans"/>
    <n v="1"/>
    <n v="381.13"/>
    <s v="Female"/>
    <n v="4"/>
    <n v="172.82"/>
    <n v="208.31"/>
    <x v="11"/>
    <s v="Q4"/>
    <n v="2023"/>
    <s v="COD"/>
  </r>
  <r>
    <d v="2023-06-06T00:00:00"/>
    <x v="3"/>
    <x v="2"/>
    <s v="Sci-Fi"/>
    <n v="38"/>
    <n v="16480.75"/>
    <s v="Male"/>
    <n v="5"/>
    <n v="1739.28"/>
    <n v="14741.47"/>
    <x v="0"/>
    <s v="Q2"/>
    <n v="2023"/>
    <s v="COD"/>
  </r>
  <r>
    <d v="2023-09-23T00:00:00"/>
    <x v="4"/>
    <x v="4"/>
    <s v="Snacks"/>
    <n v="9"/>
    <n v="3343.31"/>
    <s v="Male"/>
    <n v="5"/>
    <n v="1206.45"/>
    <n v="2136.86"/>
    <x v="7"/>
    <s v="Q3"/>
    <n v="2023"/>
    <s v="EMI"/>
  </r>
  <r>
    <d v="2022-06-10T00:00:00"/>
    <x v="3"/>
    <x v="0"/>
    <s v="Headphones"/>
    <n v="20"/>
    <n v="9535.0499999999993"/>
    <s v="Male"/>
    <n v="3"/>
    <n v="1619.31"/>
    <n v="7915.74"/>
    <x v="0"/>
    <s v="Q2"/>
    <n v="2022"/>
    <s v="COD"/>
  </r>
  <r>
    <d v="2022-11-24T00:00:00"/>
    <x v="0"/>
    <x v="0"/>
    <s v="Headphones"/>
    <n v="33"/>
    <n v="2498.54"/>
    <s v="Female"/>
    <n v="5"/>
    <n v="6840.5"/>
    <n v="-4341.96"/>
    <x v="11"/>
    <s v="Q4"/>
    <n v="2022"/>
    <s v="COD"/>
  </r>
  <r>
    <d v="2023-04-15T00:00:00"/>
    <x v="0"/>
    <x v="0"/>
    <s v="Tablet"/>
    <n v="16"/>
    <n v="2508.1799999999998"/>
    <s v="Female"/>
    <n v="5"/>
    <n v="3918.62"/>
    <n v="-1410.44"/>
    <x v="3"/>
    <s v="Q2"/>
    <n v="2023"/>
    <s v="COD"/>
  </r>
  <r>
    <d v="2023-04-09T00:00:00"/>
    <x v="0"/>
    <x v="1"/>
    <s v="Sweater"/>
    <n v="29"/>
    <n v="2954.67"/>
    <s v="Male"/>
    <n v="2"/>
    <n v="2435.1799999999998"/>
    <n v="519.49"/>
    <x v="3"/>
    <s v="Q2"/>
    <n v="2023"/>
    <s v="COD"/>
  </r>
  <r>
    <d v="2023-10-22T00:00:00"/>
    <x v="1"/>
    <x v="1"/>
    <s v="Dress"/>
    <n v="26"/>
    <n v="10568.85"/>
    <s v="Male"/>
    <n v="1"/>
    <n v="622.84"/>
    <n v="9946.01"/>
    <x v="8"/>
    <s v="Q4"/>
    <n v="2023"/>
    <s v="COD"/>
  </r>
  <r>
    <d v="2023-06-22T00:00:00"/>
    <x v="1"/>
    <x v="0"/>
    <s v="Smartphone"/>
    <n v="14"/>
    <n v="5658.07"/>
    <s v="Female"/>
    <n v="2"/>
    <n v="818.8"/>
    <n v="4839.2700000000004"/>
    <x v="0"/>
    <s v="Q2"/>
    <n v="2023"/>
    <s v="COD"/>
  </r>
  <r>
    <d v="2022-05-20T00:00:00"/>
    <x v="1"/>
    <x v="1"/>
    <s v="Dress"/>
    <n v="20"/>
    <n v="8322.41"/>
    <s v="Female"/>
    <n v="3"/>
    <n v="3327.07"/>
    <n v="4995.34"/>
    <x v="4"/>
    <s v="Q2"/>
    <n v="2022"/>
    <s v="EMI"/>
  </r>
  <r>
    <d v="2023-04-13T00:00:00"/>
    <x v="2"/>
    <x v="1"/>
    <s v="Jeans"/>
    <n v="38"/>
    <n v="7339.99"/>
    <s v="Female"/>
    <n v="2"/>
    <n v="5818.78"/>
    <n v="1521.21"/>
    <x v="3"/>
    <s v="Q2"/>
    <n v="2023"/>
    <s v="Debit Card"/>
  </r>
  <r>
    <d v="2022-07-14T00:00:00"/>
    <x v="2"/>
    <x v="4"/>
    <s v="Beverages"/>
    <n v="7"/>
    <n v="1590.94"/>
    <s v="Male"/>
    <n v="3"/>
    <n v="42.35"/>
    <n v="1548.59"/>
    <x v="9"/>
    <s v="Q3"/>
    <n v="2022"/>
    <s v="UPI"/>
  </r>
  <r>
    <d v="2023-01-19T00:00:00"/>
    <x v="1"/>
    <x v="4"/>
    <s v="Grains"/>
    <n v="35"/>
    <n v="11263.52"/>
    <s v="Male"/>
    <n v="1"/>
    <n v="7263"/>
    <n v="4000.52"/>
    <x v="5"/>
    <s v="Q1"/>
    <n v="2023"/>
    <s v="COD"/>
  </r>
  <r>
    <d v="2023-09-28T00:00:00"/>
    <x v="0"/>
    <x v="1"/>
    <s v="Sweater"/>
    <n v="19"/>
    <n v="2796.6"/>
    <s v="Female"/>
    <n v="1"/>
    <n v="2528.44"/>
    <n v="268.16000000000003"/>
    <x v="7"/>
    <s v="Q3"/>
    <n v="2023"/>
    <s v="COD"/>
  </r>
  <r>
    <d v="2023-07-28T00:00:00"/>
    <x v="1"/>
    <x v="3"/>
    <s v="Chair"/>
    <n v="3"/>
    <n v="856.22"/>
    <s v="Female"/>
    <n v="5"/>
    <n v="314.85000000000002"/>
    <n v="541.37"/>
    <x v="9"/>
    <s v="Q3"/>
    <n v="2023"/>
    <s v="COD"/>
  </r>
  <r>
    <d v="2022-09-20T00:00:00"/>
    <x v="4"/>
    <x v="4"/>
    <s v="Produce"/>
    <n v="22"/>
    <n v="5503.13"/>
    <s v="Male"/>
    <n v="5"/>
    <n v="1176.48"/>
    <n v="4326.6499999999996"/>
    <x v="7"/>
    <s v="Q3"/>
    <n v="2022"/>
    <s v="Debit Card"/>
  </r>
  <r>
    <d v="2022-01-12T00:00:00"/>
    <x v="2"/>
    <x v="0"/>
    <s v="Smartphone"/>
    <n v="40"/>
    <n v="13807.58"/>
    <s v="Male"/>
    <n v="2"/>
    <n v="3375.88"/>
    <n v="10431.700000000001"/>
    <x v="5"/>
    <s v="Q1"/>
    <n v="2022"/>
    <s v="Debit Card"/>
  </r>
  <r>
    <d v="2023-01-31T00:00:00"/>
    <x v="3"/>
    <x v="1"/>
    <s v="Dress"/>
    <n v="7"/>
    <n v="767.65"/>
    <s v="Female"/>
    <n v="4"/>
    <n v="311.29000000000002"/>
    <n v="456.36"/>
    <x v="5"/>
    <s v="Q1"/>
    <n v="2023"/>
    <s v="COD"/>
  </r>
  <r>
    <d v="2022-09-03T00:00:00"/>
    <x v="0"/>
    <x v="0"/>
    <s v="Headphones"/>
    <n v="45"/>
    <n v="11830.81"/>
    <s v="Female"/>
    <n v="5"/>
    <n v="8881.5"/>
    <n v="2949.31"/>
    <x v="7"/>
    <s v="Q3"/>
    <n v="2022"/>
    <s v="UPI"/>
  </r>
  <r>
    <d v="2022-04-17T00:00:00"/>
    <x v="3"/>
    <x v="3"/>
    <s v="Chair"/>
    <n v="24"/>
    <n v="5008.9399999999996"/>
    <s v="Male"/>
    <n v="3"/>
    <n v="5836.38"/>
    <n v="-827.44"/>
    <x v="3"/>
    <s v="Q2"/>
    <n v="2022"/>
    <s v="UPI"/>
  </r>
  <r>
    <d v="2023-09-18T00:00:00"/>
    <x v="0"/>
    <x v="2"/>
    <s v="Sci-Fi"/>
    <n v="5"/>
    <n v="722.63"/>
    <s v="Female"/>
    <n v="4"/>
    <n v="524.29"/>
    <n v="198.34"/>
    <x v="7"/>
    <s v="Q3"/>
    <n v="2023"/>
    <s v="COD"/>
  </r>
  <r>
    <d v="2023-05-24T00:00:00"/>
    <x v="3"/>
    <x v="2"/>
    <s v="Fiction"/>
    <n v="17"/>
    <n v="2334.44"/>
    <s v="Female"/>
    <n v="1"/>
    <n v="4246.01"/>
    <n v="-1911.57"/>
    <x v="4"/>
    <s v="Q2"/>
    <n v="2023"/>
    <s v="Debit Card"/>
  </r>
  <r>
    <d v="2023-11-14T00:00:00"/>
    <x v="0"/>
    <x v="4"/>
    <s v="Snacks"/>
    <n v="10"/>
    <n v="2716.21"/>
    <s v="Female"/>
    <n v="2"/>
    <n v="1755.08"/>
    <n v="961.13"/>
    <x v="11"/>
    <s v="Q4"/>
    <n v="2023"/>
    <s v="COD"/>
  </r>
  <r>
    <d v="2023-01-22T00:00:00"/>
    <x v="0"/>
    <x v="0"/>
    <s v="Smartphone"/>
    <n v="8"/>
    <n v="508.86"/>
    <s v="Male"/>
    <n v="2"/>
    <n v="547.76"/>
    <n v="-38.9"/>
    <x v="5"/>
    <s v="Q1"/>
    <n v="2023"/>
    <s v="UPI"/>
  </r>
  <r>
    <d v="2023-07-24T00:00:00"/>
    <x v="4"/>
    <x v="4"/>
    <s v="Snacks"/>
    <n v="32"/>
    <n v="10133.14"/>
    <s v="Female"/>
    <n v="5"/>
    <n v="3991.78"/>
    <n v="6141.36"/>
    <x v="9"/>
    <s v="Q3"/>
    <n v="2023"/>
    <s v="COD"/>
  </r>
  <r>
    <d v="2022-10-13T00:00:00"/>
    <x v="0"/>
    <x v="4"/>
    <s v="Snacks"/>
    <n v="34"/>
    <n v="11349.27"/>
    <s v="Male"/>
    <n v="2"/>
    <n v="6944.08"/>
    <n v="4405.1899999999996"/>
    <x v="8"/>
    <s v="Q4"/>
    <n v="2022"/>
    <s v="Debit Card"/>
  </r>
  <r>
    <d v="2023-05-03T00:00:00"/>
    <x v="2"/>
    <x v="4"/>
    <s v="Produce"/>
    <n v="11"/>
    <n v="1611.29"/>
    <s v="Female"/>
    <n v="2"/>
    <n v="2495.19"/>
    <n v="-883.9"/>
    <x v="4"/>
    <s v="Q2"/>
    <n v="2023"/>
    <s v="Debit Card"/>
  </r>
  <r>
    <d v="2023-05-12T00:00:00"/>
    <x v="3"/>
    <x v="3"/>
    <s v="Rug"/>
    <n v="48"/>
    <n v="12956.18"/>
    <s v="Female"/>
    <n v="2"/>
    <n v="4388.87"/>
    <n v="8567.31"/>
    <x v="4"/>
    <s v="Q2"/>
    <n v="2023"/>
    <s v="UPI"/>
  </r>
  <r>
    <d v="2022-03-22T00:00:00"/>
    <x v="0"/>
    <x v="3"/>
    <s v="Chair"/>
    <n v="44"/>
    <n v="14710.25"/>
    <s v="Female"/>
    <n v="3"/>
    <n v="10431.969999999999"/>
    <n v="4278.28"/>
    <x v="1"/>
    <s v="Q1"/>
    <n v="2022"/>
    <s v="UPI"/>
  </r>
  <r>
    <d v="2023-04-15T00:00:00"/>
    <x v="0"/>
    <x v="0"/>
    <s v="Smartphone"/>
    <n v="20"/>
    <n v="6120.62"/>
    <s v="Female"/>
    <n v="5"/>
    <n v="4938.21"/>
    <n v="1182.4100000000001"/>
    <x v="3"/>
    <s v="Q2"/>
    <n v="2023"/>
    <s v="COD"/>
  </r>
  <r>
    <d v="2022-04-05T00:00:00"/>
    <x v="4"/>
    <x v="2"/>
    <s v="Non-Fiction"/>
    <n v="30"/>
    <n v="12238.16"/>
    <s v="Male"/>
    <n v="3"/>
    <n v="5166.46"/>
    <n v="7071.7"/>
    <x v="3"/>
    <s v="Q2"/>
    <n v="2022"/>
    <s v="Debit Card"/>
  </r>
  <r>
    <d v="2023-10-27T00:00:00"/>
    <x v="2"/>
    <x v="1"/>
    <s v="T-Shirt"/>
    <n v="39"/>
    <n v="15878.38"/>
    <s v="Female"/>
    <n v="5"/>
    <n v="8700.1299999999992"/>
    <n v="7178.25"/>
    <x v="8"/>
    <s v="Q4"/>
    <n v="2023"/>
    <s v="UPI"/>
  </r>
  <r>
    <d v="2022-12-30T00:00:00"/>
    <x v="2"/>
    <x v="4"/>
    <s v="Beverages"/>
    <n v="48"/>
    <n v="11575.7"/>
    <s v="Female"/>
    <n v="2"/>
    <n v="2800.13"/>
    <n v="8775.57"/>
    <x v="6"/>
    <s v="Q4"/>
    <n v="2022"/>
    <s v="COD"/>
  </r>
  <r>
    <d v="2022-07-02T00:00:00"/>
    <x v="0"/>
    <x v="4"/>
    <s v="Beverages"/>
    <n v="11"/>
    <n v="5056.49"/>
    <s v="Male"/>
    <n v="2"/>
    <n v="2258.36"/>
    <n v="2798.13"/>
    <x v="9"/>
    <s v="Q3"/>
    <n v="2022"/>
    <s v="COD"/>
  </r>
  <r>
    <d v="2023-09-02T00:00:00"/>
    <x v="1"/>
    <x v="1"/>
    <s v="Jeans"/>
    <n v="50"/>
    <n v="5122.82"/>
    <s v="Male"/>
    <n v="5"/>
    <n v="3850.83"/>
    <n v="1271.99"/>
    <x v="7"/>
    <s v="Q3"/>
    <n v="2023"/>
    <s v="UPI"/>
  </r>
  <r>
    <d v="2022-03-09T00:00:00"/>
    <x v="3"/>
    <x v="4"/>
    <s v="Beverages"/>
    <n v="34"/>
    <n v="3010.29"/>
    <s v="Female"/>
    <n v="5"/>
    <n v="249.44"/>
    <n v="2760.85"/>
    <x v="1"/>
    <s v="Q1"/>
    <n v="2022"/>
    <s v="UPI"/>
  </r>
  <r>
    <d v="2022-02-05T00:00:00"/>
    <x v="2"/>
    <x v="1"/>
    <s v="Jeans"/>
    <n v="49"/>
    <n v="21035.38"/>
    <s v="Female"/>
    <n v="4"/>
    <n v="5436.16"/>
    <n v="15599.22"/>
    <x v="2"/>
    <s v="Q1"/>
    <n v="2022"/>
    <s v="COD"/>
  </r>
  <r>
    <d v="2023-12-24T00:00:00"/>
    <x v="1"/>
    <x v="2"/>
    <s v="Non-Fiction"/>
    <n v="45"/>
    <n v="9868.15"/>
    <s v="Male"/>
    <n v="1"/>
    <n v="6419.07"/>
    <n v="3449.08"/>
    <x v="6"/>
    <s v="Q4"/>
    <n v="2023"/>
    <s v="COD"/>
  </r>
  <r>
    <d v="2022-11-04T00:00:00"/>
    <x v="0"/>
    <x v="1"/>
    <s v="Dress"/>
    <n v="26"/>
    <n v="2426.27"/>
    <s v="Male"/>
    <n v="5"/>
    <n v="5669.15"/>
    <n v="-3242.88"/>
    <x v="11"/>
    <s v="Q4"/>
    <n v="2022"/>
    <s v="COD"/>
  </r>
  <r>
    <d v="2023-07-22T00:00:00"/>
    <x v="1"/>
    <x v="0"/>
    <s v="Smartphone"/>
    <n v="29"/>
    <n v="12382.87"/>
    <s v="Male"/>
    <n v="2"/>
    <n v="6027.94"/>
    <n v="6354.93"/>
    <x v="9"/>
    <s v="Q3"/>
    <n v="2023"/>
    <s v="COD"/>
  </r>
  <r>
    <d v="2022-08-21T00:00:00"/>
    <x v="0"/>
    <x v="4"/>
    <s v="Snacks"/>
    <n v="34"/>
    <n v="3304.56"/>
    <s v="Male"/>
    <n v="1"/>
    <n v="7604.14"/>
    <n v="-4299.58"/>
    <x v="10"/>
    <s v="Q3"/>
    <n v="2022"/>
    <s v="COD"/>
  </r>
  <r>
    <d v="2023-10-01T00:00:00"/>
    <x v="3"/>
    <x v="4"/>
    <s v="Snacks"/>
    <n v="2"/>
    <n v="660.58"/>
    <s v="Female"/>
    <n v="4"/>
    <n v="370.75"/>
    <n v="289.83"/>
    <x v="8"/>
    <s v="Q4"/>
    <n v="2023"/>
    <s v="UPI"/>
  </r>
  <r>
    <d v="2023-10-06T00:00:00"/>
    <x v="0"/>
    <x v="4"/>
    <s v="Grains"/>
    <n v="34"/>
    <n v="14957.83"/>
    <s v="Female"/>
    <n v="5"/>
    <n v="4162.54"/>
    <n v="10795.29"/>
    <x v="8"/>
    <s v="Q4"/>
    <n v="2023"/>
    <s v="EMI"/>
  </r>
  <r>
    <d v="2022-06-12T00:00:00"/>
    <x v="4"/>
    <x v="2"/>
    <s v="Fiction"/>
    <n v="9"/>
    <n v="3427.58"/>
    <s v="Male"/>
    <n v="1"/>
    <n v="1400"/>
    <n v="2027.58"/>
    <x v="0"/>
    <s v="Q2"/>
    <n v="2022"/>
    <s v="EMI"/>
  </r>
  <r>
    <d v="2022-06-08T00:00:00"/>
    <x v="0"/>
    <x v="1"/>
    <s v="Sweater"/>
    <n v="18"/>
    <n v="2339.94"/>
    <s v="Female"/>
    <n v="2"/>
    <n v="1324.64"/>
    <n v="1015.3"/>
    <x v="0"/>
    <s v="Q2"/>
    <n v="2022"/>
    <s v="UPI"/>
  </r>
  <r>
    <d v="2022-01-17T00:00:00"/>
    <x v="0"/>
    <x v="0"/>
    <s v="Smartphone"/>
    <n v="28"/>
    <n v="3609.29"/>
    <s v="Male"/>
    <n v="4"/>
    <n v="5920.39"/>
    <n v="-2311.1"/>
    <x v="5"/>
    <s v="Q1"/>
    <n v="2022"/>
    <s v="Debit Card"/>
  </r>
  <r>
    <d v="2023-05-01T00:00:00"/>
    <x v="3"/>
    <x v="1"/>
    <s v="Jeans"/>
    <n v="1"/>
    <n v="86.89"/>
    <s v="Male"/>
    <n v="5"/>
    <n v="228.07"/>
    <n v="-141.18"/>
    <x v="4"/>
    <s v="Q2"/>
    <n v="2023"/>
    <s v="UPI"/>
  </r>
  <r>
    <d v="2023-09-20T00:00:00"/>
    <x v="1"/>
    <x v="1"/>
    <s v="Dress"/>
    <n v="27"/>
    <n v="9781.9599999999991"/>
    <s v="Male"/>
    <n v="3"/>
    <n v="1293.32"/>
    <n v="8488.64"/>
    <x v="7"/>
    <s v="Q3"/>
    <n v="2023"/>
    <s v="UPI"/>
  </r>
  <r>
    <d v="2023-08-18T00:00:00"/>
    <x v="2"/>
    <x v="0"/>
    <s v="Headphones"/>
    <n v="30"/>
    <n v="4713.5200000000004"/>
    <s v="Male"/>
    <n v="5"/>
    <n v="310.70999999999998"/>
    <n v="4402.8100000000004"/>
    <x v="10"/>
    <s v="Q3"/>
    <n v="2023"/>
    <s v="Debit Card"/>
  </r>
  <r>
    <d v="2023-01-18T00:00:00"/>
    <x v="2"/>
    <x v="2"/>
    <s v="Mystery"/>
    <n v="12"/>
    <n v="5965.05"/>
    <s v="Female"/>
    <n v="3"/>
    <n v="2284.89"/>
    <n v="3680.16"/>
    <x v="5"/>
    <s v="Q1"/>
    <n v="2023"/>
    <s v="EMI"/>
  </r>
  <r>
    <d v="2022-08-04T00:00:00"/>
    <x v="1"/>
    <x v="1"/>
    <s v="Dress"/>
    <n v="49"/>
    <n v="18009"/>
    <s v="Male"/>
    <n v="3"/>
    <n v="4702.1899999999996"/>
    <n v="13306.81"/>
    <x v="10"/>
    <s v="Q3"/>
    <n v="2022"/>
    <s v="Debit Card"/>
  </r>
  <r>
    <d v="2023-08-20T00:00:00"/>
    <x v="2"/>
    <x v="3"/>
    <s v="Rug"/>
    <n v="29"/>
    <n v="13085.25"/>
    <s v="Female"/>
    <n v="2"/>
    <n v="6460.21"/>
    <n v="6625.04"/>
    <x v="10"/>
    <s v="Q3"/>
    <n v="2023"/>
    <s v="COD"/>
  </r>
  <r>
    <d v="2023-03-04T00:00:00"/>
    <x v="2"/>
    <x v="2"/>
    <s v="Sci-Fi"/>
    <n v="11"/>
    <n v="2771.56"/>
    <s v="Male"/>
    <n v="4"/>
    <n v="1598.38"/>
    <n v="1173.18"/>
    <x v="1"/>
    <s v="Q1"/>
    <n v="2023"/>
    <s v="COD"/>
  </r>
  <r>
    <d v="2023-06-12T00:00:00"/>
    <x v="3"/>
    <x v="0"/>
    <s v="Smartphone"/>
    <n v="15"/>
    <n v="7290.65"/>
    <s v="Female"/>
    <n v="4"/>
    <n v="2499.88"/>
    <n v="4790.7700000000004"/>
    <x v="0"/>
    <s v="Q2"/>
    <n v="2023"/>
    <s v="UPI"/>
  </r>
  <r>
    <d v="2022-07-16T00:00:00"/>
    <x v="4"/>
    <x v="4"/>
    <s v="Grains"/>
    <n v="40"/>
    <n v="3993.48"/>
    <s v="Female"/>
    <n v="4"/>
    <n v="6377.09"/>
    <n v="-2383.61"/>
    <x v="9"/>
    <s v="Q3"/>
    <n v="2022"/>
    <s v="UPI"/>
  </r>
  <r>
    <d v="2023-10-29T00:00:00"/>
    <x v="3"/>
    <x v="2"/>
    <s v="Sci-Fi"/>
    <n v="17"/>
    <n v="6336.95"/>
    <s v="Male"/>
    <n v="4"/>
    <n v="434.83"/>
    <n v="5902.12"/>
    <x v="8"/>
    <s v="Q4"/>
    <n v="2023"/>
    <s v="EMI"/>
  </r>
  <r>
    <d v="2023-04-25T00:00:00"/>
    <x v="3"/>
    <x v="3"/>
    <s v="Rug"/>
    <n v="25"/>
    <n v="6257.77"/>
    <s v="Male"/>
    <n v="2"/>
    <n v="5119.9399999999996"/>
    <n v="1137.83"/>
    <x v="3"/>
    <s v="Q2"/>
    <n v="2023"/>
    <s v="COD"/>
  </r>
  <r>
    <d v="2022-01-12T00:00:00"/>
    <x v="0"/>
    <x v="2"/>
    <s v="Fiction"/>
    <n v="36"/>
    <n v="16891.71"/>
    <s v="Female"/>
    <n v="4"/>
    <n v="8124.85"/>
    <n v="8766.86"/>
    <x v="5"/>
    <s v="Q1"/>
    <n v="2022"/>
    <s v="EMI"/>
  </r>
  <r>
    <d v="2023-06-13T00:00:00"/>
    <x v="3"/>
    <x v="1"/>
    <s v="Jeans"/>
    <n v="16"/>
    <n v="3439.33"/>
    <s v="Female"/>
    <n v="3"/>
    <n v="2797.05"/>
    <n v="642.28"/>
    <x v="0"/>
    <s v="Q2"/>
    <n v="2023"/>
    <s v="COD"/>
  </r>
  <r>
    <d v="2022-11-15T00:00:00"/>
    <x v="3"/>
    <x v="0"/>
    <s v="Laptop"/>
    <n v="47"/>
    <n v="1981"/>
    <s v="Male"/>
    <n v="5"/>
    <n v="9354.83"/>
    <n v="-7373.83"/>
    <x v="11"/>
    <s v="Q4"/>
    <n v="2022"/>
    <s v="Credit Card"/>
  </r>
  <r>
    <d v="2023-06-15T00:00:00"/>
    <x v="1"/>
    <x v="3"/>
    <s v="Table"/>
    <n v="41"/>
    <n v="6554.41"/>
    <s v="Female"/>
    <n v="5"/>
    <n v="8826.39"/>
    <n v="-2271.98"/>
    <x v="0"/>
    <s v="Q2"/>
    <n v="2023"/>
    <s v="UPI"/>
  </r>
  <r>
    <d v="2023-01-08T00:00:00"/>
    <x v="0"/>
    <x v="1"/>
    <s v="Jeans"/>
    <n v="2"/>
    <n v="402.02"/>
    <s v="Female"/>
    <n v="5"/>
    <n v="484.28"/>
    <n v="-82.26"/>
    <x v="5"/>
    <s v="Q1"/>
    <n v="2023"/>
    <s v="UPI"/>
  </r>
  <r>
    <d v="2022-03-02T00:00:00"/>
    <x v="3"/>
    <x v="4"/>
    <s v="Snacks"/>
    <n v="2"/>
    <n v="509.77"/>
    <s v="Male"/>
    <n v="3"/>
    <n v="104.74"/>
    <n v="405.03"/>
    <x v="1"/>
    <s v="Q1"/>
    <n v="2022"/>
    <s v="COD"/>
  </r>
  <r>
    <d v="2022-08-14T00:00:00"/>
    <x v="3"/>
    <x v="1"/>
    <s v="Jeans"/>
    <n v="18"/>
    <n v="393.56"/>
    <s v="Male"/>
    <n v="1"/>
    <n v="3229.27"/>
    <n v="-2835.71"/>
    <x v="10"/>
    <s v="Q3"/>
    <n v="2022"/>
    <s v="Credit Card"/>
  </r>
  <r>
    <d v="2022-02-16T00:00:00"/>
    <x v="3"/>
    <x v="2"/>
    <s v="Fiction"/>
    <n v="44"/>
    <n v="13597.97"/>
    <s v="Female"/>
    <n v="1"/>
    <n v="8891.6200000000008"/>
    <n v="4706.3500000000004"/>
    <x v="2"/>
    <s v="Q1"/>
    <n v="2022"/>
    <s v="Credit Card"/>
  </r>
  <r>
    <d v="2023-03-04T00:00:00"/>
    <x v="0"/>
    <x v="0"/>
    <s v="Smartphone"/>
    <n v="30"/>
    <n v="2729.07"/>
    <s v="Male"/>
    <n v="5"/>
    <n v="662.28"/>
    <n v="2066.79"/>
    <x v="1"/>
    <s v="Q1"/>
    <n v="2023"/>
    <s v="Credit Card"/>
  </r>
  <r>
    <d v="2023-09-23T00:00:00"/>
    <x v="3"/>
    <x v="2"/>
    <s v="Fiction"/>
    <n v="7"/>
    <n v="988.2"/>
    <s v="Female"/>
    <n v="3"/>
    <n v="429.77"/>
    <n v="558.42999999999995"/>
    <x v="7"/>
    <s v="Q3"/>
    <n v="2023"/>
    <s v="EMI"/>
  </r>
  <r>
    <d v="2023-06-27T00:00:00"/>
    <x v="3"/>
    <x v="1"/>
    <s v="T-Shirt"/>
    <n v="23"/>
    <n v="9326.5499999999993"/>
    <s v="Male"/>
    <n v="4"/>
    <n v="2122.83"/>
    <n v="7203.72"/>
    <x v="0"/>
    <s v="Q2"/>
    <n v="2023"/>
    <s v="EMI"/>
  </r>
  <r>
    <d v="2023-03-12T00:00:00"/>
    <x v="3"/>
    <x v="3"/>
    <s v="Rug"/>
    <n v="43"/>
    <n v="13323.15"/>
    <s v="Female"/>
    <n v="3"/>
    <n v="4080.38"/>
    <n v="9242.77"/>
    <x v="1"/>
    <s v="Q1"/>
    <n v="2023"/>
    <s v="EMI"/>
  </r>
  <r>
    <d v="2022-05-10T00:00:00"/>
    <x v="0"/>
    <x v="3"/>
    <s v="Chair"/>
    <n v="34"/>
    <n v="11267.92"/>
    <s v="Female"/>
    <n v="1"/>
    <n v="3942.07"/>
    <n v="7325.85"/>
    <x v="4"/>
    <s v="Q2"/>
    <n v="2022"/>
    <s v="COD"/>
  </r>
  <r>
    <d v="2022-08-04T00:00:00"/>
    <x v="0"/>
    <x v="4"/>
    <s v="Snacks"/>
    <n v="49"/>
    <n v="10022.74"/>
    <s v="Male"/>
    <n v="2"/>
    <n v="3612.23"/>
    <n v="6410.51"/>
    <x v="10"/>
    <s v="Q3"/>
    <n v="2022"/>
    <s v="UPI"/>
  </r>
  <r>
    <d v="2022-07-09T00:00:00"/>
    <x v="1"/>
    <x v="3"/>
    <s v="Lamp"/>
    <n v="44"/>
    <n v="20710.12"/>
    <s v="Female"/>
    <n v="5"/>
    <n v="5785.26"/>
    <n v="14924.86"/>
    <x v="9"/>
    <s v="Q3"/>
    <n v="2022"/>
    <s v="EMI"/>
  </r>
  <r>
    <d v="2023-12-20T00:00:00"/>
    <x v="1"/>
    <x v="2"/>
    <s v="Non-Fiction"/>
    <n v="26"/>
    <n v="11061.31"/>
    <s v="Female"/>
    <n v="1"/>
    <n v="2224.39"/>
    <n v="8836.92"/>
    <x v="6"/>
    <s v="Q4"/>
    <n v="2023"/>
    <s v="COD"/>
  </r>
  <r>
    <d v="2022-02-04T00:00:00"/>
    <x v="4"/>
    <x v="0"/>
    <s v="Laptop"/>
    <n v="25"/>
    <n v="1332.45"/>
    <s v="Female"/>
    <n v="2"/>
    <n v="3465.83"/>
    <n v="-2133.38"/>
    <x v="2"/>
    <s v="Q1"/>
    <n v="2022"/>
    <s v="COD"/>
  </r>
  <r>
    <d v="2023-11-16T00:00:00"/>
    <x v="1"/>
    <x v="4"/>
    <s v="Grains"/>
    <n v="32"/>
    <n v="9886.06"/>
    <s v="Female"/>
    <n v="4"/>
    <n v="4713.2299999999996"/>
    <n v="5172.83"/>
    <x v="11"/>
    <s v="Q4"/>
    <n v="2023"/>
    <s v="UPI"/>
  </r>
  <r>
    <d v="2023-10-09T00:00:00"/>
    <x v="4"/>
    <x v="3"/>
    <s v="Rug"/>
    <n v="14"/>
    <n v="5358.84"/>
    <s v="Female"/>
    <n v="1"/>
    <n v="1531.83"/>
    <n v="3827.01"/>
    <x v="8"/>
    <s v="Q4"/>
    <n v="2023"/>
    <s v="COD"/>
  </r>
  <r>
    <d v="2023-08-18T00:00:00"/>
    <x v="4"/>
    <x v="4"/>
    <s v="Beverages"/>
    <n v="28"/>
    <n v="2609.33"/>
    <s v="Female"/>
    <n v="5"/>
    <n v="6198.92"/>
    <n v="-3589.59"/>
    <x v="10"/>
    <s v="Q3"/>
    <n v="2023"/>
    <s v="UPI"/>
  </r>
  <r>
    <d v="2023-06-18T00:00:00"/>
    <x v="3"/>
    <x v="4"/>
    <s v="Produce"/>
    <n v="44"/>
    <n v="7038.29"/>
    <s v="Female"/>
    <n v="5"/>
    <n v="3465.96"/>
    <n v="3572.33"/>
    <x v="0"/>
    <s v="Q2"/>
    <n v="2023"/>
    <s v="Debit Card"/>
  </r>
  <r>
    <d v="2022-11-16T00:00:00"/>
    <x v="0"/>
    <x v="1"/>
    <s v="Jeans"/>
    <n v="25"/>
    <n v="4071.63"/>
    <s v="Male"/>
    <n v="3"/>
    <n v="2900.33"/>
    <n v="1171.3"/>
    <x v="11"/>
    <s v="Q4"/>
    <n v="2022"/>
    <s v="UPI"/>
  </r>
  <r>
    <d v="2022-09-07T00:00:00"/>
    <x v="1"/>
    <x v="3"/>
    <s v="Lamp"/>
    <n v="50"/>
    <n v="13462.43"/>
    <s v="Female"/>
    <n v="3"/>
    <n v="6515.57"/>
    <n v="6946.86"/>
    <x v="7"/>
    <s v="Q3"/>
    <n v="2022"/>
    <s v="Debit Card"/>
  </r>
  <r>
    <d v="2022-10-25T00:00:00"/>
    <x v="3"/>
    <x v="2"/>
    <s v="Mystery"/>
    <n v="11"/>
    <n v="2435.17"/>
    <s v="Female"/>
    <n v="1"/>
    <n v="2392.9299999999998"/>
    <n v="42.24"/>
    <x v="8"/>
    <s v="Q4"/>
    <n v="2022"/>
    <s v="COD"/>
  </r>
  <r>
    <d v="2022-03-29T00:00:00"/>
    <x v="2"/>
    <x v="2"/>
    <s v="Sci-Fi"/>
    <n v="6"/>
    <n v="566.14"/>
    <s v="Male"/>
    <n v="2"/>
    <n v="327.48"/>
    <n v="238.66"/>
    <x v="1"/>
    <s v="Q1"/>
    <n v="2022"/>
    <s v="UPI"/>
  </r>
  <r>
    <d v="2022-04-29T00:00:00"/>
    <x v="0"/>
    <x v="1"/>
    <s v="Sweater"/>
    <n v="37"/>
    <n v="14806.1"/>
    <s v="Male"/>
    <n v="1"/>
    <n v="5570.69"/>
    <n v="9235.41"/>
    <x v="3"/>
    <s v="Q2"/>
    <n v="2022"/>
    <s v="Credit Card"/>
  </r>
  <r>
    <d v="2022-09-13T00:00:00"/>
    <x v="2"/>
    <x v="0"/>
    <s v="Smartphone"/>
    <n v="24"/>
    <n v="711.95"/>
    <s v="Female"/>
    <n v="5"/>
    <n v="1291.8499999999999"/>
    <n v="-579.9"/>
    <x v="7"/>
    <s v="Q3"/>
    <n v="2022"/>
    <s v="COD"/>
  </r>
  <r>
    <d v="2022-05-21T00:00:00"/>
    <x v="4"/>
    <x v="4"/>
    <s v="Beverages"/>
    <n v="30"/>
    <n v="14643.54"/>
    <s v="Female"/>
    <n v="1"/>
    <n v="5143.3"/>
    <n v="9500.24"/>
    <x v="4"/>
    <s v="Q2"/>
    <n v="2022"/>
    <s v="UPI"/>
  </r>
  <r>
    <d v="2023-11-26T00:00:00"/>
    <x v="1"/>
    <x v="4"/>
    <s v="Grains"/>
    <n v="25"/>
    <n v="1508.22"/>
    <s v="Male"/>
    <n v="1"/>
    <n v="1935.13"/>
    <n v="-426.91"/>
    <x v="11"/>
    <s v="Q4"/>
    <n v="2023"/>
    <s v="Credit Card"/>
  </r>
  <r>
    <d v="2022-10-08T00:00:00"/>
    <x v="0"/>
    <x v="3"/>
    <s v="Rug"/>
    <n v="14"/>
    <n v="3571.33"/>
    <s v="Male"/>
    <n v="4"/>
    <n v="2843.1"/>
    <n v="728.23"/>
    <x v="8"/>
    <s v="Q4"/>
    <n v="2022"/>
    <s v="UPI"/>
  </r>
  <r>
    <d v="2023-01-09T00:00:00"/>
    <x v="0"/>
    <x v="2"/>
    <s v="Non-Fiction"/>
    <n v="38"/>
    <n v="13702.55"/>
    <s v="Female"/>
    <n v="1"/>
    <n v="3028.47"/>
    <n v="10674.08"/>
    <x v="5"/>
    <s v="Q1"/>
    <n v="2023"/>
    <s v="UPI"/>
  </r>
  <r>
    <d v="2023-08-08T00:00:00"/>
    <x v="4"/>
    <x v="4"/>
    <s v="Snacks"/>
    <n v="16"/>
    <n v="356.27"/>
    <s v="Male"/>
    <n v="1"/>
    <n v="222.6"/>
    <n v="133.66999999999999"/>
    <x v="10"/>
    <s v="Q3"/>
    <n v="2023"/>
    <s v="COD"/>
  </r>
  <r>
    <d v="2023-08-29T00:00:00"/>
    <x v="2"/>
    <x v="3"/>
    <s v="Rug"/>
    <n v="27"/>
    <n v="12255.57"/>
    <s v="Female"/>
    <n v="5"/>
    <n v="3317.29"/>
    <n v="8938.2800000000007"/>
    <x v="10"/>
    <s v="Q3"/>
    <n v="2023"/>
    <s v="COD"/>
  </r>
  <r>
    <d v="2023-03-02T00:00:00"/>
    <x v="3"/>
    <x v="4"/>
    <s v="Produce"/>
    <n v="5"/>
    <n v="1624.64"/>
    <s v="Female"/>
    <n v="5"/>
    <n v="929.23"/>
    <n v="695.41"/>
    <x v="1"/>
    <s v="Q1"/>
    <n v="2023"/>
    <s v="Debit Card"/>
  </r>
  <r>
    <d v="2023-10-24T00:00:00"/>
    <x v="3"/>
    <x v="0"/>
    <s v="Tablet"/>
    <n v="20"/>
    <n v="4984.17"/>
    <s v="Female"/>
    <n v="5"/>
    <n v="1282.44"/>
    <n v="3701.73"/>
    <x v="8"/>
    <s v="Q4"/>
    <n v="2023"/>
    <s v="COD"/>
  </r>
  <r>
    <d v="2023-06-05T00:00:00"/>
    <x v="3"/>
    <x v="2"/>
    <s v="Mystery"/>
    <n v="44"/>
    <n v="9728.39"/>
    <s v="Male"/>
    <n v="5"/>
    <n v="3524.92"/>
    <n v="6203.47"/>
    <x v="0"/>
    <s v="Q2"/>
    <n v="2023"/>
    <s v="Debit Card"/>
  </r>
  <r>
    <d v="2023-03-24T00:00:00"/>
    <x v="1"/>
    <x v="1"/>
    <s v="T-Shirt"/>
    <n v="22"/>
    <n v="7863.48"/>
    <s v="Female"/>
    <n v="5"/>
    <n v="5176.87"/>
    <n v="2686.61"/>
    <x v="1"/>
    <s v="Q1"/>
    <n v="2023"/>
    <s v="COD"/>
  </r>
  <r>
    <d v="2022-03-13T00:00:00"/>
    <x v="4"/>
    <x v="1"/>
    <s v="Sweater"/>
    <n v="17"/>
    <n v="6103.41"/>
    <s v="Male"/>
    <n v="3"/>
    <n v="4059.81"/>
    <n v="2043.6"/>
    <x v="1"/>
    <s v="Q1"/>
    <n v="2022"/>
    <s v="UPI"/>
  </r>
  <r>
    <d v="2022-11-05T00:00:00"/>
    <x v="2"/>
    <x v="3"/>
    <s v="Chair"/>
    <n v="45"/>
    <n v="987.45"/>
    <s v="Female"/>
    <n v="1"/>
    <n v="4150.16"/>
    <n v="-3162.71"/>
    <x v="11"/>
    <s v="Q4"/>
    <n v="2022"/>
    <s v="COD"/>
  </r>
  <r>
    <d v="2023-07-02T00:00:00"/>
    <x v="3"/>
    <x v="0"/>
    <s v="Tablet"/>
    <n v="23"/>
    <n v="9730.5400000000009"/>
    <s v="Male"/>
    <n v="5"/>
    <n v="5530.56"/>
    <n v="4199.9799999999996"/>
    <x v="9"/>
    <s v="Q3"/>
    <n v="2023"/>
    <s v="Credit Card"/>
  </r>
  <r>
    <d v="2022-06-01T00:00:00"/>
    <x v="2"/>
    <x v="4"/>
    <s v="Snacks"/>
    <n v="5"/>
    <n v="971.15"/>
    <s v="Female"/>
    <n v="1"/>
    <n v="724.91"/>
    <n v="246.24"/>
    <x v="0"/>
    <s v="Q2"/>
    <n v="2022"/>
    <s v="Debit Card"/>
  </r>
  <r>
    <d v="2022-10-19T00:00:00"/>
    <x v="4"/>
    <x v="4"/>
    <s v="Snacks"/>
    <n v="44"/>
    <n v="21862.26"/>
    <s v="Male"/>
    <n v="1"/>
    <n v="585.84"/>
    <n v="21276.42"/>
    <x v="8"/>
    <s v="Q4"/>
    <n v="2022"/>
    <s v="Credit Card"/>
  </r>
  <r>
    <d v="2022-09-08T00:00:00"/>
    <x v="2"/>
    <x v="2"/>
    <s v="Non-Fiction"/>
    <n v="18"/>
    <n v="2700.56"/>
    <s v="Female"/>
    <n v="5"/>
    <n v="1054.21"/>
    <n v="1646.35"/>
    <x v="7"/>
    <s v="Q3"/>
    <n v="2022"/>
    <s v="UPI"/>
  </r>
  <r>
    <d v="2023-09-10T00:00:00"/>
    <x v="3"/>
    <x v="4"/>
    <s v="Grains"/>
    <n v="22"/>
    <n v="9881.43"/>
    <s v="Female"/>
    <n v="3"/>
    <n v="4616.08"/>
    <n v="5265.35"/>
    <x v="7"/>
    <s v="Q3"/>
    <n v="2023"/>
    <s v="COD"/>
  </r>
  <r>
    <d v="2022-10-29T00:00:00"/>
    <x v="1"/>
    <x v="0"/>
    <s v="Headphones"/>
    <n v="6"/>
    <n v="1197.3499999999999"/>
    <s v="Female"/>
    <n v="2"/>
    <n v="1161.17"/>
    <n v="36.18"/>
    <x v="8"/>
    <s v="Q4"/>
    <n v="2022"/>
    <s v="COD"/>
  </r>
  <r>
    <d v="2022-07-13T00:00:00"/>
    <x v="4"/>
    <x v="3"/>
    <s v="Rug"/>
    <n v="14"/>
    <n v="3757.52"/>
    <s v="Female"/>
    <n v="3"/>
    <n v="3062.72"/>
    <n v="694.8"/>
    <x v="9"/>
    <s v="Q3"/>
    <n v="2022"/>
    <s v="Debit Card"/>
  </r>
  <r>
    <d v="2023-06-25T00:00:00"/>
    <x v="0"/>
    <x v="2"/>
    <s v="Fiction"/>
    <n v="9"/>
    <n v="2298.7399999999998"/>
    <s v="Male"/>
    <n v="4"/>
    <n v="1839.67"/>
    <n v="459.07"/>
    <x v="0"/>
    <s v="Q2"/>
    <n v="2023"/>
    <s v="Credit Card"/>
  </r>
  <r>
    <d v="2022-05-24T00:00:00"/>
    <x v="2"/>
    <x v="1"/>
    <s v="Jeans"/>
    <n v="3"/>
    <n v="330.77"/>
    <s v="Male"/>
    <n v="5"/>
    <n v="673.43"/>
    <n v="-342.66"/>
    <x v="4"/>
    <s v="Q2"/>
    <n v="2022"/>
    <s v="COD"/>
  </r>
  <r>
    <d v="2022-01-07T00:00:00"/>
    <x v="0"/>
    <x v="2"/>
    <s v="Sci-Fi"/>
    <n v="27"/>
    <n v="4050.84"/>
    <s v="Male"/>
    <n v="1"/>
    <n v="5158.87"/>
    <n v="-1108.03"/>
    <x v="5"/>
    <s v="Q1"/>
    <n v="2022"/>
    <s v="Debit Card"/>
  </r>
  <r>
    <d v="2022-02-22T00:00:00"/>
    <x v="4"/>
    <x v="3"/>
    <s v="Chair"/>
    <n v="37"/>
    <n v="11784.37"/>
    <s v="Male"/>
    <n v="4"/>
    <n v="7448.69"/>
    <n v="4335.68"/>
    <x v="2"/>
    <s v="Q1"/>
    <n v="2022"/>
    <s v="COD"/>
  </r>
  <r>
    <d v="2023-05-26T00:00:00"/>
    <x v="0"/>
    <x v="3"/>
    <s v="Rug"/>
    <n v="50"/>
    <n v="22208.65"/>
    <s v="Male"/>
    <n v="4"/>
    <n v="2235.31"/>
    <n v="19973.34"/>
    <x v="4"/>
    <s v="Q2"/>
    <n v="2023"/>
    <s v="COD"/>
  </r>
  <r>
    <d v="2022-07-08T00:00:00"/>
    <x v="2"/>
    <x v="4"/>
    <s v="Snacks"/>
    <n v="16"/>
    <n v="7823.09"/>
    <s v="Female"/>
    <n v="5"/>
    <n v="1841.1"/>
    <n v="5981.99"/>
    <x v="9"/>
    <s v="Q3"/>
    <n v="2022"/>
    <s v="COD"/>
  </r>
  <r>
    <d v="2023-12-12T00:00:00"/>
    <x v="4"/>
    <x v="0"/>
    <s v="Laptop"/>
    <n v="21"/>
    <n v="4917.9399999999996"/>
    <s v="Male"/>
    <n v="2"/>
    <n v="997.68"/>
    <n v="3920.26"/>
    <x v="6"/>
    <s v="Q4"/>
    <n v="2023"/>
    <s v="Credit Card"/>
  </r>
  <r>
    <d v="2023-02-22T00:00:00"/>
    <x v="1"/>
    <x v="0"/>
    <s v="Headphones"/>
    <n v="6"/>
    <n v="2941.29"/>
    <s v="Male"/>
    <n v="4"/>
    <n v="228.99"/>
    <n v="2712.3"/>
    <x v="2"/>
    <s v="Q1"/>
    <n v="2023"/>
    <s v="Credit Card"/>
  </r>
  <r>
    <d v="2022-10-26T00:00:00"/>
    <x v="3"/>
    <x v="2"/>
    <s v="Non-Fiction"/>
    <n v="42"/>
    <n v="20284.099999999999"/>
    <s v="Male"/>
    <n v="5"/>
    <n v="1043.05"/>
    <n v="19241.05"/>
    <x v="8"/>
    <s v="Q4"/>
    <n v="2022"/>
    <s v="UPI"/>
  </r>
  <r>
    <d v="2023-07-15T00:00:00"/>
    <x v="0"/>
    <x v="4"/>
    <s v="Produce"/>
    <n v="19"/>
    <n v="849.73"/>
    <s v="Male"/>
    <n v="3"/>
    <n v="3724.59"/>
    <n v="-2874.86"/>
    <x v="9"/>
    <s v="Q3"/>
    <n v="2023"/>
    <s v="Credit Card"/>
  </r>
  <r>
    <d v="2022-06-28T00:00:00"/>
    <x v="1"/>
    <x v="1"/>
    <s v="T-Shirt"/>
    <n v="8"/>
    <n v="2037.82"/>
    <s v="Male"/>
    <n v="5"/>
    <n v="1048.6300000000001"/>
    <n v="989.19"/>
    <x v="0"/>
    <s v="Q2"/>
    <n v="2022"/>
    <s v="Credit Card"/>
  </r>
  <r>
    <d v="2022-11-17T00:00:00"/>
    <x v="4"/>
    <x v="4"/>
    <s v="Beverages"/>
    <n v="9"/>
    <n v="3121.03"/>
    <s v="Female"/>
    <n v="3"/>
    <n v="805.45"/>
    <n v="2315.58"/>
    <x v="11"/>
    <s v="Q4"/>
    <n v="2022"/>
    <s v="COD"/>
  </r>
  <r>
    <d v="2023-05-08T00:00:00"/>
    <x v="3"/>
    <x v="1"/>
    <s v="T-Shirt"/>
    <n v="5"/>
    <n v="1664.36"/>
    <s v="Male"/>
    <n v="5"/>
    <n v="799.22"/>
    <n v="865.14"/>
    <x v="4"/>
    <s v="Q2"/>
    <n v="2023"/>
    <s v="UPI"/>
  </r>
  <r>
    <d v="2023-08-01T00:00:00"/>
    <x v="1"/>
    <x v="3"/>
    <s v="Chair"/>
    <n v="31"/>
    <n v="5694.37"/>
    <s v="Male"/>
    <n v="2"/>
    <n v="6482.92"/>
    <n v="-788.55"/>
    <x v="10"/>
    <s v="Q3"/>
    <n v="2023"/>
    <s v="COD"/>
  </r>
  <r>
    <d v="2022-11-10T00:00:00"/>
    <x v="4"/>
    <x v="0"/>
    <s v="Headphones"/>
    <n v="8"/>
    <n v="930.38"/>
    <s v="Male"/>
    <n v="2"/>
    <n v="1324.41"/>
    <n v="-394.03"/>
    <x v="11"/>
    <s v="Q4"/>
    <n v="2022"/>
    <s v="EMI"/>
  </r>
  <r>
    <d v="2023-03-24T00:00:00"/>
    <x v="1"/>
    <x v="0"/>
    <s v="Laptop"/>
    <n v="33"/>
    <n v="4160.54"/>
    <s v="Male"/>
    <n v="3"/>
    <n v="788.61"/>
    <n v="3371.93"/>
    <x v="1"/>
    <s v="Q1"/>
    <n v="2023"/>
    <s v="EMI"/>
  </r>
  <r>
    <d v="2022-04-01T00:00:00"/>
    <x v="3"/>
    <x v="3"/>
    <s v="Rug"/>
    <n v="11"/>
    <n v="5093.3100000000004"/>
    <s v="Male"/>
    <n v="4"/>
    <n v="321.51"/>
    <n v="4771.8"/>
    <x v="3"/>
    <s v="Q2"/>
    <n v="2022"/>
    <s v="EMI"/>
  </r>
  <r>
    <d v="2023-12-16T00:00:00"/>
    <x v="2"/>
    <x v="0"/>
    <s v="Tablet"/>
    <n v="44"/>
    <n v="18112.36"/>
    <s v="Female"/>
    <n v="3"/>
    <n v="3283.42"/>
    <n v="14828.94"/>
    <x v="6"/>
    <s v="Q4"/>
    <n v="2023"/>
    <s v="COD"/>
  </r>
  <r>
    <d v="2023-07-10T00:00:00"/>
    <x v="1"/>
    <x v="4"/>
    <s v="Beverages"/>
    <n v="3"/>
    <n v="971.88"/>
    <s v="Male"/>
    <n v="2"/>
    <n v="75.31"/>
    <n v="896.57"/>
    <x v="9"/>
    <s v="Q3"/>
    <n v="2023"/>
    <s v="COD"/>
  </r>
  <r>
    <d v="2023-11-29T00:00:00"/>
    <x v="1"/>
    <x v="4"/>
    <s v="Produce"/>
    <n v="27"/>
    <n v="5562.07"/>
    <s v="Male"/>
    <n v="2"/>
    <n v="6236.09"/>
    <n v="-674.02"/>
    <x v="11"/>
    <s v="Q4"/>
    <n v="2023"/>
    <s v="EMI"/>
  </r>
  <r>
    <d v="2023-02-06T00:00:00"/>
    <x v="4"/>
    <x v="3"/>
    <s v="Table"/>
    <n v="18"/>
    <n v="5972.55"/>
    <s v="Male"/>
    <n v="2"/>
    <n v="1488.77"/>
    <n v="4483.78"/>
    <x v="2"/>
    <s v="Q1"/>
    <n v="2023"/>
    <s v="COD"/>
  </r>
  <r>
    <d v="2022-08-12T00:00:00"/>
    <x v="0"/>
    <x v="1"/>
    <s v="T-Shirt"/>
    <n v="48"/>
    <n v="11662.84"/>
    <s v="Female"/>
    <n v="5"/>
    <n v="4307.4799999999996"/>
    <n v="7355.36"/>
    <x v="10"/>
    <s v="Q3"/>
    <n v="2022"/>
    <s v="Credit Card"/>
  </r>
  <r>
    <d v="2022-07-13T00:00:00"/>
    <x v="4"/>
    <x v="2"/>
    <s v="Mystery"/>
    <n v="40"/>
    <n v="11796.11"/>
    <s v="Male"/>
    <n v="5"/>
    <n v="551.89"/>
    <n v="11244.22"/>
    <x v="9"/>
    <s v="Q3"/>
    <n v="2022"/>
    <s v="COD"/>
  </r>
  <r>
    <d v="2023-04-23T00:00:00"/>
    <x v="1"/>
    <x v="4"/>
    <s v="Produce"/>
    <n v="26"/>
    <n v="3443.25"/>
    <s v="Female"/>
    <n v="5"/>
    <n v="874.16"/>
    <n v="2569.09"/>
    <x v="3"/>
    <s v="Q2"/>
    <n v="2023"/>
    <s v="Credit Card"/>
  </r>
  <r>
    <d v="2022-11-01T00:00:00"/>
    <x v="0"/>
    <x v="0"/>
    <s v="Laptop"/>
    <n v="15"/>
    <n v="4165.67"/>
    <s v="Female"/>
    <n v="4"/>
    <n v="1497.88"/>
    <n v="2667.79"/>
    <x v="11"/>
    <s v="Q4"/>
    <n v="2022"/>
    <s v="Credit Card"/>
  </r>
  <r>
    <d v="2022-03-16T00:00:00"/>
    <x v="3"/>
    <x v="3"/>
    <s v="Lamp"/>
    <n v="24"/>
    <n v="10085.26"/>
    <s v="Male"/>
    <n v="3"/>
    <n v="2719.09"/>
    <n v="7366.17"/>
    <x v="1"/>
    <s v="Q1"/>
    <n v="2022"/>
    <s v="Credit Card"/>
  </r>
  <r>
    <d v="2023-04-20T00:00:00"/>
    <x v="0"/>
    <x v="2"/>
    <s v="Non-Fiction"/>
    <n v="29"/>
    <n v="1873.73"/>
    <s v="Female"/>
    <n v="3"/>
    <n v="2370.1"/>
    <n v="-496.37"/>
    <x v="3"/>
    <s v="Q2"/>
    <n v="2023"/>
    <s v="Credit Card"/>
  </r>
  <r>
    <d v="2022-04-25T00:00:00"/>
    <x v="2"/>
    <x v="1"/>
    <s v="Dress"/>
    <n v="44"/>
    <n v="1538.52"/>
    <s v="Female"/>
    <n v="1"/>
    <n v="3035.13"/>
    <n v="-1496.61"/>
    <x v="3"/>
    <s v="Q2"/>
    <n v="2022"/>
    <s v="COD"/>
  </r>
  <r>
    <d v="2023-11-13T00:00:00"/>
    <x v="0"/>
    <x v="3"/>
    <s v="Chair"/>
    <n v="19"/>
    <n v="232.48"/>
    <s v="Male"/>
    <n v="4"/>
    <n v="3749.57"/>
    <n v="-3517.09"/>
    <x v="11"/>
    <s v="Q4"/>
    <n v="2023"/>
    <s v="Credit Card"/>
  </r>
  <r>
    <d v="2022-06-19T00:00:00"/>
    <x v="3"/>
    <x v="2"/>
    <s v="Sci-Fi"/>
    <n v="3"/>
    <n v="230.84"/>
    <s v="Male"/>
    <n v="3"/>
    <n v="318.62"/>
    <n v="-87.78"/>
    <x v="0"/>
    <s v="Q2"/>
    <n v="2022"/>
    <s v="Credit Card"/>
  </r>
  <r>
    <d v="2022-03-12T00:00:00"/>
    <x v="0"/>
    <x v="2"/>
    <s v="Fiction"/>
    <n v="22"/>
    <n v="5054.42"/>
    <s v="Female"/>
    <n v="5"/>
    <n v="1672.84"/>
    <n v="3381.58"/>
    <x v="1"/>
    <s v="Q1"/>
    <n v="2022"/>
    <s v="Credit Card"/>
  </r>
  <r>
    <d v="2022-02-16T00:00:00"/>
    <x v="3"/>
    <x v="1"/>
    <s v="Sweater"/>
    <n v="12"/>
    <n v="4662.7700000000004"/>
    <s v="Male"/>
    <n v="2"/>
    <n v="2744.4"/>
    <n v="1918.37"/>
    <x v="2"/>
    <s v="Q1"/>
    <n v="2022"/>
    <s v="COD"/>
  </r>
  <r>
    <d v="2022-04-20T00:00:00"/>
    <x v="3"/>
    <x v="0"/>
    <s v="Headphones"/>
    <n v="24"/>
    <n v="624.41"/>
    <s v="Female"/>
    <n v="4"/>
    <n v="2733.08"/>
    <n v="-2108.67"/>
    <x v="3"/>
    <s v="Q2"/>
    <n v="2022"/>
    <s v="COD"/>
  </r>
  <r>
    <d v="2022-06-11T00:00:00"/>
    <x v="4"/>
    <x v="0"/>
    <s v="Tablet"/>
    <n v="45"/>
    <n v="14749.72"/>
    <s v="Male"/>
    <n v="2"/>
    <n v="6947.97"/>
    <n v="7801.75"/>
    <x v="0"/>
    <s v="Q2"/>
    <n v="2022"/>
    <s v="COD"/>
  </r>
  <r>
    <d v="2022-05-04T00:00:00"/>
    <x v="0"/>
    <x v="3"/>
    <s v="Table"/>
    <n v="47"/>
    <n v="13098.96"/>
    <s v="Female"/>
    <n v="5"/>
    <n v="10613.33"/>
    <n v="2485.63"/>
    <x v="4"/>
    <s v="Q2"/>
    <n v="2022"/>
    <s v="Credit Card"/>
  </r>
  <r>
    <d v="2022-10-14T00:00:00"/>
    <x v="4"/>
    <x v="3"/>
    <s v="Lamp"/>
    <n v="11"/>
    <n v="3283.24"/>
    <s v="Male"/>
    <n v="1"/>
    <n v="1846.25"/>
    <n v="1436.99"/>
    <x v="8"/>
    <s v="Q4"/>
    <n v="2022"/>
    <s v="Debit Card"/>
  </r>
  <r>
    <d v="2022-11-02T00:00:00"/>
    <x v="1"/>
    <x v="4"/>
    <s v="Beverages"/>
    <n v="8"/>
    <n v="1034.99"/>
    <s v="Male"/>
    <n v="5"/>
    <n v="1510.43"/>
    <n v="-475.44"/>
    <x v="11"/>
    <s v="Q4"/>
    <n v="2022"/>
    <s v="UPI"/>
  </r>
  <r>
    <d v="2023-02-07T00:00:00"/>
    <x v="3"/>
    <x v="1"/>
    <s v="Jeans"/>
    <n v="38"/>
    <n v="1645.74"/>
    <s v="Female"/>
    <n v="4"/>
    <n v="2630.16"/>
    <n v="-984.42"/>
    <x v="2"/>
    <s v="Q1"/>
    <n v="2023"/>
    <s v="Debit Card"/>
  </r>
  <r>
    <d v="2022-12-11T00:00:00"/>
    <x v="2"/>
    <x v="0"/>
    <s v="Tablet"/>
    <n v="33"/>
    <n v="13465.91"/>
    <s v="Male"/>
    <n v="2"/>
    <n v="7255.85"/>
    <n v="6210.06"/>
    <x v="6"/>
    <s v="Q4"/>
    <n v="2022"/>
    <s v="COD"/>
  </r>
  <r>
    <d v="2022-07-07T00:00:00"/>
    <x v="1"/>
    <x v="4"/>
    <s v="Snacks"/>
    <n v="16"/>
    <n v="1462.89"/>
    <s v="Male"/>
    <n v="4"/>
    <n v="991.24"/>
    <n v="471.65"/>
    <x v="9"/>
    <s v="Q3"/>
    <n v="2022"/>
    <s v="Credit Card"/>
  </r>
  <r>
    <d v="2023-11-23T00:00:00"/>
    <x v="0"/>
    <x v="4"/>
    <s v="Produce"/>
    <n v="19"/>
    <n v="1487.91"/>
    <s v="Male"/>
    <n v="1"/>
    <n v="4063.34"/>
    <n v="-2575.4299999999998"/>
    <x v="11"/>
    <s v="Q4"/>
    <n v="2023"/>
    <s v="UPI"/>
  </r>
  <r>
    <d v="2022-01-27T00:00:00"/>
    <x v="2"/>
    <x v="0"/>
    <s v="Tablet"/>
    <n v="29"/>
    <n v="6338.53"/>
    <s v="Male"/>
    <n v="2"/>
    <n v="2869.25"/>
    <n v="3469.28"/>
    <x v="5"/>
    <s v="Q1"/>
    <n v="2022"/>
    <s v="Credit Card"/>
  </r>
  <r>
    <d v="2022-05-01T00:00:00"/>
    <x v="3"/>
    <x v="3"/>
    <s v="Chair"/>
    <n v="21"/>
    <n v="8583.2800000000007"/>
    <s v="Male"/>
    <n v="2"/>
    <n v="4980.34"/>
    <n v="3602.94"/>
    <x v="4"/>
    <s v="Q2"/>
    <n v="2022"/>
    <s v="UPI"/>
  </r>
  <r>
    <d v="2023-09-10T00:00:00"/>
    <x v="4"/>
    <x v="3"/>
    <s v="Chair"/>
    <n v="36"/>
    <n v="4432.3"/>
    <s v="Male"/>
    <n v="2"/>
    <n v="2329.0100000000002"/>
    <n v="2103.29"/>
    <x v="7"/>
    <s v="Q3"/>
    <n v="2023"/>
    <s v="Credit Card"/>
  </r>
  <r>
    <d v="2022-04-08T00:00:00"/>
    <x v="0"/>
    <x v="4"/>
    <s v="Snacks"/>
    <n v="18"/>
    <n v="3066.27"/>
    <s v="Male"/>
    <n v="1"/>
    <n v="3094.28"/>
    <n v="-28.01"/>
    <x v="3"/>
    <s v="Q2"/>
    <n v="2022"/>
    <s v="UPI"/>
  </r>
  <r>
    <d v="2022-02-14T00:00:00"/>
    <x v="4"/>
    <x v="2"/>
    <s v="Mystery"/>
    <n v="32"/>
    <n v="8979.24"/>
    <s v="Male"/>
    <n v="3"/>
    <n v="4108.24"/>
    <n v="4871"/>
    <x v="2"/>
    <s v="Q1"/>
    <n v="2022"/>
    <s v="UPI"/>
  </r>
  <r>
    <d v="2023-09-21T00:00:00"/>
    <x v="2"/>
    <x v="3"/>
    <s v="Table"/>
    <n v="33"/>
    <n v="13901.74"/>
    <s v="Male"/>
    <n v="4"/>
    <n v="3080.71"/>
    <n v="10821.03"/>
    <x v="7"/>
    <s v="Q3"/>
    <n v="2023"/>
    <s v="UPI"/>
  </r>
  <r>
    <d v="2022-01-30T00:00:00"/>
    <x v="1"/>
    <x v="0"/>
    <s v="Smartphone"/>
    <n v="18"/>
    <n v="8886.74"/>
    <s v="Male"/>
    <n v="5"/>
    <n v="150.71"/>
    <n v="8736.0300000000007"/>
    <x v="5"/>
    <s v="Q1"/>
    <n v="2022"/>
    <s v="UPI"/>
  </r>
  <r>
    <d v="2022-01-26T00:00:00"/>
    <x v="0"/>
    <x v="4"/>
    <s v="Snacks"/>
    <n v="44"/>
    <n v="16606.25"/>
    <s v="Female"/>
    <n v="2"/>
    <n v="5384.56"/>
    <n v="11221.69"/>
    <x v="5"/>
    <s v="Q1"/>
    <n v="2022"/>
    <s v="UPI"/>
  </r>
  <r>
    <d v="2023-09-14T00:00:00"/>
    <x v="3"/>
    <x v="2"/>
    <s v="Sci-Fi"/>
    <n v="25"/>
    <n v="2090.17"/>
    <s v="Female"/>
    <n v="1"/>
    <n v="6146.21"/>
    <n v="-4056.04"/>
    <x v="7"/>
    <s v="Q3"/>
    <n v="2023"/>
    <s v="COD"/>
  </r>
  <r>
    <d v="2023-09-21T00:00:00"/>
    <x v="2"/>
    <x v="2"/>
    <s v="Non-Fiction"/>
    <n v="40"/>
    <n v="15182.68"/>
    <s v="Female"/>
    <n v="2"/>
    <n v="7612.41"/>
    <n v="7570.27"/>
    <x v="7"/>
    <s v="Q3"/>
    <n v="2023"/>
    <s v="UPI"/>
  </r>
  <r>
    <d v="2022-06-30T00:00:00"/>
    <x v="2"/>
    <x v="4"/>
    <s v="Produce"/>
    <n v="15"/>
    <n v="6592"/>
    <s v="Male"/>
    <n v="1"/>
    <n v="2103.9299999999998"/>
    <n v="4488.07"/>
    <x v="0"/>
    <s v="Q2"/>
    <n v="2022"/>
    <s v="UPI"/>
  </r>
  <r>
    <d v="2023-01-12T00:00:00"/>
    <x v="2"/>
    <x v="1"/>
    <s v="Sweater"/>
    <n v="29"/>
    <n v="6649.41"/>
    <s v="Female"/>
    <n v="2"/>
    <n v="3343.44"/>
    <n v="3305.97"/>
    <x v="5"/>
    <s v="Q1"/>
    <n v="2023"/>
    <s v="COD"/>
  </r>
  <r>
    <d v="2022-12-19T00:00:00"/>
    <x v="1"/>
    <x v="4"/>
    <s v="Beverages"/>
    <n v="40"/>
    <n v="12095.54"/>
    <s v="Female"/>
    <n v="2"/>
    <n v="7155.74"/>
    <n v="4939.8"/>
    <x v="6"/>
    <s v="Q4"/>
    <n v="2022"/>
    <s v="Debit Card"/>
  </r>
  <r>
    <d v="2022-12-05T00:00:00"/>
    <x v="4"/>
    <x v="0"/>
    <s v="Laptop"/>
    <n v="33"/>
    <n v="3183.44"/>
    <s v="Female"/>
    <n v="3"/>
    <n v="3682.59"/>
    <n v="-499.15"/>
    <x v="6"/>
    <s v="Q4"/>
    <n v="2022"/>
    <s v="COD"/>
  </r>
  <r>
    <d v="2022-02-28T00:00:00"/>
    <x v="4"/>
    <x v="1"/>
    <s v="T-Shirt"/>
    <n v="36"/>
    <n v="4646.59"/>
    <s v="Female"/>
    <n v="5"/>
    <n v="5945.21"/>
    <n v="-1298.6199999999999"/>
    <x v="2"/>
    <s v="Q1"/>
    <n v="2022"/>
    <s v="COD"/>
  </r>
  <r>
    <d v="2022-07-09T00:00:00"/>
    <x v="1"/>
    <x v="4"/>
    <s v="Grains"/>
    <n v="6"/>
    <n v="616.47"/>
    <s v="Male"/>
    <n v="3"/>
    <n v="1205.5999999999999"/>
    <n v="-589.13"/>
    <x v="9"/>
    <s v="Q3"/>
    <n v="2022"/>
    <s v="COD"/>
  </r>
  <r>
    <d v="2022-08-26T00:00:00"/>
    <x v="4"/>
    <x v="2"/>
    <s v="Fiction"/>
    <n v="18"/>
    <n v="6951.06"/>
    <s v="Female"/>
    <n v="2"/>
    <n v="2441.6"/>
    <n v="4509.46"/>
    <x v="10"/>
    <s v="Q3"/>
    <n v="2022"/>
    <s v="COD"/>
  </r>
  <r>
    <d v="2022-03-09T00:00:00"/>
    <x v="3"/>
    <x v="0"/>
    <s v="Laptop"/>
    <n v="42"/>
    <n v="8140.37"/>
    <s v="Male"/>
    <n v="3"/>
    <n v="6468.06"/>
    <n v="1672.31"/>
    <x v="1"/>
    <s v="Q1"/>
    <n v="2022"/>
    <s v="COD"/>
  </r>
  <r>
    <d v="2022-08-15T00:00:00"/>
    <x v="4"/>
    <x v="0"/>
    <s v="Smartphone"/>
    <n v="4"/>
    <n v="1813.18"/>
    <s v="Female"/>
    <n v="3"/>
    <n v="730.13"/>
    <n v="1083.05"/>
    <x v="10"/>
    <s v="Q3"/>
    <n v="2022"/>
    <s v="COD"/>
  </r>
  <r>
    <d v="2023-07-11T00:00:00"/>
    <x v="3"/>
    <x v="1"/>
    <s v="Dress"/>
    <n v="5"/>
    <n v="327.7"/>
    <s v="Male"/>
    <n v="1"/>
    <n v="39.950000000000003"/>
    <n v="287.75"/>
    <x v="9"/>
    <s v="Q3"/>
    <n v="2023"/>
    <s v="COD"/>
  </r>
  <r>
    <d v="2023-09-21T00:00:00"/>
    <x v="1"/>
    <x v="4"/>
    <s v="Grains"/>
    <n v="22"/>
    <n v="4104.29"/>
    <s v="Female"/>
    <n v="5"/>
    <n v="1184.5899999999999"/>
    <n v="2919.7"/>
    <x v="7"/>
    <s v="Q3"/>
    <n v="2023"/>
    <s v="COD"/>
  </r>
  <r>
    <d v="2022-12-14T00:00:00"/>
    <x v="1"/>
    <x v="2"/>
    <s v="Fiction"/>
    <n v="8"/>
    <n v="2365.9499999999998"/>
    <s v="Female"/>
    <n v="2"/>
    <n v="1739.93"/>
    <n v="626.02"/>
    <x v="6"/>
    <s v="Q4"/>
    <n v="2022"/>
    <s v="Credit Card"/>
  </r>
  <r>
    <d v="2023-12-08T00:00:00"/>
    <x v="3"/>
    <x v="1"/>
    <s v="Jeans"/>
    <n v="24"/>
    <n v="6960.25"/>
    <s v="Female"/>
    <n v="5"/>
    <n v="4632.0200000000004"/>
    <n v="2328.23"/>
    <x v="6"/>
    <s v="Q4"/>
    <n v="2023"/>
    <s v="UPI"/>
  </r>
  <r>
    <d v="2023-05-14T00:00:00"/>
    <x v="0"/>
    <x v="0"/>
    <s v="Laptop"/>
    <n v="26"/>
    <n v="3721.09"/>
    <s v="Female"/>
    <n v="1"/>
    <n v="2638.74"/>
    <n v="1082.3499999999999"/>
    <x v="4"/>
    <s v="Q2"/>
    <n v="2023"/>
    <s v="COD"/>
  </r>
  <r>
    <d v="2022-11-08T00:00:00"/>
    <x v="2"/>
    <x v="1"/>
    <s v="Dress"/>
    <n v="35"/>
    <n v="14277.75"/>
    <s v="Female"/>
    <n v="2"/>
    <n v="1603.43"/>
    <n v="12674.32"/>
    <x v="11"/>
    <s v="Q4"/>
    <n v="2022"/>
    <s v="Debit Card"/>
  </r>
  <r>
    <d v="2023-04-09T00:00:00"/>
    <x v="4"/>
    <x v="4"/>
    <s v="Snacks"/>
    <n v="45"/>
    <n v="14800.23"/>
    <s v="Female"/>
    <n v="4"/>
    <n v="8782.17"/>
    <n v="6018.06"/>
    <x v="3"/>
    <s v="Q2"/>
    <n v="2023"/>
    <s v="UPI"/>
  </r>
  <r>
    <d v="2023-08-10T00:00:00"/>
    <x v="3"/>
    <x v="3"/>
    <s v="Lamp"/>
    <n v="17"/>
    <n v="8227.52"/>
    <s v="Female"/>
    <n v="2"/>
    <n v="489.44"/>
    <n v="7738.08"/>
    <x v="10"/>
    <s v="Q3"/>
    <n v="2023"/>
    <s v="UPI"/>
  </r>
  <r>
    <d v="2023-06-24T00:00:00"/>
    <x v="0"/>
    <x v="2"/>
    <s v="Sci-Fi"/>
    <n v="26"/>
    <n v="8690.7099999999991"/>
    <s v="Female"/>
    <n v="5"/>
    <n v="3710.38"/>
    <n v="4980.33"/>
    <x v="0"/>
    <s v="Q2"/>
    <n v="2023"/>
    <s v="Debit Card"/>
  </r>
  <r>
    <d v="2022-05-14T00:00:00"/>
    <x v="0"/>
    <x v="3"/>
    <s v="Rug"/>
    <n v="45"/>
    <n v="10391.02"/>
    <s v="Male"/>
    <n v="4"/>
    <n v="9272.49"/>
    <n v="1118.53"/>
    <x v="4"/>
    <s v="Q2"/>
    <n v="2022"/>
    <s v="Debit Card"/>
  </r>
  <r>
    <d v="2023-09-03T00:00:00"/>
    <x v="4"/>
    <x v="3"/>
    <s v="Chair"/>
    <n v="19"/>
    <n v="1883.04"/>
    <s v="Male"/>
    <n v="4"/>
    <n v="2386.37"/>
    <n v="-503.33"/>
    <x v="7"/>
    <s v="Q3"/>
    <n v="2023"/>
    <s v="COD"/>
  </r>
  <r>
    <d v="2022-02-21T00:00:00"/>
    <x v="4"/>
    <x v="0"/>
    <s v="Tablet"/>
    <n v="30"/>
    <n v="12799.01"/>
    <s v="Female"/>
    <n v="1"/>
    <n v="4359.5"/>
    <n v="8439.51"/>
    <x v="2"/>
    <s v="Q1"/>
    <n v="2022"/>
    <s v="COD"/>
  </r>
  <r>
    <d v="2023-07-14T00:00:00"/>
    <x v="4"/>
    <x v="2"/>
    <s v="Sci-Fi"/>
    <n v="10"/>
    <n v="2931"/>
    <s v="Male"/>
    <n v="5"/>
    <n v="1330.81"/>
    <n v="1600.19"/>
    <x v="9"/>
    <s v="Q3"/>
    <n v="2023"/>
    <s v="COD"/>
  </r>
  <r>
    <d v="2023-05-08T00:00:00"/>
    <x v="3"/>
    <x v="3"/>
    <s v="Lamp"/>
    <n v="43"/>
    <n v="6064.36"/>
    <s v="Female"/>
    <n v="4"/>
    <n v="3978.53"/>
    <n v="2085.83"/>
    <x v="4"/>
    <s v="Q2"/>
    <n v="2023"/>
    <s v="EMI"/>
  </r>
  <r>
    <d v="2022-10-19T00:00:00"/>
    <x v="3"/>
    <x v="3"/>
    <s v="Chair"/>
    <n v="14"/>
    <n v="2804.74"/>
    <s v="Female"/>
    <n v="2"/>
    <n v="1820.7"/>
    <n v="984.04"/>
    <x v="8"/>
    <s v="Q4"/>
    <n v="2022"/>
    <s v="COD"/>
  </r>
  <r>
    <d v="2022-11-23T00:00:00"/>
    <x v="3"/>
    <x v="0"/>
    <s v="Laptop"/>
    <n v="27"/>
    <n v="8737.6299999999992"/>
    <s v="Female"/>
    <n v="2"/>
    <n v="2167.3000000000002"/>
    <n v="6570.33"/>
    <x v="11"/>
    <s v="Q4"/>
    <n v="2022"/>
    <s v="COD"/>
  </r>
  <r>
    <d v="2023-04-05T00:00:00"/>
    <x v="1"/>
    <x v="0"/>
    <s v="Smartphone"/>
    <n v="21"/>
    <n v="341.82"/>
    <s v="Female"/>
    <n v="2"/>
    <n v="4636.8"/>
    <n v="-4294.9799999999996"/>
    <x v="3"/>
    <s v="Q2"/>
    <n v="2023"/>
    <s v="COD"/>
  </r>
  <r>
    <d v="2023-12-08T00:00:00"/>
    <x v="2"/>
    <x v="2"/>
    <s v="Fiction"/>
    <n v="42"/>
    <n v="10196.1"/>
    <s v="Female"/>
    <n v="4"/>
    <n v="10490.24"/>
    <n v="-294.14"/>
    <x v="6"/>
    <s v="Q4"/>
    <n v="2023"/>
    <s v="EMI"/>
  </r>
  <r>
    <d v="2023-08-28T00:00:00"/>
    <x v="2"/>
    <x v="3"/>
    <s v="Lamp"/>
    <n v="15"/>
    <n v="5410.28"/>
    <s v="Male"/>
    <n v="4"/>
    <n v="2815.63"/>
    <n v="2594.65"/>
    <x v="10"/>
    <s v="Q3"/>
    <n v="2023"/>
    <s v="COD"/>
  </r>
  <r>
    <d v="2023-12-12T00:00:00"/>
    <x v="3"/>
    <x v="0"/>
    <s v="Smartphone"/>
    <n v="28"/>
    <n v="13548.86"/>
    <s v="Male"/>
    <n v="4"/>
    <n v="6007.64"/>
    <n v="7541.22"/>
    <x v="6"/>
    <s v="Q4"/>
    <n v="2023"/>
    <s v="COD"/>
  </r>
  <r>
    <d v="2022-01-08T00:00:00"/>
    <x v="0"/>
    <x v="3"/>
    <s v="Table"/>
    <n v="38"/>
    <n v="9334.93"/>
    <s v="Male"/>
    <n v="4"/>
    <n v="8589.1299999999992"/>
    <n v="745.8"/>
    <x v="5"/>
    <s v="Q1"/>
    <n v="2022"/>
    <s v="COD"/>
  </r>
  <r>
    <d v="2023-04-06T00:00:00"/>
    <x v="2"/>
    <x v="3"/>
    <s v="Rug"/>
    <n v="41"/>
    <n v="6805.98"/>
    <s v="Male"/>
    <n v="2"/>
    <n v="5379.16"/>
    <n v="1426.82"/>
    <x v="3"/>
    <s v="Q2"/>
    <n v="2023"/>
    <s v="EMI"/>
  </r>
  <r>
    <d v="2022-05-05T00:00:00"/>
    <x v="2"/>
    <x v="1"/>
    <s v="Jeans"/>
    <n v="39"/>
    <n v="14974.48"/>
    <s v="Female"/>
    <n v="5"/>
    <n v="6765.98"/>
    <n v="8208.5"/>
    <x v="4"/>
    <s v="Q2"/>
    <n v="2022"/>
    <s v="COD"/>
  </r>
  <r>
    <d v="2023-10-29T00:00:00"/>
    <x v="4"/>
    <x v="4"/>
    <s v="Produce"/>
    <n v="47"/>
    <n v="473.22"/>
    <s v="Male"/>
    <n v="4"/>
    <n v="594.80999999999995"/>
    <n v="-121.59"/>
    <x v="8"/>
    <s v="Q4"/>
    <n v="2023"/>
    <s v="COD"/>
  </r>
  <r>
    <d v="2022-05-10T00:00:00"/>
    <x v="4"/>
    <x v="3"/>
    <s v="Lamp"/>
    <n v="15"/>
    <n v="6254.53"/>
    <s v="Male"/>
    <n v="1"/>
    <n v="2068.39"/>
    <n v="4186.1400000000003"/>
    <x v="4"/>
    <s v="Q2"/>
    <n v="2022"/>
    <s v="UPI"/>
  </r>
  <r>
    <d v="2022-06-20T00:00:00"/>
    <x v="2"/>
    <x v="1"/>
    <s v="Sweater"/>
    <n v="16"/>
    <n v="5208.91"/>
    <s v="Male"/>
    <n v="5"/>
    <n v="2330.1999999999998"/>
    <n v="2878.71"/>
    <x v="0"/>
    <s v="Q2"/>
    <n v="2022"/>
    <s v="COD"/>
  </r>
  <r>
    <d v="2023-08-04T00:00:00"/>
    <x v="2"/>
    <x v="3"/>
    <s v="Lamp"/>
    <n v="13"/>
    <n v="5152.55"/>
    <s v="Female"/>
    <n v="5"/>
    <n v="1101.3599999999999"/>
    <n v="4051.19"/>
    <x v="10"/>
    <s v="Q3"/>
    <n v="2023"/>
    <s v="COD"/>
  </r>
  <r>
    <d v="2022-01-15T00:00:00"/>
    <x v="0"/>
    <x v="3"/>
    <s v="Lamp"/>
    <n v="36"/>
    <n v="2404.2399999999998"/>
    <s v="Female"/>
    <n v="2"/>
    <n v="4255.17"/>
    <n v="-1850.93"/>
    <x v="5"/>
    <s v="Q1"/>
    <n v="2022"/>
    <s v="COD"/>
  </r>
  <r>
    <d v="2022-03-28T00:00:00"/>
    <x v="0"/>
    <x v="2"/>
    <s v="Sci-Fi"/>
    <n v="34"/>
    <n v="5325.46"/>
    <s v="Female"/>
    <n v="4"/>
    <n v="3004.23"/>
    <n v="2321.23"/>
    <x v="1"/>
    <s v="Q1"/>
    <n v="2022"/>
    <s v="COD"/>
  </r>
  <r>
    <d v="2023-06-13T00:00:00"/>
    <x v="3"/>
    <x v="0"/>
    <s v="Laptop"/>
    <n v="33"/>
    <n v="5030.46"/>
    <s v="Male"/>
    <n v="4"/>
    <n v="5347.83"/>
    <n v="-317.37"/>
    <x v="0"/>
    <s v="Q2"/>
    <n v="2023"/>
    <s v="EMI"/>
  </r>
  <r>
    <d v="2023-01-27T00:00:00"/>
    <x v="3"/>
    <x v="3"/>
    <s v="Lamp"/>
    <n v="42"/>
    <n v="20321.02"/>
    <s v="Male"/>
    <n v="3"/>
    <n v="9698.5"/>
    <n v="10622.52"/>
    <x v="5"/>
    <s v="Q1"/>
    <n v="2023"/>
    <s v="EMI"/>
  </r>
  <r>
    <d v="2022-10-03T00:00:00"/>
    <x v="2"/>
    <x v="0"/>
    <s v="Smartphone"/>
    <n v="41"/>
    <n v="7358.74"/>
    <s v="Female"/>
    <n v="4"/>
    <n v="8420.2099999999991"/>
    <n v="-1061.47"/>
    <x v="8"/>
    <s v="Q4"/>
    <n v="2022"/>
    <s v="COD"/>
  </r>
  <r>
    <d v="2022-12-29T00:00:00"/>
    <x v="2"/>
    <x v="1"/>
    <s v="T-Shirt"/>
    <n v="20"/>
    <n v="4518.74"/>
    <s v="Male"/>
    <n v="1"/>
    <n v="1024.73"/>
    <n v="3494.01"/>
    <x v="6"/>
    <s v="Q4"/>
    <n v="2022"/>
    <s v="COD"/>
  </r>
  <r>
    <d v="2022-11-26T00:00:00"/>
    <x v="2"/>
    <x v="2"/>
    <s v="Fiction"/>
    <n v="18"/>
    <n v="7501.52"/>
    <s v="Male"/>
    <n v="4"/>
    <n v="2235.9499999999998"/>
    <n v="5265.57"/>
    <x v="11"/>
    <s v="Q4"/>
    <n v="2022"/>
    <s v="UPI"/>
  </r>
  <r>
    <d v="2022-10-30T00:00:00"/>
    <x v="3"/>
    <x v="3"/>
    <s v="Table"/>
    <n v="25"/>
    <n v="5224"/>
    <s v="Male"/>
    <n v="3"/>
    <n v="3009.3"/>
    <n v="2214.6999999999998"/>
    <x v="8"/>
    <s v="Q4"/>
    <n v="2022"/>
    <s v="COD"/>
  </r>
  <r>
    <d v="2022-05-14T00:00:00"/>
    <x v="1"/>
    <x v="4"/>
    <s v="Snacks"/>
    <n v="24"/>
    <n v="10605.65"/>
    <s v="Male"/>
    <n v="4"/>
    <n v="1236.1400000000001"/>
    <n v="9369.51"/>
    <x v="4"/>
    <s v="Q2"/>
    <n v="2022"/>
    <s v="COD"/>
  </r>
  <r>
    <d v="2023-08-08T00:00:00"/>
    <x v="2"/>
    <x v="3"/>
    <s v="Table"/>
    <n v="22"/>
    <n v="2817.42"/>
    <s v="Male"/>
    <n v="4"/>
    <n v="5256.7"/>
    <n v="-2439.2800000000002"/>
    <x v="10"/>
    <s v="Q3"/>
    <n v="2023"/>
    <s v="EMI"/>
  </r>
  <r>
    <d v="2022-09-13T00:00:00"/>
    <x v="1"/>
    <x v="2"/>
    <s v="Fiction"/>
    <n v="18"/>
    <n v="3574.96"/>
    <s v="Female"/>
    <n v="2"/>
    <n v="2159.59"/>
    <n v="1415.37"/>
    <x v="7"/>
    <s v="Q3"/>
    <n v="2022"/>
    <s v="COD"/>
  </r>
  <r>
    <d v="2023-09-22T00:00:00"/>
    <x v="4"/>
    <x v="1"/>
    <s v="T-Shirt"/>
    <n v="24"/>
    <n v="8149.93"/>
    <s v="Female"/>
    <n v="2"/>
    <n v="598.85"/>
    <n v="7551.08"/>
    <x v="7"/>
    <s v="Q3"/>
    <n v="2023"/>
    <s v="COD"/>
  </r>
  <r>
    <d v="2022-01-09T00:00:00"/>
    <x v="3"/>
    <x v="4"/>
    <s v="Beverages"/>
    <n v="27"/>
    <n v="12207.23"/>
    <s v="Male"/>
    <n v="2"/>
    <n v="6726.36"/>
    <n v="5480.87"/>
    <x v="5"/>
    <s v="Q1"/>
    <n v="2022"/>
    <s v="UPI"/>
  </r>
  <r>
    <d v="2023-07-22T00:00:00"/>
    <x v="4"/>
    <x v="0"/>
    <s v="Laptop"/>
    <n v="32"/>
    <n v="7062.28"/>
    <s v="Male"/>
    <n v="2"/>
    <n v="5450.48"/>
    <n v="1611.8"/>
    <x v="9"/>
    <s v="Q3"/>
    <n v="2023"/>
    <s v="EMI"/>
  </r>
  <r>
    <d v="2023-09-09T00:00:00"/>
    <x v="2"/>
    <x v="3"/>
    <s v="Chair"/>
    <n v="21"/>
    <n v="8169.97"/>
    <s v="Female"/>
    <n v="2"/>
    <n v="1156.96"/>
    <n v="7013.01"/>
    <x v="7"/>
    <s v="Q3"/>
    <n v="2023"/>
    <s v="EMI"/>
  </r>
  <r>
    <d v="2023-09-09T00:00:00"/>
    <x v="3"/>
    <x v="3"/>
    <s v="Chair"/>
    <n v="45"/>
    <n v="22188.7"/>
    <s v="Male"/>
    <n v="4"/>
    <n v="8047.71"/>
    <n v="14140.99"/>
    <x v="7"/>
    <s v="Q3"/>
    <n v="2023"/>
    <s v="COD"/>
  </r>
  <r>
    <d v="2023-03-10T00:00:00"/>
    <x v="4"/>
    <x v="4"/>
    <s v="Beverages"/>
    <n v="4"/>
    <n v="1210.55"/>
    <s v="Female"/>
    <n v="3"/>
    <n v="88.78"/>
    <n v="1121.77"/>
    <x v="1"/>
    <s v="Q1"/>
    <n v="2023"/>
    <s v="EMI"/>
  </r>
  <r>
    <d v="2023-05-01T00:00:00"/>
    <x v="0"/>
    <x v="4"/>
    <s v="Snacks"/>
    <n v="32"/>
    <n v="14105.36"/>
    <s v="Female"/>
    <n v="2"/>
    <n v="2857.72"/>
    <n v="11247.64"/>
    <x v="4"/>
    <s v="Q2"/>
    <n v="2023"/>
    <s v="COD"/>
  </r>
  <r>
    <d v="2022-10-31T00:00:00"/>
    <x v="3"/>
    <x v="3"/>
    <s v="Chair"/>
    <n v="7"/>
    <n v="3251.33"/>
    <s v="Female"/>
    <n v="3"/>
    <n v="1302.3499999999999"/>
    <n v="1948.98"/>
    <x v="8"/>
    <s v="Q4"/>
    <n v="2022"/>
    <s v="UPI"/>
  </r>
  <r>
    <d v="2023-12-19T00:00:00"/>
    <x v="1"/>
    <x v="4"/>
    <s v="Produce"/>
    <n v="18"/>
    <n v="8870.85"/>
    <s v="Female"/>
    <n v="5"/>
    <n v="4022.1"/>
    <n v="4848.75"/>
    <x v="6"/>
    <s v="Q4"/>
    <n v="2023"/>
    <s v="COD"/>
  </r>
  <r>
    <d v="2022-12-03T00:00:00"/>
    <x v="2"/>
    <x v="1"/>
    <s v="Jeans"/>
    <n v="4"/>
    <n v="1118.33"/>
    <s v="Male"/>
    <n v="2"/>
    <n v="101.84"/>
    <n v="1016.49"/>
    <x v="6"/>
    <s v="Q4"/>
    <n v="2022"/>
    <s v="EMI"/>
  </r>
  <r>
    <d v="2024-01-01T00:00:00"/>
    <x v="3"/>
    <x v="1"/>
    <s v="T-Shirt"/>
    <n v="45"/>
    <n v="5584.11"/>
    <s v="Male"/>
    <n v="5"/>
    <n v="10181.040000000001"/>
    <n v="-4596.93"/>
    <x v="5"/>
    <s v="Q1"/>
    <n v="2024"/>
    <s v="COD"/>
  </r>
  <r>
    <d v="2023-05-24T00:00:00"/>
    <x v="2"/>
    <x v="0"/>
    <s v="Headphones"/>
    <n v="35"/>
    <n v="9292.0499999999993"/>
    <s v="Female"/>
    <n v="4"/>
    <n v="446.85"/>
    <n v="8845.2000000000007"/>
    <x v="4"/>
    <s v="Q2"/>
    <n v="2023"/>
    <s v="UPI"/>
  </r>
  <r>
    <d v="2023-04-03T00:00:00"/>
    <x v="2"/>
    <x v="1"/>
    <s v="Dress"/>
    <n v="3"/>
    <n v="641.91999999999996"/>
    <s v="Male"/>
    <n v="1"/>
    <n v="20.059999999999999"/>
    <n v="621.86"/>
    <x v="3"/>
    <s v="Q2"/>
    <n v="2023"/>
    <s v="EMI"/>
  </r>
  <r>
    <d v="2022-01-29T00:00:00"/>
    <x v="0"/>
    <x v="3"/>
    <s v="Table"/>
    <n v="25"/>
    <n v="6475.4"/>
    <s v="Female"/>
    <n v="2"/>
    <n v="178.17"/>
    <n v="6297.23"/>
    <x v="5"/>
    <s v="Q1"/>
    <n v="2022"/>
    <s v="UPI"/>
  </r>
  <r>
    <d v="2022-02-14T00:00:00"/>
    <x v="3"/>
    <x v="0"/>
    <s v="Headphones"/>
    <n v="34"/>
    <n v="9075.7900000000009"/>
    <s v="Male"/>
    <n v="3"/>
    <n v="2561.06"/>
    <n v="6514.73"/>
    <x v="2"/>
    <s v="Q1"/>
    <n v="2022"/>
    <s v="EMI"/>
  </r>
  <r>
    <d v="2022-02-02T00:00:00"/>
    <x v="1"/>
    <x v="4"/>
    <s v="Produce"/>
    <n v="30"/>
    <n v="3562.66"/>
    <s v="Female"/>
    <n v="1"/>
    <n v="1307.24"/>
    <n v="2255.42"/>
    <x v="2"/>
    <s v="Q1"/>
    <n v="2022"/>
    <s v="EMI"/>
  </r>
  <r>
    <d v="2023-11-05T00:00:00"/>
    <x v="3"/>
    <x v="1"/>
    <s v="T-Shirt"/>
    <n v="2"/>
    <n v="767.78"/>
    <s v="Male"/>
    <n v="3"/>
    <n v="211.93"/>
    <n v="555.85"/>
    <x v="11"/>
    <s v="Q4"/>
    <n v="2023"/>
    <s v="COD"/>
  </r>
  <r>
    <d v="2022-10-21T00:00:00"/>
    <x v="2"/>
    <x v="4"/>
    <s v="Produce"/>
    <n v="3"/>
    <n v="197.66"/>
    <s v="Female"/>
    <n v="2"/>
    <n v="565.28"/>
    <n v="-367.62"/>
    <x v="8"/>
    <s v="Q4"/>
    <n v="2022"/>
    <s v="COD"/>
  </r>
  <r>
    <d v="2023-06-06T00:00:00"/>
    <x v="2"/>
    <x v="2"/>
    <s v="Fiction"/>
    <n v="47"/>
    <n v="16956.66"/>
    <s v="Male"/>
    <n v="3"/>
    <n v="6684.24"/>
    <n v="10272.42"/>
    <x v="0"/>
    <s v="Q2"/>
    <n v="2023"/>
    <s v="UPI"/>
  </r>
  <r>
    <d v="2023-02-14T00:00:00"/>
    <x v="4"/>
    <x v="4"/>
    <s v="Grains"/>
    <n v="13"/>
    <n v="5315.32"/>
    <s v="Male"/>
    <n v="5"/>
    <n v="2149.5100000000002"/>
    <n v="3165.81"/>
    <x v="2"/>
    <s v="Q1"/>
    <n v="2023"/>
    <s v="EMI"/>
  </r>
  <r>
    <d v="2023-08-01T00:00:00"/>
    <x v="4"/>
    <x v="1"/>
    <s v="Jeans"/>
    <n v="49"/>
    <n v="14255.9"/>
    <s v="Female"/>
    <n v="4"/>
    <n v="10577.63"/>
    <n v="3678.27"/>
    <x v="10"/>
    <s v="Q3"/>
    <n v="2023"/>
    <s v="COD"/>
  </r>
  <r>
    <d v="2022-12-13T00:00:00"/>
    <x v="0"/>
    <x v="2"/>
    <s v="Non-Fiction"/>
    <n v="40"/>
    <n v="8647.3799999999992"/>
    <s v="Female"/>
    <n v="3"/>
    <n v="1084.03"/>
    <n v="7563.35"/>
    <x v="6"/>
    <s v="Q4"/>
    <n v="2022"/>
    <s v="UPI"/>
  </r>
  <r>
    <d v="2023-09-25T00:00:00"/>
    <x v="3"/>
    <x v="0"/>
    <s v="Laptop"/>
    <n v="28"/>
    <n v="5526.46"/>
    <s v="Female"/>
    <n v="5"/>
    <n v="6618.43"/>
    <n v="-1091.97"/>
    <x v="7"/>
    <s v="Q3"/>
    <n v="2023"/>
    <s v="UPI"/>
  </r>
  <r>
    <d v="2022-10-14T00:00:00"/>
    <x v="2"/>
    <x v="4"/>
    <s v="Produce"/>
    <n v="19"/>
    <n v="8623.44"/>
    <s v="Male"/>
    <n v="1"/>
    <n v="347.51"/>
    <n v="8275.93"/>
    <x v="8"/>
    <s v="Q4"/>
    <n v="2022"/>
    <s v="UPI"/>
  </r>
  <r>
    <d v="2022-11-23T00:00:00"/>
    <x v="1"/>
    <x v="0"/>
    <s v="Tablet"/>
    <n v="6"/>
    <n v="741.49"/>
    <s v="Female"/>
    <n v="3"/>
    <n v="993.34"/>
    <n v="-251.85"/>
    <x v="11"/>
    <s v="Q4"/>
    <n v="2022"/>
    <s v="Debit Card"/>
  </r>
  <r>
    <d v="2022-12-28T00:00:00"/>
    <x v="4"/>
    <x v="4"/>
    <s v="Produce"/>
    <n v="40"/>
    <n v="10706.53"/>
    <s v="Male"/>
    <n v="4"/>
    <n v="4982.9399999999996"/>
    <n v="5723.59"/>
    <x v="6"/>
    <s v="Q4"/>
    <n v="2022"/>
    <s v="COD"/>
  </r>
  <r>
    <d v="2023-05-10T00:00:00"/>
    <x v="3"/>
    <x v="1"/>
    <s v="Dress"/>
    <n v="28"/>
    <n v="13079.72"/>
    <s v="Female"/>
    <n v="2"/>
    <n v="3697.13"/>
    <n v="9382.59"/>
    <x v="4"/>
    <s v="Q2"/>
    <n v="2023"/>
    <s v="COD"/>
  </r>
  <r>
    <d v="2022-11-21T00:00:00"/>
    <x v="1"/>
    <x v="1"/>
    <s v="Sweater"/>
    <n v="29"/>
    <n v="8185.88"/>
    <s v="Female"/>
    <n v="5"/>
    <n v="3129.8"/>
    <n v="5056.08"/>
    <x v="11"/>
    <s v="Q4"/>
    <n v="2022"/>
    <s v="COD"/>
  </r>
  <r>
    <d v="2023-06-25T00:00:00"/>
    <x v="2"/>
    <x v="4"/>
    <s v="Produce"/>
    <n v="27"/>
    <n v="5839.13"/>
    <s v="Female"/>
    <n v="4"/>
    <n v="1689.63"/>
    <n v="4149.5"/>
    <x v="0"/>
    <s v="Q2"/>
    <n v="2023"/>
    <s v="COD"/>
  </r>
  <r>
    <d v="2023-04-18T00:00:00"/>
    <x v="4"/>
    <x v="0"/>
    <s v="Laptop"/>
    <n v="14"/>
    <n v="212.26"/>
    <s v="Female"/>
    <n v="2"/>
    <n v="2354.11"/>
    <n v="-2141.85"/>
    <x v="3"/>
    <s v="Q2"/>
    <n v="2023"/>
    <s v="UPI"/>
  </r>
  <r>
    <d v="2023-06-18T00:00:00"/>
    <x v="4"/>
    <x v="1"/>
    <s v="Dress"/>
    <n v="11"/>
    <n v="1665.39"/>
    <s v="Female"/>
    <n v="5"/>
    <n v="491.84"/>
    <n v="1173.55"/>
    <x v="0"/>
    <s v="Q2"/>
    <n v="2023"/>
    <s v="COD"/>
  </r>
  <r>
    <d v="2023-06-08T00:00:00"/>
    <x v="4"/>
    <x v="1"/>
    <s v="Dress"/>
    <n v="26"/>
    <n v="7225.27"/>
    <s v="Female"/>
    <n v="2"/>
    <n v="2148.11"/>
    <n v="5077.16"/>
    <x v="0"/>
    <s v="Q2"/>
    <n v="2023"/>
    <s v="Debit Card"/>
  </r>
  <r>
    <d v="2022-06-24T00:00:00"/>
    <x v="3"/>
    <x v="1"/>
    <s v="Sweater"/>
    <n v="18"/>
    <n v="5765.24"/>
    <s v="Female"/>
    <n v="5"/>
    <n v="3269.84"/>
    <n v="2495.4"/>
    <x v="0"/>
    <s v="Q2"/>
    <n v="2022"/>
    <s v="UPI"/>
  </r>
  <r>
    <d v="2022-04-27T00:00:00"/>
    <x v="0"/>
    <x v="0"/>
    <s v="Headphones"/>
    <n v="29"/>
    <n v="2374.6799999999998"/>
    <s v="Female"/>
    <n v="4"/>
    <n v="7041.77"/>
    <n v="-4667.09"/>
    <x v="3"/>
    <s v="Q2"/>
    <n v="2022"/>
    <s v="COD"/>
  </r>
  <r>
    <d v="2023-04-24T00:00:00"/>
    <x v="0"/>
    <x v="1"/>
    <s v="T-Shirt"/>
    <n v="43"/>
    <n v="1490.92"/>
    <s v="Female"/>
    <n v="4"/>
    <n v="7103.22"/>
    <n v="-5612.3"/>
    <x v="3"/>
    <s v="Q2"/>
    <n v="2023"/>
    <s v="Debit Card"/>
  </r>
  <r>
    <d v="2023-12-14T00:00:00"/>
    <x v="2"/>
    <x v="3"/>
    <s v="Lamp"/>
    <n v="42"/>
    <n v="7199.97"/>
    <s v="Male"/>
    <n v="4"/>
    <n v="8864.5"/>
    <n v="-1664.53"/>
    <x v="6"/>
    <s v="Q4"/>
    <n v="2023"/>
    <s v="UPI"/>
  </r>
  <r>
    <d v="2022-09-07T00:00:00"/>
    <x v="0"/>
    <x v="0"/>
    <s v="Smartphone"/>
    <n v="22"/>
    <n v="7856.15"/>
    <s v="Male"/>
    <n v="1"/>
    <n v="2179.4299999999998"/>
    <n v="5676.72"/>
    <x v="7"/>
    <s v="Q3"/>
    <n v="2022"/>
    <s v="COD"/>
  </r>
  <r>
    <d v="2022-09-06T00:00:00"/>
    <x v="1"/>
    <x v="2"/>
    <s v="Mystery"/>
    <n v="45"/>
    <n v="9964.4599999999991"/>
    <s v="Male"/>
    <n v="3"/>
    <n v="4105.8900000000003"/>
    <n v="5858.57"/>
    <x v="7"/>
    <s v="Q3"/>
    <n v="2022"/>
    <s v="COD"/>
  </r>
  <r>
    <d v="2022-09-08T00:00:00"/>
    <x v="4"/>
    <x v="2"/>
    <s v="Sci-Fi"/>
    <n v="13"/>
    <n v="2496.0700000000002"/>
    <s v="Male"/>
    <n v="4"/>
    <n v="3213.42"/>
    <n v="-717.35"/>
    <x v="7"/>
    <s v="Q3"/>
    <n v="2022"/>
    <s v="Debit Card"/>
  </r>
  <r>
    <d v="2023-11-30T00:00:00"/>
    <x v="0"/>
    <x v="2"/>
    <s v="Non-Fiction"/>
    <n v="12"/>
    <n v="2395.42"/>
    <s v="Female"/>
    <n v="1"/>
    <n v="2969.16"/>
    <n v="-573.74"/>
    <x v="11"/>
    <s v="Q4"/>
    <n v="2023"/>
    <s v="COD"/>
  </r>
  <r>
    <d v="2022-06-05T00:00:00"/>
    <x v="2"/>
    <x v="1"/>
    <s v="Jeans"/>
    <n v="29"/>
    <n v="13018.9"/>
    <s v="Female"/>
    <n v="4"/>
    <n v="5623.93"/>
    <n v="7394.97"/>
    <x v="0"/>
    <s v="Q2"/>
    <n v="2022"/>
    <s v="COD"/>
  </r>
  <r>
    <d v="2022-05-15T00:00:00"/>
    <x v="2"/>
    <x v="4"/>
    <s v="Produce"/>
    <n v="37"/>
    <n v="10796.88"/>
    <s v="Female"/>
    <n v="1"/>
    <n v="4220.4799999999996"/>
    <n v="6576.4"/>
    <x v="4"/>
    <s v="Q2"/>
    <n v="2022"/>
    <s v="COD"/>
  </r>
  <r>
    <d v="2022-03-24T00:00:00"/>
    <x v="1"/>
    <x v="2"/>
    <s v="Sci-Fi"/>
    <n v="47"/>
    <n v="8377.2099999999991"/>
    <s v="Male"/>
    <n v="4"/>
    <n v="1532.22"/>
    <n v="6844.99"/>
    <x v="1"/>
    <s v="Q1"/>
    <n v="2022"/>
    <s v="COD"/>
  </r>
  <r>
    <d v="2023-06-09T00:00:00"/>
    <x v="0"/>
    <x v="4"/>
    <s v="Grains"/>
    <n v="41"/>
    <n v="19912.77"/>
    <s v="Male"/>
    <n v="5"/>
    <n v="8029.84"/>
    <n v="11882.93"/>
    <x v="0"/>
    <s v="Q2"/>
    <n v="2023"/>
    <s v="UPI"/>
  </r>
  <r>
    <d v="2022-08-27T00:00:00"/>
    <x v="4"/>
    <x v="3"/>
    <s v="Lamp"/>
    <n v="16"/>
    <n v="3572.08"/>
    <s v="Female"/>
    <n v="4"/>
    <n v="1244.05"/>
    <n v="2328.0300000000002"/>
    <x v="10"/>
    <s v="Q3"/>
    <n v="2022"/>
    <s v="UPI"/>
  </r>
  <r>
    <d v="2022-10-27T00:00:00"/>
    <x v="2"/>
    <x v="2"/>
    <s v="Sci-Fi"/>
    <n v="11"/>
    <n v="4542.09"/>
    <s v="Female"/>
    <n v="1"/>
    <n v="1073.44"/>
    <n v="3468.65"/>
    <x v="8"/>
    <s v="Q4"/>
    <n v="2022"/>
    <s v="COD"/>
  </r>
  <r>
    <d v="2023-01-27T00:00:00"/>
    <x v="2"/>
    <x v="4"/>
    <s v="Produce"/>
    <n v="12"/>
    <n v="4333.3"/>
    <s v="Female"/>
    <n v="5"/>
    <n v="2328.21"/>
    <n v="2005.09"/>
    <x v="5"/>
    <s v="Q1"/>
    <n v="2023"/>
    <s v="COD"/>
  </r>
  <r>
    <d v="2023-05-27T00:00:00"/>
    <x v="3"/>
    <x v="3"/>
    <s v="Table"/>
    <n v="9"/>
    <n v="3272.36"/>
    <s v="Female"/>
    <n v="1"/>
    <n v="2248.6"/>
    <n v="1023.76"/>
    <x v="4"/>
    <s v="Q2"/>
    <n v="2023"/>
    <s v="COD"/>
  </r>
  <r>
    <d v="2022-10-13T00:00:00"/>
    <x v="1"/>
    <x v="1"/>
    <s v="Dress"/>
    <n v="35"/>
    <n v="17246.21"/>
    <s v="Female"/>
    <n v="2"/>
    <n v="5490.5"/>
    <n v="11755.71"/>
    <x v="8"/>
    <s v="Q4"/>
    <n v="2022"/>
    <s v="COD"/>
  </r>
  <r>
    <d v="2022-07-28T00:00:00"/>
    <x v="4"/>
    <x v="3"/>
    <s v="Rug"/>
    <n v="20"/>
    <n v="6372.66"/>
    <s v="Female"/>
    <n v="2"/>
    <n v="4158.78"/>
    <n v="2213.88"/>
    <x v="9"/>
    <s v="Q3"/>
    <n v="2022"/>
    <s v="COD"/>
  </r>
  <r>
    <d v="2022-11-28T00:00:00"/>
    <x v="4"/>
    <x v="2"/>
    <s v="Fiction"/>
    <n v="49"/>
    <n v="23130.78"/>
    <s v="Female"/>
    <n v="2"/>
    <n v="6582.97"/>
    <n v="16547.810000000001"/>
    <x v="11"/>
    <s v="Q4"/>
    <n v="2022"/>
    <s v="Debit Card"/>
  </r>
  <r>
    <d v="2022-10-08T00:00:00"/>
    <x v="4"/>
    <x v="2"/>
    <s v="Sci-Fi"/>
    <n v="17"/>
    <n v="6167.03"/>
    <s v="Female"/>
    <n v="5"/>
    <n v="3474.77"/>
    <n v="2692.26"/>
    <x v="8"/>
    <s v="Q4"/>
    <n v="2022"/>
    <s v="UPI"/>
  </r>
  <r>
    <d v="2022-08-31T00:00:00"/>
    <x v="3"/>
    <x v="1"/>
    <s v="Sweater"/>
    <n v="18"/>
    <n v="7384.05"/>
    <s v="Female"/>
    <n v="2"/>
    <n v="2723.95"/>
    <n v="4660.1000000000004"/>
    <x v="10"/>
    <s v="Q3"/>
    <n v="2022"/>
    <s v="COD"/>
  </r>
  <r>
    <d v="2022-04-04T00:00:00"/>
    <x v="4"/>
    <x v="0"/>
    <s v="Laptop"/>
    <n v="7"/>
    <n v="766.28"/>
    <s v="Male"/>
    <n v="5"/>
    <n v="50.56"/>
    <n v="715.72"/>
    <x v="3"/>
    <s v="Q2"/>
    <n v="2022"/>
    <s v="UPI"/>
  </r>
  <r>
    <d v="2022-07-01T00:00:00"/>
    <x v="2"/>
    <x v="1"/>
    <s v="T-Shirt"/>
    <n v="8"/>
    <n v="641.33000000000004"/>
    <s v="Male"/>
    <n v="1"/>
    <n v="1929.86"/>
    <n v="-1288.53"/>
    <x v="9"/>
    <s v="Q3"/>
    <n v="2022"/>
    <s v="COD"/>
  </r>
  <r>
    <d v="2022-03-31T00:00:00"/>
    <x v="2"/>
    <x v="2"/>
    <s v="Non-Fiction"/>
    <n v="37"/>
    <n v="15698.68"/>
    <s v="Female"/>
    <n v="5"/>
    <n v="408.35"/>
    <n v="15290.33"/>
    <x v="1"/>
    <s v="Q1"/>
    <n v="2022"/>
    <s v="UPI"/>
  </r>
  <r>
    <d v="2023-08-16T00:00:00"/>
    <x v="0"/>
    <x v="3"/>
    <s v="Table"/>
    <n v="38"/>
    <n v="3417.2"/>
    <s v="Female"/>
    <n v="4"/>
    <n v="3805.12"/>
    <n v="-387.92"/>
    <x v="10"/>
    <s v="Q3"/>
    <n v="2023"/>
    <s v="COD"/>
  </r>
  <r>
    <d v="2023-05-23T00:00:00"/>
    <x v="1"/>
    <x v="4"/>
    <s v="Snacks"/>
    <n v="38"/>
    <n v="7911.73"/>
    <s v="Male"/>
    <n v="2"/>
    <n v="8214.58"/>
    <n v="-302.85000000000002"/>
    <x v="4"/>
    <s v="Q2"/>
    <n v="2023"/>
    <s v="Debit Card"/>
  </r>
  <r>
    <d v="2023-02-09T00:00:00"/>
    <x v="0"/>
    <x v="1"/>
    <s v="Dress"/>
    <n v="33"/>
    <n v="2549.46"/>
    <s v="Male"/>
    <n v="1"/>
    <n v="6177.39"/>
    <n v="-3627.93"/>
    <x v="2"/>
    <s v="Q1"/>
    <n v="2023"/>
    <s v="Debit Card"/>
  </r>
  <r>
    <d v="2022-06-22T00:00:00"/>
    <x v="0"/>
    <x v="3"/>
    <s v="Lamp"/>
    <n v="36"/>
    <n v="9531.73"/>
    <s v="Female"/>
    <n v="1"/>
    <n v="7991.56"/>
    <n v="1540.17"/>
    <x v="0"/>
    <s v="Q2"/>
    <n v="2022"/>
    <s v="COD"/>
  </r>
  <r>
    <d v="2022-09-26T00:00:00"/>
    <x v="3"/>
    <x v="4"/>
    <s v="Beverages"/>
    <n v="5"/>
    <n v="1071.25"/>
    <s v="Male"/>
    <n v="1"/>
    <n v="1063.0999999999999"/>
    <n v="8.15"/>
    <x v="7"/>
    <s v="Q3"/>
    <n v="2022"/>
    <s v="UPI"/>
  </r>
  <r>
    <d v="2023-04-26T00:00:00"/>
    <x v="0"/>
    <x v="2"/>
    <s v="Sci-Fi"/>
    <n v="30"/>
    <n v="6835.99"/>
    <s v="Male"/>
    <n v="4"/>
    <n v="5657.65"/>
    <n v="1178.3399999999999"/>
    <x v="3"/>
    <s v="Q2"/>
    <n v="2023"/>
    <s v="UPI"/>
  </r>
  <r>
    <d v="2023-05-31T00:00:00"/>
    <x v="4"/>
    <x v="3"/>
    <s v="Rug"/>
    <n v="15"/>
    <n v="2921"/>
    <s v="Male"/>
    <n v="1"/>
    <n v="100.31"/>
    <n v="2820.69"/>
    <x v="4"/>
    <s v="Q2"/>
    <n v="2023"/>
    <s v="COD"/>
  </r>
  <r>
    <d v="2022-10-12T00:00:00"/>
    <x v="2"/>
    <x v="4"/>
    <s v="Grains"/>
    <n v="20"/>
    <n v="4070.52"/>
    <s v="Male"/>
    <n v="2"/>
    <n v="939.07"/>
    <n v="3131.45"/>
    <x v="8"/>
    <s v="Q4"/>
    <n v="2022"/>
    <s v="COD"/>
  </r>
  <r>
    <d v="2023-12-02T00:00:00"/>
    <x v="3"/>
    <x v="3"/>
    <s v="Chair"/>
    <n v="30"/>
    <n v="9780.7000000000007"/>
    <s v="Female"/>
    <n v="1"/>
    <n v="4621.88"/>
    <n v="5158.82"/>
    <x v="6"/>
    <s v="Q4"/>
    <n v="2023"/>
    <s v="UPI"/>
  </r>
  <r>
    <d v="2022-06-18T00:00:00"/>
    <x v="0"/>
    <x v="2"/>
    <s v="Sci-Fi"/>
    <n v="20"/>
    <n v="3015.63"/>
    <s v="Female"/>
    <n v="4"/>
    <n v="1012.49"/>
    <n v="2003.14"/>
    <x v="0"/>
    <s v="Q2"/>
    <n v="2022"/>
    <s v="COD"/>
  </r>
  <r>
    <d v="2023-11-16T00:00:00"/>
    <x v="3"/>
    <x v="0"/>
    <s v="Tablet"/>
    <n v="23"/>
    <n v="560.33000000000004"/>
    <s v="Female"/>
    <n v="5"/>
    <n v="2523.94"/>
    <n v="-1963.61"/>
    <x v="11"/>
    <s v="Q4"/>
    <n v="2023"/>
    <s v="COD"/>
  </r>
  <r>
    <d v="2023-09-21T00:00:00"/>
    <x v="3"/>
    <x v="0"/>
    <s v="Smartphone"/>
    <n v="43"/>
    <n v="21391.87"/>
    <s v="Female"/>
    <n v="4"/>
    <n v="3076.41"/>
    <n v="18315.46"/>
    <x v="7"/>
    <s v="Q3"/>
    <n v="2023"/>
    <s v="UPI"/>
  </r>
  <r>
    <d v="2022-10-02T00:00:00"/>
    <x v="3"/>
    <x v="3"/>
    <s v="Rug"/>
    <n v="42"/>
    <n v="10033.91"/>
    <s v="Male"/>
    <n v="1"/>
    <n v="2375.9499999999998"/>
    <n v="7657.96"/>
    <x v="8"/>
    <s v="Q4"/>
    <n v="2022"/>
    <s v="UPI"/>
  </r>
  <r>
    <d v="2022-08-10T00:00:00"/>
    <x v="0"/>
    <x v="1"/>
    <s v="T-Shirt"/>
    <n v="38"/>
    <n v="18134.490000000002"/>
    <s v="Male"/>
    <n v="1"/>
    <n v="5214.59"/>
    <n v="12919.9"/>
    <x v="10"/>
    <s v="Q3"/>
    <n v="2022"/>
    <s v="UPI"/>
  </r>
  <r>
    <d v="2023-12-07T00:00:00"/>
    <x v="4"/>
    <x v="2"/>
    <s v="Mystery"/>
    <n v="6"/>
    <n v="514.03"/>
    <s v="Female"/>
    <n v="3"/>
    <n v="321.38"/>
    <n v="192.65"/>
    <x v="6"/>
    <s v="Q4"/>
    <n v="2023"/>
    <s v="COD"/>
  </r>
  <r>
    <d v="2022-09-21T00:00:00"/>
    <x v="3"/>
    <x v="1"/>
    <s v="T-Shirt"/>
    <n v="46"/>
    <n v="10885.92"/>
    <s v="Male"/>
    <n v="4"/>
    <n v="1273.3900000000001"/>
    <n v="9612.5300000000007"/>
    <x v="7"/>
    <s v="Q3"/>
    <n v="2022"/>
    <s v="Debit Card"/>
  </r>
  <r>
    <d v="2023-06-08T00:00:00"/>
    <x v="2"/>
    <x v="4"/>
    <s v="Snacks"/>
    <n v="49"/>
    <n v="13766.18"/>
    <s v="Male"/>
    <n v="4"/>
    <n v="5836.17"/>
    <n v="7930.01"/>
    <x v="0"/>
    <s v="Q2"/>
    <n v="2023"/>
    <s v="COD"/>
  </r>
  <r>
    <d v="2022-10-07T00:00:00"/>
    <x v="0"/>
    <x v="0"/>
    <s v="Laptop"/>
    <n v="7"/>
    <n v="2064.64"/>
    <s v="Male"/>
    <n v="4"/>
    <n v="507.33"/>
    <n v="1557.31"/>
    <x v="8"/>
    <s v="Q4"/>
    <n v="2022"/>
    <s v="COD"/>
  </r>
  <r>
    <d v="2022-12-08T00:00:00"/>
    <x v="4"/>
    <x v="0"/>
    <s v="Tablet"/>
    <n v="20"/>
    <n v="7465.54"/>
    <s v="Female"/>
    <n v="2"/>
    <n v="4515.5600000000004"/>
    <n v="2949.98"/>
    <x v="6"/>
    <s v="Q4"/>
    <n v="2022"/>
    <s v="COD"/>
  </r>
  <r>
    <d v="2023-04-24T00:00:00"/>
    <x v="0"/>
    <x v="0"/>
    <s v="Tablet"/>
    <n v="14"/>
    <n v="5370.02"/>
    <s v="Male"/>
    <n v="1"/>
    <n v="2017.13"/>
    <n v="3352.89"/>
    <x v="3"/>
    <s v="Q2"/>
    <n v="2023"/>
    <s v="Debit Card"/>
  </r>
  <r>
    <d v="2022-09-21T00:00:00"/>
    <x v="1"/>
    <x v="1"/>
    <s v="Dress"/>
    <n v="2"/>
    <n v="418.36"/>
    <s v="Male"/>
    <n v="1"/>
    <n v="132.46"/>
    <n v="285.89999999999998"/>
    <x v="7"/>
    <s v="Q3"/>
    <n v="2022"/>
    <s v="UPI"/>
  </r>
  <r>
    <d v="2023-06-30T00:00:00"/>
    <x v="0"/>
    <x v="4"/>
    <s v="Produce"/>
    <n v="11"/>
    <n v="1881.67"/>
    <s v="Male"/>
    <n v="4"/>
    <n v="1001.36"/>
    <n v="880.31"/>
    <x v="0"/>
    <s v="Q2"/>
    <n v="2023"/>
    <s v="Debit Card"/>
  </r>
  <r>
    <d v="2023-11-07T00:00:00"/>
    <x v="2"/>
    <x v="3"/>
    <s v="Table"/>
    <n v="43"/>
    <n v="17439.509999999998"/>
    <s v="Female"/>
    <n v="4"/>
    <n v="10505.51"/>
    <n v="6934"/>
    <x v="11"/>
    <s v="Q4"/>
    <n v="2023"/>
    <s v="UPI"/>
  </r>
  <r>
    <d v="2022-06-24T00:00:00"/>
    <x v="4"/>
    <x v="0"/>
    <s v="Tablet"/>
    <n v="2"/>
    <n v="293.22000000000003"/>
    <s v="Female"/>
    <n v="4"/>
    <n v="417.62"/>
    <n v="-124.4"/>
    <x v="0"/>
    <s v="Q2"/>
    <n v="2022"/>
    <s v="COD"/>
  </r>
  <r>
    <d v="2022-07-17T00:00:00"/>
    <x v="4"/>
    <x v="0"/>
    <s v="Headphones"/>
    <n v="38"/>
    <n v="12598.33"/>
    <s v="Female"/>
    <n v="4"/>
    <n v="6459.65"/>
    <n v="6138.68"/>
    <x v="9"/>
    <s v="Q3"/>
    <n v="2022"/>
    <s v="COD"/>
  </r>
  <r>
    <d v="2023-01-05T00:00:00"/>
    <x v="4"/>
    <x v="3"/>
    <s v="Table"/>
    <n v="3"/>
    <n v="805.36"/>
    <s v="Male"/>
    <n v="1"/>
    <n v="411.46"/>
    <n v="393.9"/>
    <x v="5"/>
    <s v="Q1"/>
    <n v="2023"/>
    <s v="Debit Card"/>
  </r>
  <r>
    <d v="2023-01-23T00:00:00"/>
    <x v="3"/>
    <x v="4"/>
    <s v="Grains"/>
    <n v="43"/>
    <n v="6104.09"/>
    <s v="Male"/>
    <n v="4"/>
    <n v="6239.74"/>
    <n v="-135.65"/>
    <x v="5"/>
    <s v="Q1"/>
    <n v="2023"/>
    <s v="Debit Card"/>
  </r>
  <r>
    <d v="2022-03-19T00:00:00"/>
    <x v="0"/>
    <x v="2"/>
    <s v="Sci-Fi"/>
    <n v="33"/>
    <n v="2748.76"/>
    <s v="Female"/>
    <n v="2"/>
    <n v="3428.72"/>
    <n v="-679.96"/>
    <x v="1"/>
    <s v="Q1"/>
    <n v="2022"/>
    <s v="COD"/>
  </r>
  <r>
    <d v="2023-07-11T00:00:00"/>
    <x v="0"/>
    <x v="3"/>
    <s v="Rug"/>
    <n v="38"/>
    <n v="14911.37"/>
    <s v="Male"/>
    <n v="1"/>
    <n v="577.54"/>
    <n v="14333.83"/>
    <x v="9"/>
    <s v="Q3"/>
    <n v="2023"/>
    <s v="COD"/>
  </r>
  <r>
    <d v="2022-02-03T00:00:00"/>
    <x v="0"/>
    <x v="2"/>
    <s v="Sci-Fi"/>
    <n v="1"/>
    <n v="118.91"/>
    <s v="Male"/>
    <n v="3"/>
    <n v="200.77"/>
    <n v="-81.86"/>
    <x v="2"/>
    <s v="Q1"/>
    <n v="2022"/>
    <s v="UPI"/>
  </r>
  <r>
    <d v="2023-04-17T00:00:00"/>
    <x v="4"/>
    <x v="4"/>
    <s v="Snacks"/>
    <n v="27"/>
    <n v="2336.66"/>
    <s v="Male"/>
    <n v="4"/>
    <n v="5504.1"/>
    <n v="-3167.44"/>
    <x v="3"/>
    <s v="Q2"/>
    <n v="2023"/>
    <s v="COD"/>
  </r>
  <r>
    <d v="2023-01-18T00:00:00"/>
    <x v="4"/>
    <x v="2"/>
    <s v="Sci-Fi"/>
    <n v="40"/>
    <n v="1284.3499999999999"/>
    <s v="Male"/>
    <n v="2"/>
    <n v="7578.82"/>
    <n v="-6294.47"/>
    <x v="5"/>
    <s v="Q1"/>
    <n v="2023"/>
    <s v="EMI"/>
  </r>
  <r>
    <d v="2022-10-27T00:00:00"/>
    <x v="1"/>
    <x v="4"/>
    <s v="Grains"/>
    <n v="8"/>
    <n v="1144.51"/>
    <s v="Male"/>
    <n v="3"/>
    <n v="1828.1"/>
    <n v="-683.59"/>
    <x v="8"/>
    <s v="Q4"/>
    <n v="2022"/>
    <s v="COD"/>
  </r>
  <r>
    <d v="2023-08-22T00:00:00"/>
    <x v="0"/>
    <x v="1"/>
    <s v="Dress"/>
    <n v="40"/>
    <n v="16892.509999999998"/>
    <s v="Female"/>
    <n v="4"/>
    <n v="5666.23"/>
    <n v="11226.28"/>
    <x v="10"/>
    <s v="Q3"/>
    <n v="2023"/>
    <s v="COD"/>
  </r>
  <r>
    <d v="2022-07-23T00:00:00"/>
    <x v="1"/>
    <x v="0"/>
    <s v="Tablet"/>
    <n v="45"/>
    <n v="10946.02"/>
    <s v="Male"/>
    <n v="2"/>
    <n v="4866.58"/>
    <n v="6079.44"/>
    <x v="9"/>
    <s v="Q3"/>
    <n v="2022"/>
    <s v="EMI"/>
  </r>
  <r>
    <d v="2023-03-24T00:00:00"/>
    <x v="1"/>
    <x v="3"/>
    <s v="Rug"/>
    <n v="24"/>
    <n v="7182.93"/>
    <s v="Male"/>
    <n v="1"/>
    <n v="825.5"/>
    <n v="6357.43"/>
    <x v="1"/>
    <s v="Q1"/>
    <n v="2023"/>
    <s v="COD"/>
  </r>
  <r>
    <d v="2022-06-07T00:00:00"/>
    <x v="1"/>
    <x v="3"/>
    <s v="Rug"/>
    <n v="29"/>
    <n v="13023.01"/>
    <s v="Female"/>
    <n v="5"/>
    <n v="920.13"/>
    <n v="12102.88"/>
    <x v="0"/>
    <s v="Q2"/>
    <n v="2022"/>
    <s v="Debit Card"/>
  </r>
  <r>
    <d v="2022-02-28T00:00:00"/>
    <x v="3"/>
    <x v="0"/>
    <s v="Smartphone"/>
    <n v="38"/>
    <n v="18064.490000000002"/>
    <s v="Male"/>
    <n v="5"/>
    <n v="722.35"/>
    <n v="17342.14"/>
    <x v="2"/>
    <s v="Q1"/>
    <n v="2022"/>
    <s v="COD"/>
  </r>
  <r>
    <d v="2022-04-02T00:00:00"/>
    <x v="0"/>
    <x v="3"/>
    <s v="Chair"/>
    <n v="28"/>
    <n v="1255.78"/>
    <s v="Male"/>
    <n v="3"/>
    <n v="2895.64"/>
    <n v="-1639.86"/>
    <x v="3"/>
    <s v="Q2"/>
    <n v="2022"/>
    <s v="EMI"/>
  </r>
  <r>
    <d v="2022-07-12T00:00:00"/>
    <x v="0"/>
    <x v="2"/>
    <s v="Non-Fiction"/>
    <n v="19"/>
    <n v="5955.63"/>
    <s v="Female"/>
    <n v="1"/>
    <n v="3582.68"/>
    <n v="2372.9499999999998"/>
    <x v="9"/>
    <s v="Q3"/>
    <n v="2022"/>
    <s v="COD"/>
  </r>
  <r>
    <d v="2022-09-17T00:00:00"/>
    <x v="2"/>
    <x v="4"/>
    <s v="Grains"/>
    <n v="42"/>
    <n v="1518.41"/>
    <s v="Female"/>
    <n v="4"/>
    <n v="6083.85"/>
    <n v="-4565.4399999999996"/>
    <x v="7"/>
    <s v="Q3"/>
    <n v="2022"/>
    <s v="UPI"/>
  </r>
  <r>
    <d v="2023-06-21T00:00:00"/>
    <x v="3"/>
    <x v="4"/>
    <s v="Produce"/>
    <n v="17"/>
    <n v="6876.35"/>
    <s v="Male"/>
    <n v="1"/>
    <n v="3104.81"/>
    <n v="3771.54"/>
    <x v="0"/>
    <s v="Q2"/>
    <n v="2023"/>
    <s v="COD"/>
  </r>
  <r>
    <d v="2022-01-10T00:00:00"/>
    <x v="3"/>
    <x v="1"/>
    <s v="T-Shirt"/>
    <n v="30"/>
    <n v="10964.35"/>
    <s v="Male"/>
    <n v="5"/>
    <n v="3922.96"/>
    <n v="7041.39"/>
    <x v="5"/>
    <s v="Q1"/>
    <n v="2022"/>
    <s v="COD"/>
  </r>
  <r>
    <d v="2022-11-24T00:00:00"/>
    <x v="3"/>
    <x v="3"/>
    <s v="Rug"/>
    <n v="40"/>
    <n v="19933.34"/>
    <s v="Female"/>
    <n v="4"/>
    <n v="6505.43"/>
    <n v="13427.91"/>
    <x v="11"/>
    <s v="Q4"/>
    <n v="2022"/>
    <s v="COD"/>
  </r>
  <r>
    <d v="2023-02-24T00:00:00"/>
    <x v="1"/>
    <x v="2"/>
    <s v="Fiction"/>
    <n v="32"/>
    <n v="4450.3599999999997"/>
    <s v="Female"/>
    <n v="3"/>
    <n v="2534.54"/>
    <n v="1915.82"/>
    <x v="2"/>
    <s v="Q1"/>
    <n v="2023"/>
    <s v="EMI"/>
  </r>
  <r>
    <d v="2022-10-25T00:00:00"/>
    <x v="0"/>
    <x v="1"/>
    <s v="Sweater"/>
    <n v="15"/>
    <n v="7372.62"/>
    <s v="Male"/>
    <n v="2"/>
    <n v="1385.73"/>
    <n v="5986.89"/>
    <x v="8"/>
    <s v="Q4"/>
    <n v="2022"/>
    <s v="UPI"/>
  </r>
  <r>
    <d v="2023-04-11T00:00:00"/>
    <x v="1"/>
    <x v="1"/>
    <s v="Jeans"/>
    <n v="13"/>
    <n v="1800.46"/>
    <s v="Female"/>
    <n v="5"/>
    <n v="3073.05"/>
    <n v="-1272.5899999999999"/>
    <x v="3"/>
    <s v="Q2"/>
    <n v="2023"/>
    <s v="COD"/>
  </r>
  <r>
    <d v="2023-10-06T00:00:00"/>
    <x v="4"/>
    <x v="3"/>
    <s v="Rug"/>
    <n v="41"/>
    <n v="9310.02"/>
    <s v="Male"/>
    <n v="5"/>
    <n v="2457.64"/>
    <n v="6852.38"/>
    <x v="8"/>
    <s v="Q4"/>
    <n v="2023"/>
    <s v="COD"/>
  </r>
  <r>
    <d v="2022-01-01T00:00:00"/>
    <x v="3"/>
    <x v="1"/>
    <s v="Sweater"/>
    <n v="26"/>
    <n v="10852.34"/>
    <s v="Male"/>
    <n v="1"/>
    <n v="5331.92"/>
    <n v="5520.42"/>
    <x v="5"/>
    <s v="Q1"/>
    <n v="2022"/>
    <s v="EMI"/>
  </r>
  <r>
    <d v="2022-09-18T00:00:00"/>
    <x v="0"/>
    <x v="4"/>
    <s v="Beverages"/>
    <n v="9"/>
    <n v="2341.34"/>
    <s v="Female"/>
    <n v="5"/>
    <n v="1668.96"/>
    <n v="672.38"/>
    <x v="7"/>
    <s v="Q3"/>
    <n v="2022"/>
    <s v="COD"/>
  </r>
  <r>
    <d v="2023-04-10T00:00:00"/>
    <x v="3"/>
    <x v="2"/>
    <s v="Mystery"/>
    <n v="48"/>
    <n v="17297.86"/>
    <s v="Male"/>
    <n v="5"/>
    <n v="10840.25"/>
    <n v="6457.61"/>
    <x v="3"/>
    <s v="Q2"/>
    <n v="2023"/>
    <s v="EMI"/>
  </r>
  <r>
    <d v="2022-04-12T00:00:00"/>
    <x v="0"/>
    <x v="4"/>
    <s v="Produce"/>
    <n v="7"/>
    <n v="391.87"/>
    <s v="Male"/>
    <n v="4"/>
    <n v="812.74"/>
    <n v="-420.87"/>
    <x v="3"/>
    <s v="Q2"/>
    <n v="2022"/>
    <s v="EMI"/>
  </r>
  <r>
    <d v="2023-05-17T00:00:00"/>
    <x v="3"/>
    <x v="2"/>
    <s v="Non-Fiction"/>
    <n v="24"/>
    <n v="11929.28"/>
    <s v="Male"/>
    <n v="1"/>
    <n v="2368.75"/>
    <n v="9560.5300000000007"/>
    <x v="4"/>
    <s v="Q2"/>
    <n v="2023"/>
    <s v="COD"/>
  </r>
  <r>
    <d v="2022-08-15T00:00:00"/>
    <x v="0"/>
    <x v="3"/>
    <s v="Chair"/>
    <n v="19"/>
    <n v="5280.12"/>
    <s v="Male"/>
    <n v="4"/>
    <n v="3196.83"/>
    <n v="2083.29"/>
    <x v="10"/>
    <s v="Q3"/>
    <n v="2022"/>
    <s v="COD"/>
  </r>
  <r>
    <d v="2022-09-17T00:00:00"/>
    <x v="4"/>
    <x v="2"/>
    <s v="Fiction"/>
    <n v="21"/>
    <n v="3442.14"/>
    <s v="Female"/>
    <n v="5"/>
    <n v="3801.2"/>
    <n v="-359.06"/>
    <x v="7"/>
    <s v="Q3"/>
    <n v="2022"/>
    <s v="Credit Card"/>
  </r>
  <r>
    <d v="2023-06-30T00:00:00"/>
    <x v="4"/>
    <x v="0"/>
    <s v="Tablet"/>
    <n v="44"/>
    <n v="5426.86"/>
    <s v="Male"/>
    <n v="5"/>
    <n v="2864.85"/>
    <n v="2562.0100000000002"/>
    <x v="0"/>
    <s v="Q2"/>
    <n v="2023"/>
    <s v="COD"/>
  </r>
  <r>
    <d v="2022-03-28T00:00:00"/>
    <x v="1"/>
    <x v="1"/>
    <s v="Dress"/>
    <n v="26"/>
    <n v="9215.7199999999993"/>
    <s v="Female"/>
    <n v="2"/>
    <n v="5495.99"/>
    <n v="3719.73"/>
    <x v="1"/>
    <s v="Q1"/>
    <n v="2022"/>
    <s v="COD"/>
  </r>
  <r>
    <d v="2023-06-05T00:00:00"/>
    <x v="2"/>
    <x v="4"/>
    <s v="Produce"/>
    <n v="31"/>
    <n v="14183.1"/>
    <s v="Female"/>
    <n v="2"/>
    <n v="7326.73"/>
    <n v="6856.37"/>
    <x v="0"/>
    <s v="Q2"/>
    <n v="2023"/>
    <s v="COD"/>
  </r>
  <r>
    <d v="2022-09-27T00:00:00"/>
    <x v="4"/>
    <x v="1"/>
    <s v="Jeans"/>
    <n v="26"/>
    <n v="9608.2999999999993"/>
    <s v="Male"/>
    <n v="4"/>
    <n v="4903.8599999999997"/>
    <n v="4704.4399999999996"/>
    <x v="7"/>
    <s v="Q3"/>
    <n v="2022"/>
    <s v="Credit Card"/>
  </r>
  <r>
    <d v="2023-04-10T00:00:00"/>
    <x v="4"/>
    <x v="4"/>
    <s v="Grains"/>
    <n v="43"/>
    <n v="14360.52"/>
    <s v="Male"/>
    <n v="3"/>
    <n v="7146.88"/>
    <n v="7213.64"/>
    <x v="3"/>
    <s v="Q2"/>
    <n v="2023"/>
    <s v="UPI"/>
  </r>
  <r>
    <d v="2023-11-22T00:00:00"/>
    <x v="3"/>
    <x v="0"/>
    <s v="Headphones"/>
    <n v="13"/>
    <n v="6037.45"/>
    <s v="Male"/>
    <n v="1"/>
    <n v="3113.79"/>
    <n v="2923.66"/>
    <x v="11"/>
    <s v="Q4"/>
    <n v="2023"/>
    <s v="Credit Card"/>
  </r>
  <r>
    <d v="2023-10-17T00:00:00"/>
    <x v="4"/>
    <x v="2"/>
    <s v="Fiction"/>
    <n v="31"/>
    <n v="4772.37"/>
    <s v="Female"/>
    <n v="1"/>
    <n v="4660.5"/>
    <n v="111.87"/>
    <x v="8"/>
    <s v="Q4"/>
    <n v="2023"/>
    <s v="COD"/>
  </r>
  <r>
    <d v="2022-02-04T00:00:00"/>
    <x v="0"/>
    <x v="4"/>
    <s v="Grains"/>
    <n v="12"/>
    <n v="4239.01"/>
    <s v="Female"/>
    <n v="4"/>
    <n v="2857.51"/>
    <n v="1381.5"/>
    <x v="2"/>
    <s v="Q1"/>
    <n v="2022"/>
    <s v="COD"/>
  </r>
  <r>
    <d v="2022-02-22T00:00:00"/>
    <x v="4"/>
    <x v="1"/>
    <s v="Dress"/>
    <n v="30"/>
    <n v="550.85"/>
    <s v="Female"/>
    <n v="3"/>
    <n v="1632.81"/>
    <n v="-1081.96"/>
    <x v="2"/>
    <s v="Q1"/>
    <n v="2022"/>
    <s v="Credit Card"/>
  </r>
  <r>
    <d v="2022-02-06T00:00:00"/>
    <x v="0"/>
    <x v="1"/>
    <s v="Jeans"/>
    <n v="27"/>
    <n v="1404.42"/>
    <s v="Male"/>
    <n v="1"/>
    <n v="3319.84"/>
    <n v="-1915.42"/>
    <x v="2"/>
    <s v="Q1"/>
    <n v="2022"/>
    <s v="COD"/>
  </r>
  <r>
    <d v="2023-06-10T00:00:00"/>
    <x v="4"/>
    <x v="3"/>
    <s v="Rug"/>
    <n v="7"/>
    <n v="3084.47"/>
    <s v="Male"/>
    <n v="2"/>
    <n v="766.66"/>
    <n v="2317.81"/>
    <x v="0"/>
    <s v="Q2"/>
    <n v="2023"/>
    <s v="COD"/>
  </r>
  <r>
    <d v="2023-05-18T00:00:00"/>
    <x v="0"/>
    <x v="0"/>
    <s v="Smartphone"/>
    <n v="14"/>
    <n v="2378.0700000000002"/>
    <s v="Female"/>
    <n v="2"/>
    <n v="734.72"/>
    <n v="1643.35"/>
    <x v="4"/>
    <s v="Q2"/>
    <n v="2023"/>
    <s v="COD"/>
  </r>
  <r>
    <d v="2023-03-06T00:00:00"/>
    <x v="2"/>
    <x v="1"/>
    <s v="Jeans"/>
    <n v="26"/>
    <n v="4842.26"/>
    <s v="Male"/>
    <n v="5"/>
    <n v="2266.4"/>
    <n v="2575.86"/>
    <x v="1"/>
    <s v="Q1"/>
    <n v="2023"/>
    <s v="UPI"/>
  </r>
  <r>
    <d v="2022-06-02T00:00:00"/>
    <x v="2"/>
    <x v="3"/>
    <s v="Table"/>
    <n v="24"/>
    <n v="11958.58"/>
    <s v="Female"/>
    <n v="2"/>
    <n v="378.11"/>
    <n v="11580.47"/>
    <x v="0"/>
    <s v="Q2"/>
    <n v="2022"/>
    <s v="COD"/>
  </r>
  <r>
    <d v="2022-11-06T00:00:00"/>
    <x v="1"/>
    <x v="4"/>
    <s v="Snacks"/>
    <n v="21"/>
    <n v="8406.23"/>
    <s v="Male"/>
    <n v="2"/>
    <n v="1662.05"/>
    <n v="6744.18"/>
    <x v="11"/>
    <s v="Q4"/>
    <n v="2022"/>
    <s v="COD"/>
  </r>
  <r>
    <d v="2022-02-22T00:00:00"/>
    <x v="2"/>
    <x v="3"/>
    <s v="Chair"/>
    <n v="33"/>
    <n v="8110.77"/>
    <s v="Male"/>
    <n v="4"/>
    <n v="6955.27"/>
    <n v="1155.5"/>
    <x v="2"/>
    <s v="Q1"/>
    <n v="2022"/>
    <s v="Debit Card"/>
  </r>
  <r>
    <d v="2022-06-01T00:00:00"/>
    <x v="0"/>
    <x v="0"/>
    <s v="Tablet"/>
    <n v="28"/>
    <n v="6234.72"/>
    <s v="Female"/>
    <n v="2"/>
    <n v="2742.33"/>
    <n v="3492.39"/>
    <x v="0"/>
    <s v="Q2"/>
    <n v="2022"/>
    <s v="COD"/>
  </r>
  <r>
    <d v="2022-04-07T00:00:00"/>
    <x v="1"/>
    <x v="2"/>
    <s v="Fiction"/>
    <n v="23"/>
    <n v="1664.07"/>
    <s v="Female"/>
    <n v="5"/>
    <n v="4314.4399999999996"/>
    <n v="-2650.37"/>
    <x v="3"/>
    <s v="Q2"/>
    <n v="2022"/>
    <s v="COD"/>
  </r>
  <r>
    <d v="2022-05-14T00:00:00"/>
    <x v="2"/>
    <x v="3"/>
    <s v="Chair"/>
    <n v="39"/>
    <n v="2953.35"/>
    <s v="Male"/>
    <n v="2"/>
    <n v="5702.95"/>
    <n v="-2749.6"/>
    <x v="4"/>
    <s v="Q2"/>
    <n v="2022"/>
    <s v="Credit Card"/>
  </r>
  <r>
    <d v="2022-11-16T00:00:00"/>
    <x v="4"/>
    <x v="1"/>
    <s v="Sweater"/>
    <n v="6"/>
    <n v="1490.56"/>
    <s v="Male"/>
    <n v="3"/>
    <n v="1091.6099999999999"/>
    <n v="398.95"/>
    <x v="11"/>
    <s v="Q4"/>
    <n v="2022"/>
    <s v="Debit Card"/>
  </r>
  <r>
    <d v="2023-05-24T00:00:00"/>
    <x v="1"/>
    <x v="2"/>
    <s v="Mystery"/>
    <n v="28"/>
    <n v="6481.44"/>
    <s v="Male"/>
    <n v="1"/>
    <n v="3202.63"/>
    <n v="3278.81"/>
    <x v="4"/>
    <s v="Q2"/>
    <n v="2023"/>
    <s v="COD"/>
  </r>
  <r>
    <d v="2022-10-26T00:00:00"/>
    <x v="3"/>
    <x v="4"/>
    <s v="Produce"/>
    <n v="34"/>
    <n v="6245.45"/>
    <s v="Female"/>
    <n v="3"/>
    <n v="2014.93"/>
    <n v="4230.5200000000004"/>
    <x v="8"/>
    <s v="Q4"/>
    <n v="2022"/>
    <s v="UPI"/>
  </r>
  <r>
    <d v="2023-05-06T00:00:00"/>
    <x v="0"/>
    <x v="2"/>
    <s v="Fiction"/>
    <n v="27"/>
    <n v="8149.81"/>
    <s v="Female"/>
    <n v="4"/>
    <n v="2872.43"/>
    <n v="5277.38"/>
    <x v="4"/>
    <s v="Q2"/>
    <n v="2023"/>
    <s v="COD"/>
  </r>
  <r>
    <d v="2022-11-21T00:00:00"/>
    <x v="4"/>
    <x v="4"/>
    <s v="Grains"/>
    <n v="12"/>
    <n v="5707.46"/>
    <s v="Male"/>
    <n v="3"/>
    <n v="1630.45"/>
    <n v="4077.01"/>
    <x v="11"/>
    <s v="Q4"/>
    <n v="2022"/>
    <s v="COD"/>
  </r>
  <r>
    <d v="2023-12-26T00:00:00"/>
    <x v="2"/>
    <x v="0"/>
    <s v="Headphones"/>
    <n v="16"/>
    <n v="5474.4"/>
    <s v="Female"/>
    <n v="4"/>
    <n v="2604.64"/>
    <n v="2869.76"/>
    <x v="6"/>
    <s v="Q4"/>
    <n v="2023"/>
    <s v="UPI"/>
  </r>
  <r>
    <d v="2023-10-01T00:00:00"/>
    <x v="4"/>
    <x v="2"/>
    <s v="Mystery"/>
    <n v="23"/>
    <n v="8853.9"/>
    <s v="Female"/>
    <n v="3"/>
    <n v="771.36"/>
    <n v="8082.54"/>
    <x v="8"/>
    <s v="Q4"/>
    <n v="2023"/>
    <s v="COD"/>
  </r>
  <r>
    <d v="2023-01-12T00:00:00"/>
    <x v="1"/>
    <x v="4"/>
    <s v="Beverages"/>
    <n v="5"/>
    <n v="2487.59"/>
    <s v="Female"/>
    <n v="1"/>
    <n v="1115.6600000000001"/>
    <n v="1371.93"/>
    <x v="5"/>
    <s v="Q1"/>
    <n v="2023"/>
    <s v="COD"/>
  </r>
  <r>
    <d v="2022-04-27T00:00:00"/>
    <x v="3"/>
    <x v="3"/>
    <s v="Lamp"/>
    <n v="43"/>
    <n v="9359.94"/>
    <s v="Female"/>
    <n v="4"/>
    <n v="6885.39"/>
    <n v="2474.5500000000002"/>
    <x v="3"/>
    <s v="Q2"/>
    <n v="2022"/>
    <s v="Credit Card"/>
  </r>
  <r>
    <d v="2022-09-03T00:00:00"/>
    <x v="2"/>
    <x v="3"/>
    <s v="Rug"/>
    <n v="29"/>
    <n v="10604.72"/>
    <s v="Female"/>
    <n v="3"/>
    <n v="3225.86"/>
    <n v="7378.86"/>
    <x v="7"/>
    <s v="Q3"/>
    <n v="2022"/>
    <s v="UPI"/>
  </r>
  <r>
    <d v="2023-01-25T00:00:00"/>
    <x v="3"/>
    <x v="2"/>
    <s v="Mystery"/>
    <n v="15"/>
    <n v="7208.78"/>
    <s v="Male"/>
    <n v="3"/>
    <n v="145.63"/>
    <n v="7063.15"/>
    <x v="5"/>
    <s v="Q1"/>
    <n v="2023"/>
    <s v="COD"/>
  </r>
  <r>
    <d v="2023-03-12T00:00:00"/>
    <x v="3"/>
    <x v="0"/>
    <s v="Tablet"/>
    <n v="44"/>
    <n v="9383.07"/>
    <s v="Female"/>
    <n v="3"/>
    <n v="9123.2900000000009"/>
    <n v="259.77999999999997"/>
    <x v="1"/>
    <s v="Q1"/>
    <n v="2023"/>
    <s v="COD"/>
  </r>
  <r>
    <d v="2022-10-07T00:00:00"/>
    <x v="4"/>
    <x v="4"/>
    <s v="Snacks"/>
    <n v="29"/>
    <n v="2658.8"/>
    <s v="Female"/>
    <n v="4"/>
    <n v="4077.67"/>
    <n v="-1418.87"/>
    <x v="8"/>
    <s v="Q4"/>
    <n v="2022"/>
    <s v="Credit Card"/>
  </r>
  <r>
    <d v="2022-07-12T00:00:00"/>
    <x v="3"/>
    <x v="0"/>
    <s v="Tablet"/>
    <n v="5"/>
    <n v="2418.9499999999998"/>
    <s v="Male"/>
    <n v="5"/>
    <n v="164.59"/>
    <n v="2254.36"/>
    <x v="9"/>
    <s v="Q3"/>
    <n v="2022"/>
    <s v="COD"/>
  </r>
  <r>
    <d v="2023-02-03T00:00:00"/>
    <x v="4"/>
    <x v="4"/>
    <s v="Grains"/>
    <n v="25"/>
    <n v="6024.93"/>
    <s v="Female"/>
    <n v="5"/>
    <n v="3967.36"/>
    <n v="2057.5700000000002"/>
    <x v="2"/>
    <s v="Q1"/>
    <n v="2023"/>
    <s v="UPI"/>
  </r>
  <r>
    <d v="2022-01-21T00:00:00"/>
    <x v="2"/>
    <x v="3"/>
    <s v="Rug"/>
    <n v="37"/>
    <n v="16492.46"/>
    <s v="Male"/>
    <n v="1"/>
    <n v="3919.57"/>
    <n v="12572.89"/>
    <x v="5"/>
    <s v="Q1"/>
    <n v="2022"/>
    <s v="COD"/>
  </r>
  <r>
    <d v="2022-06-09T00:00:00"/>
    <x v="3"/>
    <x v="3"/>
    <s v="Lamp"/>
    <n v="36"/>
    <n v="12468.59"/>
    <s v="Female"/>
    <n v="2"/>
    <n v="7143.61"/>
    <n v="5324.98"/>
    <x v="0"/>
    <s v="Q2"/>
    <n v="2022"/>
    <s v="Credit Card"/>
  </r>
  <r>
    <d v="2022-11-20T00:00:00"/>
    <x v="0"/>
    <x v="0"/>
    <s v="Tablet"/>
    <n v="19"/>
    <n v="3252.39"/>
    <s v="Female"/>
    <n v="5"/>
    <n v="2376.9"/>
    <n v="875.49"/>
    <x v="11"/>
    <s v="Q4"/>
    <n v="2022"/>
    <s v="Credit Card"/>
  </r>
  <r>
    <d v="2023-02-18T00:00:00"/>
    <x v="3"/>
    <x v="2"/>
    <s v="Mystery"/>
    <n v="36"/>
    <n v="5704.6"/>
    <s v="Female"/>
    <n v="5"/>
    <n v="8100.04"/>
    <n v="-2395.44"/>
    <x v="2"/>
    <s v="Q1"/>
    <n v="2023"/>
    <s v="Debit Card"/>
  </r>
  <r>
    <d v="2022-09-16T00:00:00"/>
    <x v="4"/>
    <x v="3"/>
    <s v="Lamp"/>
    <n v="23"/>
    <n v="2836.6"/>
    <s v="Male"/>
    <n v="2"/>
    <n v="1397.02"/>
    <n v="1439.58"/>
    <x v="7"/>
    <s v="Q3"/>
    <n v="2022"/>
    <s v="COD"/>
  </r>
  <r>
    <d v="2022-02-25T00:00:00"/>
    <x v="4"/>
    <x v="3"/>
    <s v="Lamp"/>
    <n v="43"/>
    <n v="12805.84"/>
    <s v="Male"/>
    <n v="5"/>
    <n v="4027.2"/>
    <n v="8778.64"/>
    <x v="2"/>
    <s v="Q1"/>
    <n v="2022"/>
    <s v="UPI"/>
  </r>
  <r>
    <d v="2022-09-22T00:00:00"/>
    <x v="3"/>
    <x v="4"/>
    <s v="Produce"/>
    <n v="5"/>
    <n v="1502.17"/>
    <s v="Female"/>
    <n v="3"/>
    <n v="50.25"/>
    <n v="1451.92"/>
    <x v="7"/>
    <s v="Q3"/>
    <n v="2022"/>
    <s v="Debit Card"/>
  </r>
  <r>
    <d v="2022-06-25T00:00:00"/>
    <x v="1"/>
    <x v="3"/>
    <s v="Rug"/>
    <n v="38"/>
    <n v="14525.44"/>
    <s v="Female"/>
    <n v="2"/>
    <n v="7364.73"/>
    <n v="7160.71"/>
    <x v="0"/>
    <s v="Q2"/>
    <n v="2022"/>
    <s v="Debit Card"/>
  </r>
  <r>
    <d v="2022-09-06T00:00:00"/>
    <x v="0"/>
    <x v="3"/>
    <s v="Table"/>
    <n v="48"/>
    <n v="23697.95"/>
    <s v="Male"/>
    <n v="2"/>
    <n v="10676.93"/>
    <n v="13021.02"/>
    <x v="7"/>
    <s v="Q3"/>
    <n v="2022"/>
    <s v="COD"/>
  </r>
  <r>
    <d v="2022-12-18T00:00:00"/>
    <x v="2"/>
    <x v="4"/>
    <s v="Beverages"/>
    <n v="45"/>
    <n v="21568.99"/>
    <s v="Female"/>
    <n v="2"/>
    <n v="3615.5"/>
    <n v="17953.490000000002"/>
    <x v="6"/>
    <s v="Q4"/>
    <n v="2022"/>
    <s v="COD"/>
  </r>
  <r>
    <d v="2022-10-21T00:00:00"/>
    <x v="2"/>
    <x v="1"/>
    <s v="Jeans"/>
    <n v="41"/>
    <n v="11441.83"/>
    <s v="Female"/>
    <n v="3"/>
    <n v="6920.72"/>
    <n v="4521.1099999999997"/>
    <x v="8"/>
    <s v="Q4"/>
    <n v="2022"/>
    <s v="COD"/>
  </r>
  <r>
    <d v="2022-02-19T00:00:00"/>
    <x v="0"/>
    <x v="1"/>
    <s v="Jeans"/>
    <n v="30"/>
    <n v="10172.02"/>
    <s v="Female"/>
    <n v="5"/>
    <n v="1908.27"/>
    <n v="8263.75"/>
    <x v="2"/>
    <s v="Q1"/>
    <n v="2022"/>
    <s v="Credit Card"/>
  </r>
  <r>
    <d v="2022-02-28T00:00:00"/>
    <x v="2"/>
    <x v="4"/>
    <s v="Grains"/>
    <n v="26"/>
    <n v="11596.06"/>
    <s v="Female"/>
    <n v="4"/>
    <n v="3643.44"/>
    <n v="7952.62"/>
    <x v="2"/>
    <s v="Q1"/>
    <n v="2022"/>
    <s v="COD"/>
  </r>
  <r>
    <d v="2022-12-24T00:00:00"/>
    <x v="1"/>
    <x v="3"/>
    <s v="Table"/>
    <n v="13"/>
    <n v="1822.46"/>
    <s v="Male"/>
    <n v="2"/>
    <n v="2294.59"/>
    <n v="-472.13"/>
    <x v="6"/>
    <s v="Q4"/>
    <n v="2022"/>
    <s v="COD"/>
  </r>
  <r>
    <d v="2023-12-04T00:00:00"/>
    <x v="4"/>
    <x v="1"/>
    <s v="T-Shirt"/>
    <n v="17"/>
    <n v="5387.8"/>
    <s v="Female"/>
    <n v="3"/>
    <n v="979.96"/>
    <n v="4407.84"/>
    <x v="6"/>
    <s v="Q4"/>
    <n v="2023"/>
    <s v="COD"/>
  </r>
  <r>
    <d v="2022-08-02T00:00:00"/>
    <x v="3"/>
    <x v="1"/>
    <s v="Jeans"/>
    <n v="34"/>
    <n v="5257.08"/>
    <s v="Female"/>
    <n v="1"/>
    <n v="7185.23"/>
    <n v="-1928.15"/>
    <x v="10"/>
    <s v="Q3"/>
    <n v="2022"/>
    <s v="COD"/>
  </r>
  <r>
    <d v="2022-03-29T00:00:00"/>
    <x v="3"/>
    <x v="1"/>
    <s v="Jeans"/>
    <n v="41"/>
    <n v="16296.06"/>
    <s v="Female"/>
    <n v="1"/>
    <n v="3817.42"/>
    <n v="12478.64"/>
    <x v="1"/>
    <s v="Q1"/>
    <n v="2022"/>
    <s v="COD"/>
  </r>
  <r>
    <d v="2022-12-31T00:00:00"/>
    <x v="0"/>
    <x v="2"/>
    <s v="Fiction"/>
    <n v="43"/>
    <n v="803.24"/>
    <s v="Female"/>
    <n v="1"/>
    <n v="8134.38"/>
    <n v="-7331.14"/>
    <x v="6"/>
    <s v="Q4"/>
    <n v="2022"/>
    <s v="Credit Card"/>
  </r>
  <r>
    <d v="2023-03-19T00:00:00"/>
    <x v="3"/>
    <x v="0"/>
    <s v="Smartphone"/>
    <n v="1"/>
    <n v="41.69"/>
    <s v="Female"/>
    <n v="3"/>
    <n v="229.44"/>
    <n v="-187.75"/>
    <x v="1"/>
    <s v="Q1"/>
    <n v="2023"/>
    <s v="UPI"/>
  </r>
  <r>
    <d v="2023-02-21T00:00:00"/>
    <x v="4"/>
    <x v="1"/>
    <s v="Sweater"/>
    <n v="41"/>
    <n v="13332.51"/>
    <s v="Male"/>
    <n v="2"/>
    <n v="4143.88"/>
    <n v="9188.6299999999992"/>
    <x v="2"/>
    <s v="Q1"/>
    <n v="2023"/>
    <s v="COD"/>
  </r>
  <r>
    <d v="2022-04-11T00:00:00"/>
    <x v="3"/>
    <x v="4"/>
    <s v="Produce"/>
    <n v="36"/>
    <n v="4072.45"/>
    <s v="Male"/>
    <n v="3"/>
    <n v="4832.3999999999996"/>
    <n v="-759.95"/>
    <x v="3"/>
    <s v="Q2"/>
    <n v="2022"/>
    <s v="COD"/>
  </r>
  <r>
    <d v="2023-11-16T00:00:00"/>
    <x v="0"/>
    <x v="3"/>
    <s v="Lamp"/>
    <n v="13"/>
    <n v="5288.36"/>
    <s v="Male"/>
    <n v="2"/>
    <n v="460"/>
    <n v="4828.3599999999997"/>
    <x v="11"/>
    <s v="Q4"/>
    <n v="2023"/>
    <s v="Credit Card"/>
  </r>
  <r>
    <d v="2023-07-13T00:00:00"/>
    <x v="4"/>
    <x v="1"/>
    <s v="T-Shirt"/>
    <n v="41"/>
    <n v="714.65"/>
    <s v="Male"/>
    <n v="2"/>
    <n v="6946.88"/>
    <n v="-6232.23"/>
    <x v="9"/>
    <s v="Q3"/>
    <n v="2023"/>
    <s v="COD"/>
  </r>
  <r>
    <d v="2022-07-17T00:00:00"/>
    <x v="3"/>
    <x v="0"/>
    <s v="Tablet"/>
    <n v="45"/>
    <n v="1956.97"/>
    <s v="Male"/>
    <n v="4"/>
    <n v="1218.83"/>
    <n v="738.14"/>
    <x v="9"/>
    <s v="Q3"/>
    <n v="2022"/>
    <s v="COD"/>
  </r>
  <r>
    <d v="2022-09-08T00:00:00"/>
    <x v="1"/>
    <x v="1"/>
    <s v="T-Shirt"/>
    <n v="12"/>
    <n v="881.56"/>
    <s v="Male"/>
    <n v="5"/>
    <n v="1431.98"/>
    <n v="-550.41999999999996"/>
    <x v="7"/>
    <s v="Q3"/>
    <n v="2022"/>
    <s v="COD"/>
  </r>
  <r>
    <d v="2023-07-28T00:00:00"/>
    <x v="4"/>
    <x v="3"/>
    <s v="Table"/>
    <n v="29"/>
    <n v="437.17"/>
    <s v="Female"/>
    <n v="2"/>
    <n v="2587.4499999999998"/>
    <n v="-2150.2800000000002"/>
    <x v="9"/>
    <s v="Q3"/>
    <n v="2023"/>
    <s v="Debit Card"/>
  </r>
  <r>
    <d v="2022-02-16T00:00:00"/>
    <x v="0"/>
    <x v="3"/>
    <s v="Table"/>
    <n v="32"/>
    <n v="1027"/>
    <s v="Female"/>
    <n v="2"/>
    <n v="5536.74"/>
    <n v="-4509.74"/>
    <x v="2"/>
    <s v="Q1"/>
    <n v="2022"/>
    <s v="COD"/>
  </r>
  <r>
    <d v="2022-09-22T00:00:00"/>
    <x v="2"/>
    <x v="2"/>
    <s v="Fiction"/>
    <n v="24"/>
    <n v="4118.1499999999996"/>
    <s v="Male"/>
    <n v="5"/>
    <n v="2576.39"/>
    <n v="1541.76"/>
    <x v="7"/>
    <s v="Q3"/>
    <n v="2022"/>
    <s v="COD"/>
  </r>
  <r>
    <d v="2023-11-24T00:00:00"/>
    <x v="1"/>
    <x v="2"/>
    <s v="Fiction"/>
    <n v="50"/>
    <n v="17485.32"/>
    <s v="Female"/>
    <n v="5"/>
    <n v="6887.79"/>
    <n v="10597.53"/>
    <x v="11"/>
    <s v="Q4"/>
    <n v="2023"/>
    <s v="UPI"/>
  </r>
  <r>
    <d v="2023-03-02T00:00:00"/>
    <x v="1"/>
    <x v="3"/>
    <s v="Chair"/>
    <n v="27"/>
    <n v="4916.0200000000004"/>
    <s v="Male"/>
    <n v="3"/>
    <n v="1711.04"/>
    <n v="3204.98"/>
    <x v="1"/>
    <s v="Q1"/>
    <n v="2023"/>
    <s v="COD"/>
  </r>
  <r>
    <d v="2022-02-01T00:00:00"/>
    <x v="2"/>
    <x v="2"/>
    <s v="Mystery"/>
    <n v="33"/>
    <n v="12396.69"/>
    <s v="Male"/>
    <n v="5"/>
    <n v="7446.26"/>
    <n v="4950.43"/>
    <x v="2"/>
    <s v="Q1"/>
    <n v="2022"/>
    <s v="COD"/>
  </r>
  <r>
    <d v="2022-05-07T00:00:00"/>
    <x v="3"/>
    <x v="2"/>
    <s v="Fiction"/>
    <n v="6"/>
    <n v="60.2"/>
    <s v="Male"/>
    <n v="2"/>
    <n v="379.68"/>
    <n v="-319.48"/>
    <x v="4"/>
    <s v="Q2"/>
    <n v="2022"/>
    <s v="COD"/>
  </r>
  <r>
    <d v="2022-01-10T00:00:00"/>
    <x v="4"/>
    <x v="4"/>
    <s v="Produce"/>
    <n v="25"/>
    <n v="4254.0200000000004"/>
    <s v="Female"/>
    <n v="4"/>
    <n v="301.98"/>
    <n v="3952.04"/>
    <x v="5"/>
    <s v="Q1"/>
    <n v="2022"/>
    <s v="UPI"/>
  </r>
  <r>
    <d v="2022-12-17T00:00:00"/>
    <x v="2"/>
    <x v="3"/>
    <s v="Lamp"/>
    <n v="23"/>
    <n v="3836.59"/>
    <s v="Female"/>
    <n v="1"/>
    <n v="3449.11"/>
    <n v="387.48"/>
    <x v="6"/>
    <s v="Q4"/>
    <n v="2022"/>
    <s v="COD"/>
  </r>
  <r>
    <d v="2022-01-06T00:00:00"/>
    <x v="1"/>
    <x v="1"/>
    <s v="Jeans"/>
    <n v="6"/>
    <n v="1169.3699999999999"/>
    <s v="Female"/>
    <n v="2"/>
    <n v="529.91999999999996"/>
    <n v="639.45000000000005"/>
    <x v="5"/>
    <s v="Q1"/>
    <n v="2022"/>
    <s v="COD"/>
  </r>
  <r>
    <d v="2022-07-11T00:00:00"/>
    <x v="2"/>
    <x v="0"/>
    <s v="Laptop"/>
    <n v="40"/>
    <n v="15782.09"/>
    <s v="Male"/>
    <n v="2"/>
    <n v="2175.12"/>
    <n v="13606.97"/>
    <x v="9"/>
    <s v="Q3"/>
    <n v="2022"/>
    <s v="COD"/>
  </r>
  <r>
    <d v="2022-05-08T00:00:00"/>
    <x v="4"/>
    <x v="0"/>
    <s v="Laptop"/>
    <n v="7"/>
    <n v="691.09"/>
    <s v="Male"/>
    <n v="1"/>
    <n v="1186.26"/>
    <n v="-495.17"/>
    <x v="4"/>
    <s v="Q2"/>
    <n v="2022"/>
    <s v="COD"/>
  </r>
  <r>
    <d v="2022-12-12T00:00:00"/>
    <x v="4"/>
    <x v="2"/>
    <s v="Fiction"/>
    <n v="43"/>
    <n v="6988.41"/>
    <s v="Female"/>
    <n v="2"/>
    <n v="5706.93"/>
    <n v="1281.48"/>
    <x v="6"/>
    <s v="Q4"/>
    <n v="2022"/>
    <s v="Credit Card"/>
  </r>
  <r>
    <d v="2023-09-08T00:00:00"/>
    <x v="2"/>
    <x v="3"/>
    <s v="Chair"/>
    <n v="37"/>
    <n v="16500.599999999999"/>
    <s v="Male"/>
    <n v="4"/>
    <n v="7142.47"/>
    <n v="9358.1299999999992"/>
    <x v="7"/>
    <s v="Q3"/>
    <n v="2023"/>
    <s v="UPI"/>
  </r>
  <r>
    <d v="2023-11-22T00:00:00"/>
    <x v="0"/>
    <x v="0"/>
    <s v="Laptop"/>
    <n v="23"/>
    <n v="10902.31"/>
    <s v="Male"/>
    <n v="5"/>
    <n v="3721.27"/>
    <n v="7181.04"/>
    <x v="11"/>
    <s v="Q4"/>
    <n v="2023"/>
    <s v="UPI"/>
  </r>
  <r>
    <d v="2022-09-06T00:00:00"/>
    <x v="4"/>
    <x v="4"/>
    <s v="Snacks"/>
    <n v="4"/>
    <n v="1473.57"/>
    <s v="Female"/>
    <n v="3"/>
    <n v="151.29"/>
    <n v="1322.28"/>
    <x v="7"/>
    <s v="Q3"/>
    <n v="2022"/>
    <s v="UPI"/>
  </r>
  <r>
    <d v="2023-08-11T00:00:00"/>
    <x v="1"/>
    <x v="1"/>
    <s v="Jeans"/>
    <n v="17"/>
    <n v="3639.02"/>
    <s v="Female"/>
    <n v="3"/>
    <n v="2833.57"/>
    <n v="805.45"/>
    <x v="10"/>
    <s v="Q3"/>
    <n v="2023"/>
    <s v="UPI"/>
  </r>
  <r>
    <d v="2023-03-28T00:00:00"/>
    <x v="1"/>
    <x v="2"/>
    <s v="Mystery"/>
    <n v="21"/>
    <n v="6110.42"/>
    <s v="Male"/>
    <n v="1"/>
    <n v="4512.8500000000004"/>
    <n v="1597.57"/>
    <x v="1"/>
    <s v="Q1"/>
    <n v="2023"/>
    <s v="UPI"/>
  </r>
  <r>
    <d v="2022-11-22T00:00:00"/>
    <x v="4"/>
    <x v="4"/>
    <s v="Beverages"/>
    <n v="49"/>
    <n v="23388.31"/>
    <s v="Male"/>
    <n v="5"/>
    <n v="316.95"/>
    <n v="23071.360000000001"/>
    <x v="11"/>
    <s v="Q4"/>
    <n v="2022"/>
    <s v="COD"/>
  </r>
  <r>
    <d v="2022-09-20T00:00:00"/>
    <x v="0"/>
    <x v="2"/>
    <s v="Sci-Fi"/>
    <n v="38"/>
    <n v="17189.72"/>
    <s v="Female"/>
    <n v="2"/>
    <n v="4320.3100000000004"/>
    <n v="12869.41"/>
    <x v="7"/>
    <s v="Q3"/>
    <n v="2022"/>
    <s v="UPI"/>
  </r>
  <r>
    <d v="2023-03-01T00:00:00"/>
    <x v="2"/>
    <x v="1"/>
    <s v="Dress"/>
    <n v="40"/>
    <n v="12711.29"/>
    <s v="Male"/>
    <n v="4"/>
    <n v="470.44"/>
    <n v="12240.85"/>
    <x v="1"/>
    <s v="Q1"/>
    <n v="2023"/>
    <s v="UPI"/>
  </r>
  <r>
    <d v="2022-10-07T00:00:00"/>
    <x v="0"/>
    <x v="4"/>
    <s v="Produce"/>
    <n v="24"/>
    <n v="10663.3"/>
    <s v="Male"/>
    <n v="2"/>
    <n v="481.57"/>
    <n v="10181.73"/>
    <x v="8"/>
    <s v="Q4"/>
    <n v="2022"/>
    <s v="UPI"/>
  </r>
  <r>
    <d v="2023-01-17T00:00:00"/>
    <x v="4"/>
    <x v="0"/>
    <s v="Tablet"/>
    <n v="44"/>
    <n v="15587.57"/>
    <s v="Male"/>
    <n v="3"/>
    <n v="2566.66"/>
    <n v="13020.91"/>
    <x v="5"/>
    <s v="Q1"/>
    <n v="2023"/>
    <s v="COD"/>
  </r>
  <r>
    <d v="2023-12-05T00:00:00"/>
    <x v="1"/>
    <x v="1"/>
    <s v="Sweater"/>
    <n v="41"/>
    <n v="12143.34"/>
    <s v="Female"/>
    <n v="5"/>
    <n v="3323.69"/>
    <n v="8819.65"/>
    <x v="6"/>
    <s v="Q4"/>
    <n v="2023"/>
    <s v="COD"/>
  </r>
  <r>
    <d v="2022-03-13T00:00:00"/>
    <x v="3"/>
    <x v="0"/>
    <s v="Tablet"/>
    <n v="20"/>
    <n v="3383.9"/>
    <s v="Female"/>
    <n v="1"/>
    <n v="3682.91"/>
    <n v="-299.01"/>
    <x v="1"/>
    <s v="Q1"/>
    <n v="2022"/>
    <s v="COD"/>
  </r>
  <r>
    <d v="2023-04-04T00:00:00"/>
    <x v="0"/>
    <x v="1"/>
    <s v="Dress"/>
    <n v="49"/>
    <n v="963.63"/>
    <s v="Male"/>
    <n v="2"/>
    <n v="6381.31"/>
    <n v="-5417.68"/>
    <x v="3"/>
    <s v="Q2"/>
    <n v="2023"/>
    <s v="UPI"/>
  </r>
  <r>
    <d v="2022-03-31T00:00:00"/>
    <x v="4"/>
    <x v="3"/>
    <s v="Table"/>
    <n v="37"/>
    <n v="7509.05"/>
    <s v="Male"/>
    <n v="2"/>
    <n v="3120.24"/>
    <n v="4388.8100000000004"/>
    <x v="1"/>
    <s v="Q1"/>
    <n v="2022"/>
    <s v="COD"/>
  </r>
  <r>
    <d v="2022-01-28T00:00:00"/>
    <x v="3"/>
    <x v="0"/>
    <s v="Smartphone"/>
    <n v="35"/>
    <n v="15697.03"/>
    <s v="Female"/>
    <n v="1"/>
    <n v="3815.12"/>
    <n v="11881.91"/>
    <x v="5"/>
    <s v="Q1"/>
    <n v="2022"/>
    <s v="COD"/>
  </r>
  <r>
    <d v="2022-02-18T00:00:00"/>
    <x v="2"/>
    <x v="2"/>
    <s v="Non-Fiction"/>
    <n v="11"/>
    <n v="5179.43"/>
    <s v="Male"/>
    <n v="4"/>
    <n v="2673.67"/>
    <n v="2505.7600000000002"/>
    <x v="2"/>
    <s v="Q1"/>
    <n v="2022"/>
    <s v="UPI"/>
  </r>
  <r>
    <d v="2023-09-12T00:00:00"/>
    <x v="3"/>
    <x v="1"/>
    <s v="Dress"/>
    <n v="38"/>
    <n v="5996.68"/>
    <s v="Male"/>
    <n v="1"/>
    <n v="2864.44"/>
    <n v="3132.24"/>
    <x v="7"/>
    <s v="Q3"/>
    <n v="2023"/>
    <s v="COD"/>
  </r>
  <r>
    <d v="2022-09-13T00:00:00"/>
    <x v="1"/>
    <x v="4"/>
    <s v="Beverages"/>
    <n v="44"/>
    <n v="6963.89"/>
    <s v="Male"/>
    <n v="3"/>
    <n v="2053.09"/>
    <n v="4910.8"/>
    <x v="7"/>
    <s v="Q3"/>
    <n v="2022"/>
    <s v="Debit Card"/>
  </r>
  <r>
    <d v="2022-09-07T00:00:00"/>
    <x v="2"/>
    <x v="1"/>
    <s v="T-Shirt"/>
    <n v="20"/>
    <n v="1325.04"/>
    <s v="Male"/>
    <n v="5"/>
    <n v="2022.14"/>
    <n v="-697.1"/>
    <x v="7"/>
    <s v="Q3"/>
    <n v="2022"/>
    <s v="COD"/>
  </r>
  <r>
    <d v="2022-04-28T00:00:00"/>
    <x v="4"/>
    <x v="2"/>
    <s v="Fiction"/>
    <n v="22"/>
    <n v="10838.8"/>
    <s v="Female"/>
    <n v="2"/>
    <n v="1427.5"/>
    <n v="9411.2999999999993"/>
    <x v="3"/>
    <s v="Q2"/>
    <n v="2022"/>
    <s v="COD"/>
  </r>
  <r>
    <d v="2022-07-02T00:00:00"/>
    <x v="1"/>
    <x v="0"/>
    <s v="Smartphone"/>
    <n v="11"/>
    <n v="2616.3000000000002"/>
    <s v="Female"/>
    <n v="5"/>
    <n v="287.27"/>
    <n v="2329.0300000000002"/>
    <x v="9"/>
    <s v="Q3"/>
    <n v="2022"/>
    <s v="UPI"/>
  </r>
  <r>
    <d v="2022-11-05T00:00:00"/>
    <x v="4"/>
    <x v="1"/>
    <s v="Dress"/>
    <n v="33"/>
    <n v="14356.85"/>
    <s v="Male"/>
    <n v="1"/>
    <n v="3877.44"/>
    <n v="10479.41"/>
    <x v="11"/>
    <s v="Q4"/>
    <n v="2022"/>
    <s v="COD"/>
  </r>
  <r>
    <d v="2022-02-27T00:00:00"/>
    <x v="1"/>
    <x v="4"/>
    <s v="Beverages"/>
    <n v="49"/>
    <n v="18716.36"/>
    <s v="Female"/>
    <n v="2"/>
    <n v="7073.52"/>
    <n v="11642.84"/>
    <x v="2"/>
    <s v="Q1"/>
    <n v="2022"/>
    <s v="COD"/>
  </r>
  <r>
    <d v="2023-02-20T00:00:00"/>
    <x v="2"/>
    <x v="2"/>
    <s v="Sci-Fi"/>
    <n v="4"/>
    <n v="1873.16"/>
    <s v="Female"/>
    <n v="2"/>
    <n v="601.27"/>
    <n v="1271.8900000000001"/>
    <x v="2"/>
    <s v="Q1"/>
    <n v="2023"/>
    <s v="UPI"/>
  </r>
  <r>
    <d v="2023-11-29T00:00:00"/>
    <x v="4"/>
    <x v="4"/>
    <s v="Grains"/>
    <n v="10"/>
    <n v="351.15"/>
    <s v="Male"/>
    <n v="5"/>
    <n v="2407.0500000000002"/>
    <n v="-2055.9"/>
    <x v="11"/>
    <s v="Q4"/>
    <n v="2023"/>
    <s v="UPI"/>
  </r>
  <r>
    <d v="2023-02-18T00:00:00"/>
    <x v="0"/>
    <x v="1"/>
    <s v="T-Shirt"/>
    <n v="26"/>
    <n v="12296.44"/>
    <s v="Male"/>
    <n v="4"/>
    <n v="2555.48"/>
    <n v="9740.9599999999991"/>
    <x v="2"/>
    <s v="Q1"/>
    <n v="2023"/>
    <s v="COD"/>
  </r>
  <r>
    <d v="2022-09-14T00:00:00"/>
    <x v="2"/>
    <x v="1"/>
    <s v="Dress"/>
    <n v="49"/>
    <n v="17471.28"/>
    <s v="Female"/>
    <n v="3"/>
    <n v="10785.32"/>
    <n v="6685.96"/>
    <x v="7"/>
    <s v="Q3"/>
    <n v="2022"/>
    <s v="COD"/>
  </r>
  <r>
    <d v="2022-05-25T00:00:00"/>
    <x v="1"/>
    <x v="2"/>
    <s v="Non-Fiction"/>
    <n v="1"/>
    <n v="58"/>
    <s v="Female"/>
    <n v="1"/>
    <n v="120.96"/>
    <n v="-62.96"/>
    <x v="4"/>
    <s v="Q2"/>
    <n v="2022"/>
    <s v="COD"/>
  </r>
  <r>
    <d v="2022-05-05T00:00:00"/>
    <x v="2"/>
    <x v="2"/>
    <s v="Mystery"/>
    <n v="9"/>
    <n v="3848.35"/>
    <s v="Male"/>
    <n v="4"/>
    <n v="366.06"/>
    <n v="3482.29"/>
    <x v="4"/>
    <s v="Q2"/>
    <n v="2022"/>
    <s v="COD"/>
  </r>
  <r>
    <d v="2023-08-27T00:00:00"/>
    <x v="0"/>
    <x v="4"/>
    <s v="Produce"/>
    <n v="29"/>
    <n v="3003.7"/>
    <s v="Female"/>
    <n v="5"/>
    <n v="5454.1"/>
    <n v="-2450.4"/>
    <x v="10"/>
    <s v="Q3"/>
    <n v="2023"/>
    <s v="COD"/>
  </r>
  <r>
    <d v="2023-01-03T00:00:00"/>
    <x v="0"/>
    <x v="0"/>
    <s v="Smartphone"/>
    <n v="48"/>
    <n v="17001.62"/>
    <s v="Male"/>
    <n v="4"/>
    <n v="9478.16"/>
    <n v="7523.46"/>
    <x v="5"/>
    <s v="Q1"/>
    <n v="2023"/>
    <s v="COD"/>
  </r>
  <r>
    <d v="2022-02-24T00:00:00"/>
    <x v="0"/>
    <x v="4"/>
    <s v="Produce"/>
    <n v="34"/>
    <n v="16038.24"/>
    <s v="Male"/>
    <n v="4"/>
    <n v="4186.97"/>
    <n v="11851.27"/>
    <x v="2"/>
    <s v="Q1"/>
    <n v="2022"/>
    <s v="Credit Card"/>
  </r>
  <r>
    <d v="2023-02-13T00:00:00"/>
    <x v="2"/>
    <x v="4"/>
    <s v="Grains"/>
    <n v="1"/>
    <n v="237.25"/>
    <s v="Male"/>
    <n v="5"/>
    <n v="148.32"/>
    <n v="88.93"/>
    <x v="2"/>
    <s v="Q1"/>
    <n v="2023"/>
    <s v="Credit Card"/>
  </r>
  <r>
    <d v="2022-12-11T00:00:00"/>
    <x v="3"/>
    <x v="2"/>
    <s v="Non-Fiction"/>
    <n v="39"/>
    <n v="3116.14"/>
    <s v="Female"/>
    <n v="1"/>
    <n v="2359.98"/>
    <n v="756.16"/>
    <x v="6"/>
    <s v="Q4"/>
    <n v="2022"/>
    <s v="UPI"/>
  </r>
  <r>
    <d v="2023-05-11T00:00:00"/>
    <x v="3"/>
    <x v="1"/>
    <s v="Sweater"/>
    <n v="7"/>
    <n v="828.68"/>
    <s v="Female"/>
    <n v="3"/>
    <n v="946.02"/>
    <n v="-117.34"/>
    <x v="4"/>
    <s v="Q2"/>
    <n v="2023"/>
    <s v="UPI"/>
  </r>
  <r>
    <d v="2023-10-31T00:00:00"/>
    <x v="3"/>
    <x v="0"/>
    <s v="Headphones"/>
    <n v="45"/>
    <n v="13493.16"/>
    <s v="Male"/>
    <n v="5"/>
    <n v="7580.81"/>
    <n v="5912.35"/>
    <x v="8"/>
    <s v="Q4"/>
    <n v="2023"/>
    <s v="COD"/>
  </r>
  <r>
    <d v="2022-04-15T00:00:00"/>
    <x v="3"/>
    <x v="4"/>
    <s v="Produce"/>
    <n v="11"/>
    <n v="4538.43"/>
    <s v="Male"/>
    <n v="3"/>
    <n v="1809.47"/>
    <n v="2728.96"/>
    <x v="3"/>
    <s v="Q2"/>
    <n v="2022"/>
    <s v="Credit Card"/>
  </r>
  <r>
    <d v="2023-02-06T00:00:00"/>
    <x v="2"/>
    <x v="1"/>
    <s v="Jeans"/>
    <n v="27"/>
    <n v="12880.26"/>
    <s v="Male"/>
    <n v="5"/>
    <n v="4183.8900000000003"/>
    <n v="8696.3700000000008"/>
    <x v="2"/>
    <s v="Q1"/>
    <n v="2023"/>
    <s v="COD"/>
  </r>
  <r>
    <d v="2022-11-12T00:00:00"/>
    <x v="1"/>
    <x v="1"/>
    <s v="T-Shirt"/>
    <n v="33"/>
    <n v="12804.71"/>
    <s v="Female"/>
    <n v="2"/>
    <n v="3415.83"/>
    <n v="9388.8799999999992"/>
    <x v="11"/>
    <s v="Q4"/>
    <n v="2022"/>
    <s v="Credit Card"/>
  </r>
  <r>
    <d v="2023-02-15T00:00:00"/>
    <x v="2"/>
    <x v="0"/>
    <s v="Tablet"/>
    <n v="37"/>
    <n v="11870.68"/>
    <s v="Male"/>
    <n v="2"/>
    <n v="1357.52"/>
    <n v="10513.16"/>
    <x v="2"/>
    <s v="Q1"/>
    <n v="2023"/>
    <s v="Credit Card"/>
  </r>
  <r>
    <d v="2022-01-15T00:00:00"/>
    <x v="1"/>
    <x v="1"/>
    <s v="Sweater"/>
    <n v="41"/>
    <n v="16697.86"/>
    <s v="Male"/>
    <n v="5"/>
    <n v="3471.48"/>
    <n v="13226.38"/>
    <x v="5"/>
    <s v="Q1"/>
    <n v="2022"/>
    <s v="Credit Card"/>
  </r>
  <r>
    <d v="2022-11-08T00:00:00"/>
    <x v="3"/>
    <x v="2"/>
    <s v="Non-Fiction"/>
    <n v="32"/>
    <n v="12716.96"/>
    <s v="Female"/>
    <n v="3"/>
    <n v="6576.09"/>
    <n v="6140.87"/>
    <x v="11"/>
    <s v="Q4"/>
    <n v="2022"/>
    <s v="COD"/>
  </r>
  <r>
    <d v="2023-10-17T00:00:00"/>
    <x v="2"/>
    <x v="1"/>
    <s v="Jeans"/>
    <n v="50"/>
    <n v="8424.09"/>
    <s v="Male"/>
    <n v="5"/>
    <n v="9688.82"/>
    <n v="-1264.73"/>
    <x v="8"/>
    <s v="Q4"/>
    <n v="2023"/>
    <s v="COD"/>
  </r>
  <r>
    <d v="2023-03-15T00:00:00"/>
    <x v="1"/>
    <x v="1"/>
    <s v="T-Shirt"/>
    <n v="50"/>
    <n v="18616.48"/>
    <s v="Female"/>
    <n v="1"/>
    <n v="763.99"/>
    <n v="17852.490000000002"/>
    <x v="1"/>
    <s v="Q1"/>
    <n v="2023"/>
    <s v="COD"/>
  </r>
  <r>
    <d v="2023-12-22T00:00:00"/>
    <x v="4"/>
    <x v="0"/>
    <s v="Headphones"/>
    <n v="23"/>
    <n v="2380.92"/>
    <s v="Male"/>
    <n v="4"/>
    <n v="3413.75"/>
    <n v="-1032.83"/>
    <x v="6"/>
    <s v="Q4"/>
    <n v="2023"/>
    <s v="COD"/>
  </r>
  <r>
    <d v="2022-08-24T00:00:00"/>
    <x v="4"/>
    <x v="4"/>
    <s v="Snacks"/>
    <n v="6"/>
    <n v="838.25"/>
    <s v="Male"/>
    <n v="3"/>
    <n v="668.54"/>
    <n v="169.71"/>
    <x v="10"/>
    <s v="Q3"/>
    <n v="2022"/>
    <s v="COD"/>
  </r>
  <r>
    <d v="2023-05-10T00:00:00"/>
    <x v="1"/>
    <x v="0"/>
    <s v="Smartphone"/>
    <n v="46"/>
    <n v="10163.61"/>
    <s v="Female"/>
    <n v="3"/>
    <n v="674.58"/>
    <n v="9489.0300000000007"/>
    <x v="4"/>
    <s v="Q2"/>
    <n v="2023"/>
    <s v="COD"/>
  </r>
  <r>
    <d v="2022-12-04T00:00:00"/>
    <x v="1"/>
    <x v="0"/>
    <s v="Laptop"/>
    <n v="37"/>
    <n v="14640.5"/>
    <s v="Male"/>
    <n v="2"/>
    <n v="650.99"/>
    <n v="13989.51"/>
    <x v="6"/>
    <s v="Q4"/>
    <n v="2022"/>
    <s v="EMI"/>
  </r>
  <r>
    <d v="2022-12-05T00:00:00"/>
    <x v="1"/>
    <x v="1"/>
    <s v="Sweater"/>
    <n v="28"/>
    <n v="8062.7"/>
    <s v="Male"/>
    <n v="5"/>
    <n v="2513.64"/>
    <n v="5549.06"/>
    <x v="6"/>
    <s v="Q4"/>
    <n v="2022"/>
    <s v="Credit Card"/>
  </r>
  <r>
    <d v="2022-06-24T00:00:00"/>
    <x v="2"/>
    <x v="3"/>
    <s v="Lamp"/>
    <n v="4"/>
    <n v="916.38"/>
    <s v="Male"/>
    <n v="5"/>
    <n v="893.69"/>
    <n v="22.69"/>
    <x v="0"/>
    <s v="Q2"/>
    <n v="2022"/>
    <s v="COD"/>
  </r>
  <r>
    <d v="2022-09-10T00:00:00"/>
    <x v="2"/>
    <x v="0"/>
    <s v="Laptop"/>
    <n v="48"/>
    <n v="16533.09"/>
    <s v="Male"/>
    <n v="5"/>
    <n v="9902.07"/>
    <n v="6631.02"/>
    <x v="7"/>
    <s v="Q3"/>
    <n v="2022"/>
    <s v="COD"/>
  </r>
  <r>
    <d v="2023-04-25T00:00:00"/>
    <x v="1"/>
    <x v="0"/>
    <s v="Headphones"/>
    <n v="29"/>
    <n v="8745.2199999999993"/>
    <s v="Male"/>
    <n v="1"/>
    <n v="6049.52"/>
    <n v="2695.7"/>
    <x v="3"/>
    <s v="Q2"/>
    <n v="2023"/>
    <s v="Credit Card"/>
  </r>
  <r>
    <d v="2022-01-17T00:00:00"/>
    <x v="3"/>
    <x v="1"/>
    <s v="T-Shirt"/>
    <n v="31"/>
    <n v="13260.85"/>
    <s v="Female"/>
    <n v="3"/>
    <n v="7589.66"/>
    <n v="5671.19"/>
    <x v="5"/>
    <s v="Q1"/>
    <n v="2022"/>
    <s v="COD"/>
  </r>
  <r>
    <d v="2022-11-06T00:00:00"/>
    <x v="0"/>
    <x v="0"/>
    <s v="Headphones"/>
    <n v="31"/>
    <n v="12957.12"/>
    <s v="Male"/>
    <n v="2"/>
    <n v="4378.6499999999996"/>
    <n v="8578.4699999999993"/>
    <x v="11"/>
    <s v="Q4"/>
    <n v="2022"/>
    <s v="COD"/>
  </r>
  <r>
    <d v="2023-04-14T00:00:00"/>
    <x v="0"/>
    <x v="3"/>
    <s v="Chair"/>
    <n v="6"/>
    <n v="2036.86"/>
    <s v="Male"/>
    <n v="5"/>
    <n v="1251.3599999999999"/>
    <n v="785.5"/>
    <x v="3"/>
    <s v="Q2"/>
    <n v="2023"/>
    <s v="Credit Card"/>
  </r>
  <r>
    <d v="2023-10-18T00:00:00"/>
    <x v="4"/>
    <x v="0"/>
    <s v="Headphones"/>
    <n v="35"/>
    <n v="13564.36"/>
    <s v="Female"/>
    <n v="1"/>
    <n v="5206.9399999999996"/>
    <n v="8357.42"/>
    <x v="8"/>
    <s v="Q4"/>
    <n v="2023"/>
    <s v="COD"/>
  </r>
  <r>
    <d v="2022-06-15T00:00:00"/>
    <x v="2"/>
    <x v="0"/>
    <s v="Laptop"/>
    <n v="8"/>
    <n v="3788.2"/>
    <s v="Female"/>
    <n v="2"/>
    <n v="1180.99"/>
    <n v="2607.21"/>
    <x v="0"/>
    <s v="Q2"/>
    <n v="2022"/>
    <s v="UPI"/>
  </r>
  <r>
    <d v="2022-11-19T00:00:00"/>
    <x v="2"/>
    <x v="3"/>
    <s v="Rug"/>
    <n v="23"/>
    <n v="8435.67"/>
    <s v="Female"/>
    <n v="5"/>
    <n v="3834.35"/>
    <n v="4601.32"/>
    <x v="11"/>
    <s v="Q4"/>
    <n v="2022"/>
    <s v="COD"/>
  </r>
  <r>
    <d v="2023-01-24T00:00:00"/>
    <x v="3"/>
    <x v="1"/>
    <s v="Sweater"/>
    <n v="47"/>
    <n v="14152.35"/>
    <s v="Female"/>
    <n v="1"/>
    <n v="10568.13"/>
    <n v="3584.22"/>
    <x v="5"/>
    <s v="Q1"/>
    <n v="2023"/>
    <s v="COD"/>
  </r>
  <r>
    <d v="2023-10-31T00:00:00"/>
    <x v="2"/>
    <x v="1"/>
    <s v="Sweater"/>
    <n v="20"/>
    <n v="4672.4399999999996"/>
    <s v="Female"/>
    <n v="1"/>
    <n v="3902.08"/>
    <n v="770.36"/>
    <x v="8"/>
    <s v="Q4"/>
    <n v="2023"/>
    <s v="COD"/>
  </r>
  <r>
    <d v="2022-03-23T00:00:00"/>
    <x v="0"/>
    <x v="2"/>
    <s v="Sci-Fi"/>
    <n v="3"/>
    <n v="209.72"/>
    <s v="Male"/>
    <n v="3"/>
    <n v="350.38"/>
    <n v="-140.66"/>
    <x v="1"/>
    <s v="Q1"/>
    <n v="2022"/>
    <s v="COD"/>
  </r>
  <r>
    <d v="2022-10-12T00:00:00"/>
    <x v="2"/>
    <x v="4"/>
    <s v="Beverages"/>
    <n v="50"/>
    <n v="10342.56"/>
    <s v="Female"/>
    <n v="4"/>
    <n v="7029.18"/>
    <n v="3313.38"/>
    <x v="8"/>
    <s v="Q4"/>
    <n v="2022"/>
    <s v="COD"/>
  </r>
  <r>
    <d v="2022-02-09T00:00:00"/>
    <x v="3"/>
    <x v="0"/>
    <s v="Tablet"/>
    <n v="25"/>
    <n v="10630.78"/>
    <s v="Female"/>
    <n v="3"/>
    <n v="1285.3399999999999"/>
    <n v="9345.44"/>
    <x v="2"/>
    <s v="Q1"/>
    <n v="2022"/>
    <s v="COD"/>
  </r>
  <r>
    <d v="2022-03-03T00:00:00"/>
    <x v="1"/>
    <x v="2"/>
    <s v="Sci-Fi"/>
    <n v="26"/>
    <n v="8635.42"/>
    <s v="Female"/>
    <n v="4"/>
    <n v="5972.97"/>
    <n v="2662.45"/>
    <x v="1"/>
    <s v="Q1"/>
    <n v="2022"/>
    <s v="Credit Card"/>
  </r>
  <r>
    <d v="2023-11-23T00:00:00"/>
    <x v="0"/>
    <x v="3"/>
    <s v="Rug"/>
    <n v="22"/>
    <n v="6690.67"/>
    <s v="Male"/>
    <n v="4"/>
    <n v="1808.93"/>
    <n v="4881.74"/>
    <x v="11"/>
    <s v="Q4"/>
    <n v="2023"/>
    <s v="COD"/>
  </r>
  <r>
    <d v="2023-09-11T00:00:00"/>
    <x v="4"/>
    <x v="2"/>
    <s v="Fiction"/>
    <n v="21"/>
    <n v="502.68"/>
    <s v="Female"/>
    <n v="1"/>
    <n v="3893.2"/>
    <n v="-3390.52"/>
    <x v="7"/>
    <s v="Q3"/>
    <n v="2023"/>
    <s v="COD"/>
  </r>
  <r>
    <d v="2023-01-04T00:00:00"/>
    <x v="0"/>
    <x v="0"/>
    <s v="Headphones"/>
    <n v="49"/>
    <n v="22687.119999999999"/>
    <s v="Male"/>
    <n v="2"/>
    <n v="1755.17"/>
    <n v="20931.95"/>
    <x v="5"/>
    <s v="Q1"/>
    <n v="2023"/>
    <s v="COD"/>
  </r>
  <r>
    <d v="2022-02-27T00:00:00"/>
    <x v="2"/>
    <x v="4"/>
    <s v="Grains"/>
    <n v="19"/>
    <n v="9266.41"/>
    <s v="Male"/>
    <n v="2"/>
    <n v="3218.8"/>
    <n v="6047.61"/>
    <x v="2"/>
    <s v="Q1"/>
    <n v="2022"/>
    <s v="UPI"/>
  </r>
  <r>
    <d v="2023-07-12T00:00:00"/>
    <x v="3"/>
    <x v="4"/>
    <s v="Produce"/>
    <n v="41"/>
    <n v="9528.52"/>
    <s v="Female"/>
    <n v="3"/>
    <n v="2709.71"/>
    <n v="6818.81"/>
    <x v="9"/>
    <s v="Q3"/>
    <n v="2023"/>
    <s v="COD"/>
  </r>
  <r>
    <d v="2022-11-11T00:00:00"/>
    <x v="1"/>
    <x v="0"/>
    <s v="Tablet"/>
    <n v="3"/>
    <n v="1135.6400000000001"/>
    <s v="Male"/>
    <n v="4"/>
    <n v="284.95999999999998"/>
    <n v="850.68"/>
    <x v="11"/>
    <s v="Q4"/>
    <n v="2022"/>
    <s v="COD"/>
  </r>
  <r>
    <d v="2023-06-07T00:00:00"/>
    <x v="1"/>
    <x v="2"/>
    <s v="Non-Fiction"/>
    <n v="49"/>
    <n v="11861.21"/>
    <s v="Male"/>
    <n v="2"/>
    <n v="7832.78"/>
    <n v="4028.43"/>
    <x v="0"/>
    <s v="Q2"/>
    <n v="2023"/>
    <s v="EMI"/>
  </r>
  <r>
    <d v="2023-07-03T00:00:00"/>
    <x v="3"/>
    <x v="3"/>
    <s v="Table"/>
    <n v="33"/>
    <n v="3557.57"/>
    <s v="Male"/>
    <n v="1"/>
    <n v="2198.34"/>
    <n v="1359.23"/>
    <x v="9"/>
    <s v="Q3"/>
    <n v="2023"/>
    <s v="UPI"/>
  </r>
  <r>
    <d v="2022-08-27T00:00:00"/>
    <x v="2"/>
    <x v="4"/>
    <s v="Produce"/>
    <n v="9"/>
    <n v="3294.2"/>
    <s v="Male"/>
    <n v="1"/>
    <n v="1298.1400000000001"/>
    <n v="1996.06"/>
    <x v="10"/>
    <s v="Q3"/>
    <n v="2022"/>
    <s v="UPI"/>
  </r>
  <r>
    <d v="2023-10-18T00:00:00"/>
    <x v="3"/>
    <x v="4"/>
    <s v="Beverages"/>
    <n v="4"/>
    <n v="1451.26"/>
    <s v="Female"/>
    <n v="1"/>
    <n v="268.72000000000003"/>
    <n v="1182.54"/>
    <x v="8"/>
    <s v="Q4"/>
    <n v="2023"/>
    <s v="UPI"/>
  </r>
  <r>
    <d v="2023-07-14T00:00:00"/>
    <x v="0"/>
    <x v="2"/>
    <s v="Fiction"/>
    <n v="9"/>
    <n v="2402.13"/>
    <s v="Male"/>
    <n v="4"/>
    <n v="1102.45"/>
    <n v="1299.68"/>
    <x v="9"/>
    <s v="Q3"/>
    <n v="2023"/>
    <s v="COD"/>
  </r>
  <r>
    <d v="2022-01-28T00:00:00"/>
    <x v="4"/>
    <x v="2"/>
    <s v="Sci-Fi"/>
    <n v="47"/>
    <n v="22271.31"/>
    <s v="Male"/>
    <n v="4"/>
    <n v="9758.34"/>
    <n v="12512.97"/>
    <x v="5"/>
    <s v="Q1"/>
    <n v="2022"/>
    <s v="COD"/>
  </r>
  <r>
    <d v="2022-04-14T00:00:00"/>
    <x v="3"/>
    <x v="2"/>
    <s v="Mystery"/>
    <n v="40"/>
    <n v="15984.63"/>
    <s v="Female"/>
    <n v="2"/>
    <n v="9929.2900000000009"/>
    <n v="6055.34"/>
    <x v="3"/>
    <s v="Q2"/>
    <n v="2022"/>
    <s v="EMI"/>
  </r>
  <r>
    <d v="2023-02-19T00:00:00"/>
    <x v="3"/>
    <x v="2"/>
    <s v="Sci-Fi"/>
    <n v="20"/>
    <n v="8645.9"/>
    <s v="Male"/>
    <n v="3"/>
    <n v="4474.5"/>
    <n v="4171.3999999999996"/>
    <x v="2"/>
    <s v="Q1"/>
    <n v="2023"/>
    <s v="COD"/>
  </r>
  <r>
    <d v="2022-01-31T00:00:00"/>
    <x v="4"/>
    <x v="0"/>
    <s v="Laptop"/>
    <n v="18"/>
    <n v="609.76"/>
    <s v="Female"/>
    <n v="1"/>
    <n v="2746.66"/>
    <n v="-2136.9"/>
    <x v="5"/>
    <s v="Q1"/>
    <n v="2022"/>
    <s v="COD"/>
  </r>
  <r>
    <d v="2022-07-10T00:00:00"/>
    <x v="3"/>
    <x v="4"/>
    <s v="Produce"/>
    <n v="48"/>
    <n v="18454.88"/>
    <s v="Female"/>
    <n v="4"/>
    <n v="4384.67"/>
    <n v="14070.21"/>
    <x v="9"/>
    <s v="Q3"/>
    <n v="2022"/>
    <s v="COD"/>
  </r>
  <r>
    <d v="2023-08-21T00:00:00"/>
    <x v="3"/>
    <x v="0"/>
    <s v="Laptop"/>
    <n v="15"/>
    <n v="3153.43"/>
    <s v="Male"/>
    <n v="2"/>
    <n v="3433.46"/>
    <n v="-280.02999999999997"/>
    <x v="10"/>
    <s v="Q3"/>
    <n v="2023"/>
    <s v="EMI"/>
  </r>
  <r>
    <d v="2022-03-14T00:00:00"/>
    <x v="1"/>
    <x v="2"/>
    <s v="Non-Fiction"/>
    <n v="46"/>
    <n v="11280.76"/>
    <s v="Female"/>
    <n v="5"/>
    <n v="7734.22"/>
    <n v="3546.54"/>
    <x v="1"/>
    <s v="Q1"/>
    <n v="2022"/>
    <s v="UPI"/>
  </r>
  <r>
    <d v="2023-03-28T00:00:00"/>
    <x v="4"/>
    <x v="0"/>
    <s v="Tablet"/>
    <n v="43"/>
    <n v="2894.24"/>
    <s v="Male"/>
    <n v="5"/>
    <n v="5478.36"/>
    <n v="-2584.12"/>
    <x v="1"/>
    <s v="Q1"/>
    <n v="2023"/>
    <s v="COD"/>
  </r>
  <r>
    <d v="2022-03-18T00:00:00"/>
    <x v="4"/>
    <x v="3"/>
    <s v="Rug"/>
    <n v="32"/>
    <n v="2986.36"/>
    <s v="Female"/>
    <n v="1"/>
    <n v="784.48"/>
    <n v="2201.88"/>
    <x v="1"/>
    <s v="Q1"/>
    <n v="2022"/>
    <s v="COD"/>
  </r>
  <r>
    <d v="2023-08-17T00:00:00"/>
    <x v="3"/>
    <x v="4"/>
    <s v="Produce"/>
    <n v="12"/>
    <n v="5278.83"/>
    <s v="Female"/>
    <n v="4"/>
    <n v="2897.28"/>
    <n v="2381.5500000000002"/>
    <x v="10"/>
    <s v="Q3"/>
    <n v="2023"/>
    <s v="UPI"/>
  </r>
  <r>
    <d v="2023-11-01T00:00:00"/>
    <x v="1"/>
    <x v="0"/>
    <s v="Smartphone"/>
    <n v="49"/>
    <n v="12558.43"/>
    <s v="Male"/>
    <n v="2"/>
    <n v="7293.51"/>
    <n v="5264.92"/>
    <x v="11"/>
    <s v="Q4"/>
    <n v="2023"/>
    <s v="COD"/>
  </r>
  <r>
    <d v="2023-04-09T00:00:00"/>
    <x v="2"/>
    <x v="2"/>
    <s v="Fiction"/>
    <n v="35"/>
    <n v="3511.5"/>
    <s v="Female"/>
    <n v="5"/>
    <n v="398.52"/>
    <n v="3112.98"/>
    <x v="3"/>
    <s v="Q2"/>
    <n v="2023"/>
    <s v="UPI"/>
  </r>
  <r>
    <d v="2023-03-08T00:00:00"/>
    <x v="4"/>
    <x v="4"/>
    <s v="Produce"/>
    <n v="22"/>
    <n v="1300.31"/>
    <s v="Male"/>
    <n v="2"/>
    <n v="2067.5100000000002"/>
    <n v="-767.2"/>
    <x v="1"/>
    <s v="Q1"/>
    <n v="2023"/>
    <s v="COD"/>
  </r>
  <r>
    <d v="2023-09-11T00:00:00"/>
    <x v="2"/>
    <x v="1"/>
    <s v="Jeans"/>
    <n v="43"/>
    <n v="10203.01"/>
    <s v="Male"/>
    <n v="1"/>
    <n v="10636.64"/>
    <n v="-433.63"/>
    <x v="7"/>
    <s v="Q3"/>
    <n v="2023"/>
    <s v="COD"/>
  </r>
  <r>
    <d v="2022-12-08T00:00:00"/>
    <x v="1"/>
    <x v="3"/>
    <s v="Lamp"/>
    <n v="21"/>
    <n v="9472.16"/>
    <s v="Male"/>
    <n v="2"/>
    <n v="892.63"/>
    <n v="8579.5300000000007"/>
    <x v="6"/>
    <s v="Q4"/>
    <n v="2022"/>
    <s v="EMI"/>
  </r>
  <r>
    <d v="2023-06-05T00:00:00"/>
    <x v="1"/>
    <x v="4"/>
    <s v="Produce"/>
    <n v="23"/>
    <n v="1690.93"/>
    <s v="Female"/>
    <n v="2"/>
    <n v="787.28"/>
    <n v="903.65"/>
    <x v="0"/>
    <s v="Q2"/>
    <n v="2023"/>
    <s v="COD"/>
  </r>
  <r>
    <d v="2023-04-21T00:00:00"/>
    <x v="4"/>
    <x v="3"/>
    <s v="Table"/>
    <n v="26"/>
    <n v="2351.42"/>
    <s v="Female"/>
    <n v="5"/>
    <n v="1395.9"/>
    <n v="955.52"/>
    <x v="3"/>
    <s v="Q2"/>
    <n v="2023"/>
    <s v="UPI"/>
  </r>
  <r>
    <d v="2023-06-21T00:00:00"/>
    <x v="3"/>
    <x v="3"/>
    <s v="Table"/>
    <n v="47"/>
    <n v="10218.36"/>
    <s v="Female"/>
    <n v="4"/>
    <n v="11740.58"/>
    <n v="-1522.22"/>
    <x v="0"/>
    <s v="Q2"/>
    <n v="2023"/>
    <s v="UPI"/>
  </r>
  <r>
    <d v="2023-03-18T00:00:00"/>
    <x v="0"/>
    <x v="0"/>
    <s v="Smartphone"/>
    <n v="36"/>
    <n v="13717.5"/>
    <s v="Male"/>
    <n v="4"/>
    <n v="7014.74"/>
    <n v="6702.76"/>
    <x v="1"/>
    <s v="Q1"/>
    <n v="2023"/>
    <s v="UPI"/>
  </r>
  <r>
    <d v="2022-02-03T00:00:00"/>
    <x v="4"/>
    <x v="1"/>
    <s v="T-Shirt"/>
    <n v="26"/>
    <n v="7040.83"/>
    <s v="Female"/>
    <n v="4"/>
    <n v="1547.08"/>
    <n v="5493.75"/>
    <x v="2"/>
    <s v="Q1"/>
    <n v="2022"/>
    <s v="COD"/>
  </r>
  <r>
    <d v="2022-04-09T00:00:00"/>
    <x v="2"/>
    <x v="0"/>
    <s v="Smartphone"/>
    <n v="17"/>
    <n v="1227.6600000000001"/>
    <s v="Female"/>
    <n v="1"/>
    <n v="2899.13"/>
    <n v="-1671.47"/>
    <x v="3"/>
    <s v="Q2"/>
    <n v="2022"/>
    <s v="COD"/>
  </r>
  <r>
    <d v="2023-06-15T00:00:00"/>
    <x v="2"/>
    <x v="4"/>
    <s v="Snacks"/>
    <n v="22"/>
    <n v="5123.91"/>
    <s v="Female"/>
    <n v="4"/>
    <n v="3126.56"/>
    <n v="1997.35"/>
    <x v="0"/>
    <s v="Q2"/>
    <n v="2023"/>
    <s v="COD"/>
  </r>
  <r>
    <d v="2023-04-23T00:00:00"/>
    <x v="0"/>
    <x v="2"/>
    <s v="Sci-Fi"/>
    <n v="44"/>
    <n v="4967.92"/>
    <s v="Male"/>
    <n v="2"/>
    <n v="5834.46"/>
    <n v="-866.54"/>
    <x v="3"/>
    <s v="Q2"/>
    <n v="2023"/>
    <s v="COD"/>
  </r>
  <r>
    <d v="2023-05-28T00:00:00"/>
    <x v="1"/>
    <x v="2"/>
    <s v="Non-Fiction"/>
    <n v="31"/>
    <n v="14582.35"/>
    <s v="Female"/>
    <n v="3"/>
    <n v="832.68"/>
    <n v="13749.67"/>
    <x v="4"/>
    <s v="Q2"/>
    <n v="2023"/>
    <s v="UPI"/>
  </r>
  <r>
    <d v="2023-09-02T00:00:00"/>
    <x v="1"/>
    <x v="4"/>
    <s v="Beverages"/>
    <n v="42"/>
    <n v="16144.75"/>
    <s v="Female"/>
    <n v="2"/>
    <n v="3155.08"/>
    <n v="12989.67"/>
    <x v="7"/>
    <s v="Q3"/>
    <n v="2023"/>
    <s v="COD"/>
  </r>
  <r>
    <d v="2022-03-07T00:00:00"/>
    <x v="3"/>
    <x v="4"/>
    <s v="Beverages"/>
    <n v="48"/>
    <n v="16227.88"/>
    <s v="Male"/>
    <n v="4"/>
    <n v="8999.23"/>
    <n v="7228.65"/>
    <x v="1"/>
    <s v="Q1"/>
    <n v="2022"/>
    <s v="Credit Card"/>
  </r>
  <r>
    <d v="2023-04-30T00:00:00"/>
    <x v="2"/>
    <x v="3"/>
    <s v="Lamp"/>
    <n v="50"/>
    <n v="18531.939999999999"/>
    <s v="Male"/>
    <n v="3"/>
    <n v="10529.39"/>
    <n v="8002.55"/>
    <x v="3"/>
    <s v="Q2"/>
    <n v="2023"/>
    <s v="Credit Card"/>
  </r>
  <r>
    <d v="2022-02-22T00:00:00"/>
    <x v="4"/>
    <x v="3"/>
    <s v="Rug"/>
    <n v="2"/>
    <n v="289.76"/>
    <s v="Female"/>
    <n v="1"/>
    <n v="236.38"/>
    <n v="53.38"/>
    <x v="2"/>
    <s v="Q1"/>
    <n v="2022"/>
    <s v="COD"/>
  </r>
  <r>
    <d v="2023-03-07T00:00:00"/>
    <x v="4"/>
    <x v="0"/>
    <s v="Laptop"/>
    <n v="24"/>
    <n v="3500.77"/>
    <s v="Female"/>
    <n v="3"/>
    <n v="1485.09"/>
    <n v="2015.68"/>
    <x v="1"/>
    <s v="Q1"/>
    <n v="2023"/>
    <s v="Credit Card"/>
  </r>
  <r>
    <d v="2023-07-18T00:00:00"/>
    <x v="2"/>
    <x v="4"/>
    <s v="Snacks"/>
    <n v="30"/>
    <n v="11838.27"/>
    <s v="Male"/>
    <n v="5"/>
    <n v="3283.25"/>
    <n v="8555.02"/>
    <x v="9"/>
    <s v="Q3"/>
    <n v="2023"/>
    <s v="Credit Card"/>
  </r>
  <r>
    <d v="2023-03-11T00:00:00"/>
    <x v="0"/>
    <x v="0"/>
    <s v="Smartphone"/>
    <n v="37"/>
    <n v="10984.7"/>
    <s v="Male"/>
    <n v="5"/>
    <n v="3288.73"/>
    <n v="7695.97"/>
    <x v="1"/>
    <s v="Q1"/>
    <n v="2023"/>
    <s v="Credit Card"/>
  </r>
  <r>
    <d v="2022-08-24T00:00:00"/>
    <x v="4"/>
    <x v="4"/>
    <s v="Produce"/>
    <n v="5"/>
    <n v="2127.59"/>
    <s v="Male"/>
    <n v="4"/>
    <n v="668.81"/>
    <n v="1458.78"/>
    <x v="10"/>
    <s v="Q3"/>
    <n v="2022"/>
    <s v="COD"/>
  </r>
  <r>
    <d v="2022-02-25T00:00:00"/>
    <x v="0"/>
    <x v="1"/>
    <s v="T-Shirt"/>
    <n v="18"/>
    <n v="4859.24"/>
    <s v="Female"/>
    <n v="1"/>
    <n v="3775.51"/>
    <n v="1083.73"/>
    <x v="2"/>
    <s v="Q1"/>
    <n v="2022"/>
    <s v="COD"/>
  </r>
  <r>
    <d v="2023-06-06T00:00:00"/>
    <x v="1"/>
    <x v="0"/>
    <s v="Laptop"/>
    <n v="21"/>
    <n v="8031.07"/>
    <s v="Male"/>
    <n v="5"/>
    <n v="4080.54"/>
    <n v="3950.53"/>
    <x v="0"/>
    <s v="Q2"/>
    <n v="2023"/>
    <s v="COD"/>
  </r>
  <r>
    <d v="2023-10-17T00:00:00"/>
    <x v="3"/>
    <x v="3"/>
    <s v="Lamp"/>
    <n v="50"/>
    <n v="18721.560000000001"/>
    <s v="Female"/>
    <n v="1"/>
    <n v="5150.8"/>
    <n v="13570.76"/>
    <x v="8"/>
    <s v="Q4"/>
    <n v="2023"/>
    <s v="EMI"/>
  </r>
  <r>
    <d v="2022-05-21T00:00:00"/>
    <x v="4"/>
    <x v="4"/>
    <s v="Snacks"/>
    <n v="26"/>
    <n v="3457.66"/>
    <s v="Female"/>
    <n v="2"/>
    <n v="3629.35"/>
    <n v="-171.69"/>
    <x v="4"/>
    <s v="Q2"/>
    <n v="2022"/>
    <s v="COD"/>
  </r>
  <r>
    <d v="2022-08-29T00:00:00"/>
    <x v="1"/>
    <x v="4"/>
    <s v="Snacks"/>
    <n v="50"/>
    <n v="2705.41"/>
    <s v="Female"/>
    <n v="4"/>
    <n v="8924.89"/>
    <n v="-6219.48"/>
    <x v="10"/>
    <s v="Q3"/>
    <n v="2022"/>
    <s v="COD"/>
  </r>
  <r>
    <d v="2023-04-05T00:00:00"/>
    <x v="0"/>
    <x v="3"/>
    <s v="Lamp"/>
    <n v="17"/>
    <n v="361.63"/>
    <s v="Male"/>
    <n v="3"/>
    <n v="801"/>
    <n v="-439.37"/>
    <x v="3"/>
    <s v="Q2"/>
    <n v="2023"/>
    <s v="Credit Card"/>
  </r>
  <r>
    <d v="2023-09-02T00:00:00"/>
    <x v="0"/>
    <x v="0"/>
    <s v="Tablet"/>
    <n v="31"/>
    <n v="799.14"/>
    <s v="Female"/>
    <n v="2"/>
    <n v="2445.5300000000002"/>
    <n v="-1646.39"/>
    <x v="7"/>
    <s v="Q3"/>
    <n v="2023"/>
    <s v="Credit Card"/>
  </r>
  <r>
    <d v="2022-07-22T00:00:00"/>
    <x v="0"/>
    <x v="3"/>
    <s v="Table"/>
    <n v="47"/>
    <n v="8911.2999999999993"/>
    <s v="Female"/>
    <n v="4"/>
    <n v="2659.1"/>
    <n v="6252.2"/>
    <x v="9"/>
    <s v="Q3"/>
    <n v="2022"/>
    <s v="EMI"/>
  </r>
  <r>
    <d v="2023-06-08T00:00:00"/>
    <x v="3"/>
    <x v="1"/>
    <s v="Dress"/>
    <n v="48"/>
    <n v="12174.62"/>
    <s v="Female"/>
    <n v="2"/>
    <n v="11009.71"/>
    <n v="1164.9100000000001"/>
    <x v="0"/>
    <s v="Q2"/>
    <n v="2023"/>
    <s v="Credit Card"/>
  </r>
  <r>
    <d v="2023-12-23T00:00:00"/>
    <x v="1"/>
    <x v="4"/>
    <s v="Beverages"/>
    <n v="23"/>
    <n v="7173.66"/>
    <s v="Male"/>
    <n v="4"/>
    <n v="3691.26"/>
    <n v="3482.4"/>
    <x v="6"/>
    <s v="Q4"/>
    <n v="2023"/>
    <s v="Credit Card"/>
  </r>
  <r>
    <d v="2023-12-19T00:00:00"/>
    <x v="4"/>
    <x v="2"/>
    <s v="Sci-Fi"/>
    <n v="36"/>
    <n v="3054.92"/>
    <s v="Male"/>
    <n v="5"/>
    <n v="1229.96"/>
    <n v="1824.96"/>
    <x v="6"/>
    <s v="Q4"/>
    <n v="2023"/>
    <s v="UPI"/>
  </r>
  <r>
    <d v="2022-05-15T00:00:00"/>
    <x v="1"/>
    <x v="0"/>
    <s v="Smartphone"/>
    <n v="4"/>
    <n v="1811.89"/>
    <s v="Male"/>
    <n v="3"/>
    <n v="491.22"/>
    <n v="1320.67"/>
    <x v="4"/>
    <s v="Q2"/>
    <n v="2022"/>
    <s v="Credit Card"/>
  </r>
  <r>
    <d v="2022-06-09T00:00:00"/>
    <x v="3"/>
    <x v="3"/>
    <s v="Rug"/>
    <n v="40"/>
    <n v="14788.91"/>
    <s v="Female"/>
    <n v="5"/>
    <n v="4741.84"/>
    <n v="10047.07"/>
    <x v="0"/>
    <s v="Q2"/>
    <n v="2022"/>
    <s v="Credit Card"/>
  </r>
  <r>
    <d v="2023-10-19T00:00:00"/>
    <x v="4"/>
    <x v="2"/>
    <s v="Sci-Fi"/>
    <n v="30"/>
    <n v="4863.8900000000003"/>
    <s v="Male"/>
    <n v="1"/>
    <n v="7462.81"/>
    <n v="-2598.92"/>
    <x v="8"/>
    <s v="Q4"/>
    <n v="2023"/>
    <s v="Credit Card"/>
  </r>
  <r>
    <d v="2023-04-20T00:00:00"/>
    <x v="4"/>
    <x v="0"/>
    <s v="Tablet"/>
    <n v="7"/>
    <n v="138.47999999999999"/>
    <s v="Male"/>
    <n v="1"/>
    <n v="966.54"/>
    <n v="-828.06"/>
    <x v="3"/>
    <s v="Q2"/>
    <n v="2023"/>
    <s v="Credit Card"/>
  </r>
  <r>
    <d v="2022-09-11T00:00:00"/>
    <x v="1"/>
    <x v="3"/>
    <s v="Chair"/>
    <n v="3"/>
    <n v="721.01"/>
    <s v="Female"/>
    <n v="2"/>
    <n v="229.03"/>
    <n v="491.98"/>
    <x v="7"/>
    <s v="Q3"/>
    <n v="2022"/>
    <s v="UPI"/>
  </r>
  <r>
    <d v="2022-06-06T00:00:00"/>
    <x v="0"/>
    <x v="1"/>
    <s v="Sweater"/>
    <n v="40"/>
    <n v="3910.25"/>
    <s v="Female"/>
    <n v="1"/>
    <n v="5235.21"/>
    <n v="-1324.96"/>
    <x v="0"/>
    <s v="Q2"/>
    <n v="2022"/>
    <s v="EMI"/>
  </r>
  <r>
    <d v="2022-01-22T00:00:00"/>
    <x v="4"/>
    <x v="2"/>
    <s v="Mystery"/>
    <n v="23"/>
    <n v="6697.08"/>
    <s v="Female"/>
    <n v="2"/>
    <n v="2214.31"/>
    <n v="4482.7700000000004"/>
    <x v="5"/>
    <s v="Q1"/>
    <n v="2022"/>
    <s v="EMI"/>
  </r>
  <r>
    <d v="2022-03-07T00:00:00"/>
    <x v="0"/>
    <x v="0"/>
    <s v="Tablet"/>
    <n v="25"/>
    <n v="10356.08"/>
    <s v="Female"/>
    <n v="2"/>
    <n v="1793.65"/>
    <n v="8562.43"/>
    <x v="1"/>
    <s v="Q1"/>
    <n v="2022"/>
    <s v="EMI"/>
  </r>
  <r>
    <d v="2023-08-26T00:00:00"/>
    <x v="0"/>
    <x v="1"/>
    <s v="Dress"/>
    <n v="39"/>
    <n v="5627.53"/>
    <s v="Female"/>
    <n v="2"/>
    <n v="768.93"/>
    <n v="4858.6000000000004"/>
    <x v="10"/>
    <s v="Q3"/>
    <n v="2023"/>
    <s v="Credit Card"/>
  </r>
  <r>
    <d v="2023-09-07T00:00:00"/>
    <x v="0"/>
    <x v="4"/>
    <s v="Snacks"/>
    <n v="31"/>
    <n v="3498.41"/>
    <s v="Male"/>
    <n v="4"/>
    <n v="3798.96"/>
    <n v="-300.55"/>
    <x v="7"/>
    <s v="Q3"/>
    <n v="2023"/>
    <s v="EMI"/>
  </r>
  <r>
    <d v="2022-06-02T00:00:00"/>
    <x v="2"/>
    <x v="1"/>
    <s v="Jeans"/>
    <n v="47"/>
    <n v="4267.21"/>
    <s v="Female"/>
    <n v="2"/>
    <n v="10256.59"/>
    <n v="-5989.38"/>
    <x v="0"/>
    <s v="Q2"/>
    <n v="2022"/>
    <s v="Credit Card"/>
  </r>
  <r>
    <d v="2023-05-23T00:00:00"/>
    <x v="4"/>
    <x v="3"/>
    <s v="Lamp"/>
    <n v="30"/>
    <n v="14753.36"/>
    <s v="Female"/>
    <n v="3"/>
    <n v="4201.8900000000003"/>
    <n v="10551.47"/>
    <x v="4"/>
    <s v="Q2"/>
    <n v="2023"/>
    <s v="UPI"/>
  </r>
  <r>
    <d v="2023-02-21T00:00:00"/>
    <x v="2"/>
    <x v="2"/>
    <s v="Fiction"/>
    <n v="42"/>
    <n v="19058.66"/>
    <s v="Female"/>
    <n v="2"/>
    <n v="265.3"/>
    <n v="18793.36"/>
    <x v="2"/>
    <s v="Q1"/>
    <n v="2023"/>
    <s v="Credit Card"/>
  </r>
  <r>
    <d v="2022-04-19T00:00:00"/>
    <x v="1"/>
    <x v="1"/>
    <s v="Sweater"/>
    <n v="31"/>
    <n v="13350.77"/>
    <s v="Female"/>
    <n v="3"/>
    <n v="3375.31"/>
    <n v="9975.4599999999991"/>
    <x v="3"/>
    <s v="Q2"/>
    <n v="2022"/>
    <s v="Credit Card"/>
  </r>
  <r>
    <d v="2023-05-12T00:00:00"/>
    <x v="1"/>
    <x v="1"/>
    <s v="T-Shirt"/>
    <n v="16"/>
    <n v="4442.4399999999996"/>
    <s v="Female"/>
    <n v="5"/>
    <n v="1792.94"/>
    <n v="2649.5"/>
    <x v="4"/>
    <s v="Q2"/>
    <n v="2023"/>
    <s v="Credit Card"/>
  </r>
  <r>
    <d v="2022-02-22T00:00:00"/>
    <x v="3"/>
    <x v="4"/>
    <s v="Beverages"/>
    <n v="49"/>
    <n v="23633.39"/>
    <s v="Female"/>
    <n v="1"/>
    <n v="2516.1"/>
    <n v="21117.29"/>
    <x v="2"/>
    <s v="Q1"/>
    <n v="2022"/>
    <s v="Credit Card"/>
  </r>
  <r>
    <d v="2023-11-10T00:00:00"/>
    <x v="0"/>
    <x v="3"/>
    <s v="Table"/>
    <n v="2"/>
    <n v="82.07"/>
    <s v="Female"/>
    <n v="3"/>
    <n v="473.59"/>
    <n v="-391.52"/>
    <x v="11"/>
    <s v="Q4"/>
    <n v="2023"/>
    <s v="EMI"/>
  </r>
  <r>
    <d v="2022-11-26T00:00:00"/>
    <x v="0"/>
    <x v="4"/>
    <s v="Snacks"/>
    <n v="27"/>
    <n v="7702.07"/>
    <s v="Female"/>
    <n v="4"/>
    <n v="3624"/>
    <n v="4078.07"/>
    <x v="11"/>
    <s v="Q4"/>
    <n v="2022"/>
    <s v="EMI"/>
  </r>
  <r>
    <d v="2022-04-30T00:00:00"/>
    <x v="0"/>
    <x v="2"/>
    <s v="Mystery"/>
    <n v="4"/>
    <n v="1268.6500000000001"/>
    <s v="Female"/>
    <n v="1"/>
    <n v="985.95"/>
    <n v="282.7"/>
    <x v="3"/>
    <s v="Q2"/>
    <n v="2022"/>
    <s v="COD"/>
  </r>
  <r>
    <d v="2023-07-26T00:00:00"/>
    <x v="2"/>
    <x v="0"/>
    <s v="Headphones"/>
    <n v="23"/>
    <n v="5752.08"/>
    <s v="Male"/>
    <n v="1"/>
    <n v="5169.25"/>
    <n v="582.83000000000004"/>
    <x v="9"/>
    <s v="Q3"/>
    <n v="2023"/>
    <s v="COD"/>
  </r>
  <r>
    <d v="2023-09-27T00:00:00"/>
    <x v="0"/>
    <x v="4"/>
    <s v="Snacks"/>
    <n v="20"/>
    <n v="6549.89"/>
    <s v="Female"/>
    <n v="3"/>
    <n v="3335.03"/>
    <n v="3214.86"/>
    <x v="7"/>
    <s v="Q3"/>
    <n v="2023"/>
    <s v="COD"/>
  </r>
  <r>
    <d v="2022-06-04T00:00:00"/>
    <x v="3"/>
    <x v="0"/>
    <s v="Laptop"/>
    <n v="28"/>
    <n v="10397.34"/>
    <s v="Female"/>
    <n v="5"/>
    <n v="5807.82"/>
    <n v="4589.5200000000004"/>
    <x v="0"/>
    <s v="Q2"/>
    <n v="2022"/>
    <s v="EMI"/>
  </r>
  <r>
    <d v="2022-04-06T00:00:00"/>
    <x v="3"/>
    <x v="0"/>
    <s v="Smartphone"/>
    <n v="28"/>
    <n v="11714.86"/>
    <s v="Female"/>
    <n v="2"/>
    <n v="4487.0600000000004"/>
    <n v="7227.8"/>
    <x v="3"/>
    <s v="Q2"/>
    <n v="2022"/>
    <s v="UPI"/>
  </r>
  <r>
    <d v="2022-10-14T00:00:00"/>
    <x v="3"/>
    <x v="0"/>
    <s v="Headphones"/>
    <n v="18"/>
    <n v="7868.81"/>
    <s v="Female"/>
    <n v="5"/>
    <n v="4352.1499999999996"/>
    <n v="3516.66"/>
    <x v="8"/>
    <s v="Q4"/>
    <n v="2022"/>
    <s v="Credit Card"/>
  </r>
  <r>
    <d v="2023-02-25T00:00:00"/>
    <x v="0"/>
    <x v="2"/>
    <s v="Non-Fiction"/>
    <n v="19"/>
    <n v="7308.82"/>
    <s v="Male"/>
    <n v="4"/>
    <n v="4636.97"/>
    <n v="2671.85"/>
    <x v="2"/>
    <s v="Q1"/>
    <n v="2023"/>
    <s v="COD"/>
  </r>
  <r>
    <d v="2022-11-13T00:00:00"/>
    <x v="4"/>
    <x v="4"/>
    <s v="Snacks"/>
    <n v="5"/>
    <n v="2489.7199999999998"/>
    <s v="Female"/>
    <n v="3"/>
    <n v="994.17"/>
    <n v="1495.55"/>
    <x v="11"/>
    <s v="Q4"/>
    <n v="2022"/>
    <s v="COD"/>
  </r>
  <r>
    <d v="2022-12-09T00:00:00"/>
    <x v="0"/>
    <x v="0"/>
    <s v="Tablet"/>
    <n v="33"/>
    <n v="11721.75"/>
    <s v="Male"/>
    <n v="4"/>
    <n v="3380.36"/>
    <n v="8341.39"/>
    <x v="6"/>
    <s v="Q4"/>
    <n v="2022"/>
    <s v="COD"/>
  </r>
  <r>
    <d v="2022-11-04T00:00:00"/>
    <x v="1"/>
    <x v="4"/>
    <s v="Beverages"/>
    <n v="20"/>
    <n v="7175.33"/>
    <s v="Male"/>
    <n v="2"/>
    <n v="1863.28"/>
    <n v="5312.05"/>
    <x v="11"/>
    <s v="Q4"/>
    <n v="2022"/>
    <s v="COD"/>
  </r>
  <r>
    <d v="2022-08-07T00:00:00"/>
    <x v="2"/>
    <x v="2"/>
    <s v="Sci-Fi"/>
    <n v="1"/>
    <n v="111.56"/>
    <s v="Female"/>
    <n v="2"/>
    <n v="63.34"/>
    <n v="48.22"/>
    <x v="10"/>
    <s v="Q3"/>
    <n v="2022"/>
    <s v="COD"/>
  </r>
  <r>
    <d v="2022-11-16T00:00:00"/>
    <x v="0"/>
    <x v="0"/>
    <s v="Smartphone"/>
    <n v="38"/>
    <n v="15792.22"/>
    <s v="Male"/>
    <n v="4"/>
    <n v="6138.79"/>
    <n v="9653.43"/>
    <x v="11"/>
    <s v="Q4"/>
    <n v="2022"/>
    <s v="EMI"/>
  </r>
  <r>
    <d v="2023-08-22T00:00:00"/>
    <x v="2"/>
    <x v="2"/>
    <s v="Mystery"/>
    <n v="43"/>
    <n v="9805.51"/>
    <s v="Female"/>
    <n v="2"/>
    <n v="4372.26"/>
    <n v="5433.25"/>
    <x v="10"/>
    <s v="Q3"/>
    <n v="2023"/>
    <s v="COD"/>
  </r>
  <r>
    <d v="2023-02-22T00:00:00"/>
    <x v="0"/>
    <x v="2"/>
    <s v="Sci-Fi"/>
    <n v="5"/>
    <n v="1089.02"/>
    <s v="Male"/>
    <n v="5"/>
    <n v="1249.1099999999999"/>
    <n v="-160.09"/>
    <x v="2"/>
    <s v="Q1"/>
    <n v="2023"/>
    <s v="COD"/>
  </r>
  <r>
    <d v="2022-01-16T00:00:00"/>
    <x v="1"/>
    <x v="3"/>
    <s v="Chair"/>
    <n v="25"/>
    <n v="5042.28"/>
    <s v="Female"/>
    <n v="1"/>
    <n v="5420.93"/>
    <n v="-378.65"/>
    <x v="5"/>
    <s v="Q1"/>
    <n v="2022"/>
    <s v="EMI"/>
  </r>
  <r>
    <d v="2023-08-31T00:00:00"/>
    <x v="1"/>
    <x v="0"/>
    <s v="Tablet"/>
    <n v="23"/>
    <n v="6883.35"/>
    <s v="Female"/>
    <n v="3"/>
    <n v="5510.43"/>
    <n v="1372.92"/>
    <x v="10"/>
    <s v="Q3"/>
    <n v="2023"/>
    <s v="COD"/>
  </r>
  <r>
    <d v="2022-04-11T00:00:00"/>
    <x v="0"/>
    <x v="4"/>
    <s v="Snacks"/>
    <n v="5"/>
    <n v="1173.3399999999999"/>
    <s v="Female"/>
    <n v="5"/>
    <n v="306.41000000000003"/>
    <n v="866.93"/>
    <x v="3"/>
    <s v="Q2"/>
    <n v="2022"/>
    <s v="COD"/>
  </r>
  <r>
    <d v="2022-06-10T00:00:00"/>
    <x v="3"/>
    <x v="4"/>
    <s v="Produce"/>
    <n v="2"/>
    <n v="510.51"/>
    <s v="Female"/>
    <n v="2"/>
    <n v="487.66"/>
    <n v="22.85"/>
    <x v="0"/>
    <s v="Q2"/>
    <n v="2022"/>
    <s v="COD"/>
  </r>
  <r>
    <d v="2023-10-05T00:00:00"/>
    <x v="0"/>
    <x v="4"/>
    <s v="Produce"/>
    <n v="33"/>
    <n v="15609.57"/>
    <s v="Male"/>
    <n v="4"/>
    <n v="4223.3"/>
    <n v="11386.27"/>
    <x v="8"/>
    <s v="Q4"/>
    <n v="2023"/>
    <s v="COD"/>
  </r>
  <r>
    <d v="2023-06-09T00:00:00"/>
    <x v="0"/>
    <x v="3"/>
    <s v="Rug"/>
    <n v="49"/>
    <n v="11717.47"/>
    <s v="Male"/>
    <n v="5"/>
    <n v="7450.45"/>
    <n v="4267.0200000000004"/>
    <x v="0"/>
    <s v="Q2"/>
    <n v="2023"/>
    <s v="COD"/>
  </r>
  <r>
    <d v="2022-09-28T00:00:00"/>
    <x v="0"/>
    <x v="0"/>
    <s v="Laptop"/>
    <n v="20"/>
    <n v="5477.62"/>
    <s v="Male"/>
    <n v="1"/>
    <n v="1564.07"/>
    <n v="3913.55"/>
    <x v="7"/>
    <s v="Q3"/>
    <n v="2022"/>
    <s v="COD"/>
  </r>
  <r>
    <d v="2022-12-16T00:00:00"/>
    <x v="4"/>
    <x v="3"/>
    <s v="Rug"/>
    <n v="20"/>
    <n v="7006.51"/>
    <s v="Male"/>
    <n v="1"/>
    <n v="1385.56"/>
    <n v="5620.95"/>
    <x v="6"/>
    <s v="Q4"/>
    <n v="2022"/>
    <s v="Credit Card"/>
  </r>
  <r>
    <d v="2023-10-05T00:00:00"/>
    <x v="4"/>
    <x v="0"/>
    <s v="Laptop"/>
    <n v="31"/>
    <n v="7045.2"/>
    <s v="Male"/>
    <n v="2"/>
    <n v="5083.8"/>
    <n v="1961.4"/>
    <x v="8"/>
    <s v="Q4"/>
    <n v="2023"/>
    <s v="Credit Card"/>
  </r>
  <r>
    <d v="2022-10-04T00:00:00"/>
    <x v="4"/>
    <x v="0"/>
    <s v="Laptop"/>
    <n v="32"/>
    <n v="14350.41"/>
    <s v="Female"/>
    <n v="3"/>
    <n v="1928.95"/>
    <n v="12421.46"/>
    <x v="8"/>
    <s v="Q4"/>
    <n v="2022"/>
    <s v="COD"/>
  </r>
  <r>
    <d v="2023-06-05T00:00:00"/>
    <x v="2"/>
    <x v="1"/>
    <s v="Dress"/>
    <n v="7"/>
    <n v="1359.3"/>
    <s v="Female"/>
    <n v="4"/>
    <n v="1462.27"/>
    <n v="-102.97"/>
    <x v="0"/>
    <s v="Q2"/>
    <n v="2023"/>
    <s v="Credit Card"/>
  </r>
  <r>
    <d v="2022-01-22T00:00:00"/>
    <x v="1"/>
    <x v="1"/>
    <s v="Dress"/>
    <n v="10"/>
    <n v="4114.22"/>
    <s v="Female"/>
    <n v="3"/>
    <n v="863.24"/>
    <n v="3250.98"/>
    <x v="5"/>
    <s v="Q1"/>
    <n v="2022"/>
    <s v="COD"/>
  </r>
  <r>
    <d v="2023-04-20T00:00:00"/>
    <x v="1"/>
    <x v="0"/>
    <s v="Tablet"/>
    <n v="32"/>
    <n v="15402.72"/>
    <s v="Female"/>
    <n v="5"/>
    <n v="3272.23"/>
    <n v="12130.49"/>
    <x v="3"/>
    <s v="Q2"/>
    <n v="2023"/>
    <s v="Credit Card"/>
  </r>
  <r>
    <d v="2023-06-09T00:00:00"/>
    <x v="2"/>
    <x v="4"/>
    <s v="Beverages"/>
    <n v="37"/>
    <n v="824.54"/>
    <s v="Male"/>
    <n v="3"/>
    <n v="8656.7800000000007"/>
    <n v="-7832.24"/>
    <x v="0"/>
    <s v="Q2"/>
    <n v="2023"/>
    <s v="COD"/>
  </r>
  <r>
    <d v="2022-07-06T00:00:00"/>
    <x v="4"/>
    <x v="3"/>
    <s v="Chair"/>
    <n v="11"/>
    <n v="5087.3999999999996"/>
    <s v="Male"/>
    <n v="4"/>
    <n v="368.14"/>
    <n v="4719.26"/>
    <x v="9"/>
    <s v="Q3"/>
    <n v="2022"/>
    <s v="Credit Card"/>
  </r>
  <r>
    <d v="2022-01-30T00:00:00"/>
    <x v="1"/>
    <x v="3"/>
    <s v="Table"/>
    <n v="34"/>
    <n v="7974.36"/>
    <s v="Female"/>
    <n v="5"/>
    <n v="2404.7800000000002"/>
    <n v="5569.58"/>
    <x v="5"/>
    <s v="Q1"/>
    <n v="2022"/>
    <s v="COD"/>
  </r>
  <r>
    <d v="2022-10-06T00:00:00"/>
    <x v="1"/>
    <x v="2"/>
    <s v="Fiction"/>
    <n v="34"/>
    <n v="7516.37"/>
    <s v="Female"/>
    <n v="2"/>
    <n v="2204.7399999999998"/>
    <n v="5311.63"/>
    <x v="8"/>
    <s v="Q4"/>
    <n v="2022"/>
    <s v="Credit Card"/>
  </r>
  <r>
    <d v="2022-07-01T00:00:00"/>
    <x v="2"/>
    <x v="4"/>
    <s v="Produce"/>
    <n v="2"/>
    <n v="454.83"/>
    <s v="Male"/>
    <n v="1"/>
    <n v="82.76"/>
    <n v="372.07"/>
    <x v="9"/>
    <s v="Q3"/>
    <n v="2022"/>
    <s v="Credit Card"/>
  </r>
  <r>
    <d v="2022-04-15T00:00:00"/>
    <x v="1"/>
    <x v="3"/>
    <s v="Chair"/>
    <n v="37"/>
    <n v="12987.09"/>
    <s v="Male"/>
    <n v="1"/>
    <n v="8394.84"/>
    <n v="4592.25"/>
    <x v="3"/>
    <s v="Q2"/>
    <n v="2022"/>
    <s v="Credit Card"/>
  </r>
  <r>
    <d v="2022-11-16T00:00:00"/>
    <x v="1"/>
    <x v="2"/>
    <s v="Sci-Fi"/>
    <n v="37"/>
    <n v="17920.830000000002"/>
    <s v="Male"/>
    <n v="3"/>
    <n v="6236.66"/>
    <n v="11684.17"/>
    <x v="11"/>
    <s v="Q4"/>
    <n v="2022"/>
    <s v="COD"/>
  </r>
  <r>
    <d v="2022-05-25T00:00:00"/>
    <x v="0"/>
    <x v="2"/>
    <s v="Mystery"/>
    <n v="42"/>
    <n v="12225.24"/>
    <s v="Female"/>
    <n v="1"/>
    <n v="7869.39"/>
    <n v="4355.8500000000004"/>
    <x v="4"/>
    <s v="Q2"/>
    <n v="2022"/>
    <s v="COD"/>
  </r>
  <r>
    <d v="2022-03-20T00:00:00"/>
    <x v="4"/>
    <x v="1"/>
    <s v="Dress"/>
    <n v="30"/>
    <n v="6117.88"/>
    <s v="Female"/>
    <n v="5"/>
    <n v="3612.15"/>
    <n v="2505.73"/>
    <x v="1"/>
    <s v="Q1"/>
    <n v="2022"/>
    <s v="COD"/>
  </r>
  <r>
    <d v="2022-02-27T00:00:00"/>
    <x v="4"/>
    <x v="4"/>
    <s v="Produce"/>
    <n v="16"/>
    <n v="3125.23"/>
    <s v="Male"/>
    <n v="3"/>
    <n v="2414.69"/>
    <n v="710.54"/>
    <x v="2"/>
    <s v="Q1"/>
    <n v="2022"/>
    <s v="COD"/>
  </r>
  <r>
    <d v="2022-12-22T00:00:00"/>
    <x v="2"/>
    <x v="2"/>
    <s v="Non-Fiction"/>
    <n v="28"/>
    <n v="6188.69"/>
    <s v="Male"/>
    <n v="4"/>
    <n v="1222.9000000000001"/>
    <n v="4965.79"/>
    <x v="6"/>
    <s v="Q4"/>
    <n v="2022"/>
    <s v="COD"/>
  </r>
  <r>
    <d v="2023-04-13T00:00:00"/>
    <x v="4"/>
    <x v="4"/>
    <s v="Produce"/>
    <n v="32"/>
    <n v="2850.4"/>
    <s v="Female"/>
    <n v="1"/>
    <n v="4429.33"/>
    <n v="-1578.93"/>
    <x v="3"/>
    <s v="Q2"/>
    <n v="2023"/>
    <s v="COD"/>
  </r>
  <r>
    <d v="2023-03-27T00:00:00"/>
    <x v="0"/>
    <x v="2"/>
    <s v="Non-Fiction"/>
    <n v="20"/>
    <n v="531.72"/>
    <s v="Male"/>
    <n v="4"/>
    <n v="911.58"/>
    <n v="-379.86"/>
    <x v="1"/>
    <s v="Q1"/>
    <n v="2023"/>
    <s v="COD"/>
  </r>
  <r>
    <d v="2023-06-29T00:00:00"/>
    <x v="4"/>
    <x v="1"/>
    <s v="Jeans"/>
    <n v="3"/>
    <n v="1032.76"/>
    <s v="Female"/>
    <n v="4"/>
    <n v="182.71"/>
    <n v="850.05"/>
    <x v="0"/>
    <s v="Q2"/>
    <n v="2023"/>
    <s v="COD"/>
  </r>
  <r>
    <d v="2022-03-30T00:00:00"/>
    <x v="3"/>
    <x v="2"/>
    <s v="Mystery"/>
    <n v="32"/>
    <n v="11367.02"/>
    <s v="Male"/>
    <n v="5"/>
    <n v="7586.18"/>
    <n v="3780.84"/>
    <x v="1"/>
    <s v="Q1"/>
    <n v="2022"/>
    <s v="COD"/>
  </r>
  <r>
    <d v="2022-06-25T00:00:00"/>
    <x v="0"/>
    <x v="1"/>
    <s v="Jeans"/>
    <n v="40"/>
    <n v="11784.26"/>
    <s v="Male"/>
    <n v="1"/>
    <n v="7292.79"/>
    <n v="4491.47"/>
    <x v="0"/>
    <s v="Q2"/>
    <n v="2022"/>
    <s v="UPI"/>
  </r>
  <r>
    <d v="2023-02-12T00:00:00"/>
    <x v="4"/>
    <x v="2"/>
    <s v="Fiction"/>
    <n v="21"/>
    <n v="5966.9"/>
    <s v="Male"/>
    <n v="4"/>
    <n v="3965.33"/>
    <n v="2001.57"/>
    <x v="2"/>
    <s v="Q1"/>
    <n v="2023"/>
    <s v="COD"/>
  </r>
  <r>
    <d v="2023-12-04T00:00:00"/>
    <x v="3"/>
    <x v="3"/>
    <s v="Lamp"/>
    <n v="15"/>
    <n v="2410.52"/>
    <s v="Female"/>
    <n v="4"/>
    <n v="1688.78"/>
    <n v="721.74"/>
    <x v="6"/>
    <s v="Q4"/>
    <n v="2023"/>
    <s v="COD"/>
  </r>
  <r>
    <d v="2022-09-20T00:00:00"/>
    <x v="2"/>
    <x v="4"/>
    <s v="Grains"/>
    <n v="19"/>
    <n v="8774.7199999999993"/>
    <s v="Male"/>
    <n v="3"/>
    <n v="4106.05"/>
    <n v="4668.67"/>
    <x v="7"/>
    <s v="Q3"/>
    <n v="2022"/>
    <s v="COD"/>
  </r>
  <r>
    <d v="2023-03-01T00:00:00"/>
    <x v="3"/>
    <x v="1"/>
    <s v="T-Shirt"/>
    <n v="32"/>
    <n v="12943.02"/>
    <s v="Male"/>
    <n v="1"/>
    <n v="7525.28"/>
    <n v="5417.74"/>
    <x v="1"/>
    <s v="Q1"/>
    <n v="2023"/>
    <s v="Credit Card"/>
  </r>
  <r>
    <d v="2022-11-10T00:00:00"/>
    <x v="3"/>
    <x v="4"/>
    <s v="Beverages"/>
    <n v="48"/>
    <n v="23632.07"/>
    <s v="Female"/>
    <n v="2"/>
    <n v="6568.97"/>
    <n v="17063.099999999999"/>
    <x v="11"/>
    <s v="Q4"/>
    <n v="2022"/>
    <s v="Credit Card"/>
  </r>
  <r>
    <d v="2022-04-07T00:00:00"/>
    <x v="2"/>
    <x v="2"/>
    <s v="Non-Fiction"/>
    <n v="2"/>
    <n v="358.99"/>
    <s v="Male"/>
    <n v="5"/>
    <n v="354.5"/>
    <n v="4.49"/>
    <x v="3"/>
    <s v="Q2"/>
    <n v="2022"/>
    <s v="Credit Card"/>
  </r>
  <r>
    <d v="2023-02-07T00:00:00"/>
    <x v="0"/>
    <x v="0"/>
    <s v="Headphones"/>
    <n v="28"/>
    <n v="13776.56"/>
    <s v="Male"/>
    <n v="4"/>
    <n v="1737.64"/>
    <n v="12038.92"/>
    <x v="2"/>
    <s v="Q1"/>
    <n v="2023"/>
    <s v="EMI"/>
  </r>
  <r>
    <d v="2023-12-27T00:00:00"/>
    <x v="1"/>
    <x v="4"/>
    <s v="Produce"/>
    <n v="41"/>
    <n v="8695.9500000000007"/>
    <s v="Male"/>
    <n v="1"/>
    <n v="3253.67"/>
    <n v="5442.28"/>
    <x v="6"/>
    <s v="Q4"/>
    <n v="2023"/>
    <s v="EMI"/>
  </r>
  <r>
    <d v="2022-03-13T00:00:00"/>
    <x v="4"/>
    <x v="2"/>
    <s v="Mystery"/>
    <n v="21"/>
    <n v="8545.09"/>
    <s v="Female"/>
    <n v="5"/>
    <n v="2839.67"/>
    <n v="5705.42"/>
    <x v="1"/>
    <s v="Q1"/>
    <n v="2022"/>
    <s v="EMI"/>
  </r>
  <r>
    <d v="2022-03-24T00:00:00"/>
    <x v="2"/>
    <x v="0"/>
    <s v="Smartphone"/>
    <n v="15"/>
    <n v="5853.05"/>
    <s v="Male"/>
    <n v="2"/>
    <n v="1504.72"/>
    <n v="4348.33"/>
    <x v="1"/>
    <s v="Q1"/>
    <n v="2022"/>
    <s v="COD"/>
  </r>
  <r>
    <d v="2022-09-22T00:00:00"/>
    <x v="3"/>
    <x v="2"/>
    <s v="Mystery"/>
    <n v="14"/>
    <n v="1663.47"/>
    <s v="Male"/>
    <n v="2"/>
    <n v="2838.89"/>
    <n v="-1175.42"/>
    <x v="7"/>
    <s v="Q3"/>
    <n v="2022"/>
    <s v="COD"/>
  </r>
  <r>
    <d v="2023-07-13T00:00:00"/>
    <x v="2"/>
    <x v="1"/>
    <s v="Jeans"/>
    <n v="5"/>
    <n v="1611.85"/>
    <s v="Male"/>
    <n v="1"/>
    <n v="618.09"/>
    <n v="993.76"/>
    <x v="9"/>
    <s v="Q3"/>
    <n v="2023"/>
    <s v="COD"/>
  </r>
  <r>
    <d v="2023-08-27T00:00:00"/>
    <x v="2"/>
    <x v="3"/>
    <s v="Rug"/>
    <n v="3"/>
    <n v="1265.42"/>
    <s v="Female"/>
    <n v="3"/>
    <n v="262.62"/>
    <n v="1002.8"/>
    <x v="10"/>
    <s v="Q3"/>
    <n v="2023"/>
    <s v="COD"/>
  </r>
  <r>
    <d v="2022-10-24T00:00:00"/>
    <x v="3"/>
    <x v="3"/>
    <s v="Table"/>
    <n v="19"/>
    <n v="4571.01"/>
    <s v="Female"/>
    <n v="4"/>
    <n v="867.14"/>
    <n v="3703.87"/>
    <x v="8"/>
    <s v="Q4"/>
    <n v="2022"/>
    <s v="COD"/>
  </r>
  <r>
    <d v="2022-01-01T00:00:00"/>
    <x v="3"/>
    <x v="3"/>
    <s v="Rug"/>
    <n v="39"/>
    <n v="16799.560000000001"/>
    <s v="Male"/>
    <n v="1"/>
    <n v="5654.36"/>
    <n v="11145.2"/>
    <x v="5"/>
    <s v="Q1"/>
    <n v="2022"/>
    <s v="COD"/>
  </r>
  <r>
    <d v="2022-04-04T00:00:00"/>
    <x v="2"/>
    <x v="4"/>
    <s v="Produce"/>
    <n v="5"/>
    <n v="2276.17"/>
    <s v="Female"/>
    <n v="1"/>
    <n v="954.9"/>
    <n v="1321.27"/>
    <x v="3"/>
    <s v="Q2"/>
    <n v="2022"/>
    <s v="EMI"/>
  </r>
  <r>
    <d v="2022-02-14T00:00:00"/>
    <x v="1"/>
    <x v="2"/>
    <s v="Fiction"/>
    <n v="17"/>
    <n v="6605.61"/>
    <s v="Male"/>
    <n v="4"/>
    <n v="905.45"/>
    <n v="5700.16"/>
    <x v="2"/>
    <s v="Q1"/>
    <n v="2022"/>
    <s v="EMI"/>
  </r>
  <r>
    <d v="2023-05-19T00:00:00"/>
    <x v="0"/>
    <x v="4"/>
    <s v="Snacks"/>
    <n v="40"/>
    <n v="13180.49"/>
    <s v="Male"/>
    <n v="4"/>
    <n v="1661.44"/>
    <n v="11519.05"/>
    <x v="4"/>
    <s v="Q2"/>
    <n v="2023"/>
    <s v="EMI"/>
  </r>
  <r>
    <d v="2023-03-05T00:00:00"/>
    <x v="0"/>
    <x v="3"/>
    <s v="Chair"/>
    <n v="46"/>
    <n v="20641.73"/>
    <s v="Female"/>
    <n v="5"/>
    <n v="10354.959999999999"/>
    <n v="10286.77"/>
    <x v="1"/>
    <s v="Q1"/>
    <n v="2023"/>
    <s v="COD"/>
  </r>
  <r>
    <d v="2022-02-26T00:00:00"/>
    <x v="3"/>
    <x v="3"/>
    <s v="Lamp"/>
    <n v="8"/>
    <n v="1414.24"/>
    <s v="Female"/>
    <n v="2"/>
    <n v="780.04"/>
    <n v="634.20000000000005"/>
    <x v="2"/>
    <s v="Q1"/>
    <n v="2022"/>
    <s v="EMI"/>
  </r>
  <r>
    <d v="2023-03-05T00:00:00"/>
    <x v="2"/>
    <x v="2"/>
    <s v="Fiction"/>
    <n v="45"/>
    <n v="17441.099999999999"/>
    <s v="Male"/>
    <n v="1"/>
    <n v="3149.94"/>
    <n v="14291.16"/>
    <x v="1"/>
    <s v="Q1"/>
    <n v="2023"/>
    <s v="COD"/>
  </r>
  <r>
    <d v="2023-08-13T00:00:00"/>
    <x v="2"/>
    <x v="4"/>
    <s v="Snacks"/>
    <n v="15"/>
    <n v="2848.03"/>
    <s v="Male"/>
    <n v="5"/>
    <n v="1832.47"/>
    <n v="1015.56"/>
    <x v="10"/>
    <s v="Q3"/>
    <n v="2023"/>
    <s v="COD"/>
  </r>
  <r>
    <d v="2022-07-13T00:00:00"/>
    <x v="3"/>
    <x v="4"/>
    <s v="Grains"/>
    <n v="14"/>
    <n v="5464.82"/>
    <s v="Male"/>
    <n v="1"/>
    <n v="1665.62"/>
    <n v="3799.2"/>
    <x v="9"/>
    <s v="Q3"/>
    <n v="2022"/>
    <s v="UPI"/>
  </r>
  <r>
    <d v="2022-04-12T00:00:00"/>
    <x v="4"/>
    <x v="1"/>
    <s v="Jeans"/>
    <n v="30"/>
    <n v="13184.63"/>
    <s v="Male"/>
    <n v="1"/>
    <n v="4568.04"/>
    <n v="8616.59"/>
    <x v="3"/>
    <s v="Q2"/>
    <n v="2022"/>
    <s v="Credit Card"/>
  </r>
  <r>
    <d v="2023-08-03T00:00:00"/>
    <x v="1"/>
    <x v="3"/>
    <s v="Chair"/>
    <n v="18"/>
    <n v="4005.76"/>
    <s v="Female"/>
    <n v="1"/>
    <n v="3064.66"/>
    <n v="941.1"/>
    <x v="10"/>
    <s v="Q3"/>
    <n v="2023"/>
    <s v="COD"/>
  </r>
  <r>
    <d v="2023-06-26T00:00:00"/>
    <x v="2"/>
    <x v="3"/>
    <s v="Rug"/>
    <n v="48"/>
    <n v="933.79"/>
    <s v="Female"/>
    <n v="2"/>
    <n v="1245.8900000000001"/>
    <n v="-312.10000000000002"/>
    <x v="0"/>
    <s v="Q2"/>
    <n v="2023"/>
    <s v="COD"/>
  </r>
  <r>
    <d v="2023-03-12T00:00:00"/>
    <x v="3"/>
    <x v="0"/>
    <s v="Tablet"/>
    <n v="36"/>
    <n v="3427.33"/>
    <s v="Female"/>
    <n v="1"/>
    <n v="7811.09"/>
    <n v="-4383.76"/>
    <x v="1"/>
    <s v="Q1"/>
    <n v="2023"/>
    <s v="COD"/>
  </r>
  <r>
    <d v="2023-12-19T00:00:00"/>
    <x v="2"/>
    <x v="1"/>
    <s v="Jeans"/>
    <n v="26"/>
    <n v="4982.3500000000004"/>
    <s v="Male"/>
    <n v="4"/>
    <n v="1170.18"/>
    <n v="3812.17"/>
    <x v="6"/>
    <s v="Q4"/>
    <n v="2023"/>
    <s v="COD"/>
  </r>
  <r>
    <d v="2022-05-06T00:00:00"/>
    <x v="0"/>
    <x v="4"/>
    <s v="Produce"/>
    <n v="22"/>
    <n v="2061.34"/>
    <s v="Male"/>
    <n v="1"/>
    <n v="3391.68"/>
    <n v="-1330.34"/>
    <x v="4"/>
    <s v="Q2"/>
    <n v="2022"/>
    <s v="COD"/>
  </r>
  <r>
    <d v="2023-05-29T00:00:00"/>
    <x v="2"/>
    <x v="1"/>
    <s v="T-Shirt"/>
    <n v="16"/>
    <n v="6691.56"/>
    <s v="Male"/>
    <n v="2"/>
    <n v="3770.46"/>
    <n v="2921.1"/>
    <x v="4"/>
    <s v="Q2"/>
    <n v="2023"/>
    <s v="COD"/>
  </r>
  <r>
    <d v="2022-09-04T00:00:00"/>
    <x v="4"/>
    <x v="3"/>
    <s v="Lamp"/>
    <n v="8"/>
    <n v="2000.91"/>
    <s v="Male"/>
    <n v="1"/>
    <n v="460.82"/>
    <n v="1540.09"/>
    <x v="7"/>
    <s v="Q3"/>
    <n v="2022"/>
    <s v="COD"/>
  </r>
  <r>
    <d v="2022-06-08T00:00:00"/>
    <x v="1"/>
    <x v="1"/>
    <s v="Sweater"/>
    <n v="7"/>
    <n v="2655.51"/>
    <s v="Male"/>
    <n v="5"/>
    <n v="1070.6400000000001"/>
    <n v="1584.87"/>
    <x v="0"/>
    <s v="Q2"/>
    <n v="2022"/>
    <s v="COD"/>
  </r>
  <r>
    <d v="2023-12-13T00:00:00"/>
    <x v="4"/>
    <x v="1"/>
    <s v="Jeans"/>
    <n v="14"/>
    <n v="2802.45"/>
    <s v="Male"/>
    <n v="4"/>
    <n v="618.48"/>
    <n v="2183.9699999999998"/>
    <x v="6"/>
    <s v="Q4"/>
    <n v="2023"/>
    <s v="UPI"/>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x v="0"/>
    <x v="0"/>
    <x v="0"/>
    <x v="0"/>
    <n v="2"/>
    <n v="303.77"/>
    <s v="Male"/>
    <n v="5"/>
    <n v="258.87"/>
    <n v="44.9"/>
    <x v="0"/>
    <s v="Q2"/>
    <n v="2022"/>
    <s v="Credit Card"/>
  </r>
  <r>
    <x v="1"/>
    <x v="0"/>
    <x v="1"/>
    <x v="1"/>
    <n v="20"/>
    <n v="6013.09"/>
    <s v="Male"/>
    <n v="1"/>
    <n v="4456.6899999999996"/>
    <n v="1556.4"/>
    <x v="0"/>
    <s v="Q2"/>
    <n v="2023"/>
    <s v="COD"/>
  </r>
  <r>
    <x v="2"/>
    <x v="1"/>
    <x v="2"/>
    <x v="2"/>
    <n v="22"/>
    <n v="6624.07"/>
    <s v="Male"/>
    <n v="5"/>
    <n v="3322.6"/>
    <n v="3301.47"/>
    <x v="1"/>
    <s v="Q1"/>
    <n v="2022"/>
    <s v="UPI"/>
  </r>
  <r>
    <x v="3"/>
    <x v="2"/>
    <x v="1"/>
    <x v="3"/>
    <n v="23"/>
    <n v="5070.9399999999996"/>
    <s v="Female"/>
    <n v="2"/>
    <n v="2206.17"/>
    <n v="2864.77"/>
    <x v="2"/>
    <s v="Q1"/>
    <n v="2023"/>
    <s v="UPI"/>
  </r>
  <r>
    <x v="4"/>
    <x v="1"/>
    <x v="3"/>
    <x v="4"/>
    <n v="2"/>
    <n v="636.66"/>
    <s v="Male"/>
    <n v="2"/>
    <n v="292.81"/>
    <n v="343.85"/>
    <x v="3"/>
    <s v="Q2"/>
    <n v="2022"/>
    <s v="COD"/>
  </r>
  <r>
    <x v="5"/>
    <x v="0"/>
    <x v="1"/>
    <x v="1"/>
    <n v="28"/>
    <n v="1580.15"/>
    <s v="Female"/>
    <n v="3"/>
    <n v="1578.07"/>
    <n v="2.08"/>
    <x v="4"/>
    <s v="Q2"/>
    <n v="2023"/>
    <s v="COD"/>
  </r>
  <r>
    <x v="6"/>
    <x v="3"/>
    <x v="2"/>
    <x v="5"/>
    <n v="33"/>
    <n v="15209.62"/>
    <s v="Male"/>
    <n v="3"/>
    <n v="5544.03"/>
    <n v="9665.59"/>
    <x v="1"/>
    <s v="Q1"/>
    <n v="2022"/>
    <s v="UPI"/>
  </r>
  <r>
    <x v="7"/>
    <x v="1"/>
    <x v="2"/>
    <x v="2"/>
    <n v="49"/>
    <n v="13193.63"/>
    <s v="Female"/>
    <n v="2"/>
    <n v="11734.47"/>
    <n v="1459.16"/>
    <x v="4"/>
    <s v="Q2"/>
    <n v="2022"/>
    <s v="UPI"/>
  </r>
  <r>
    <x v="8"/>
    <x v="2"/>
    <x v="1"/>
    <x v="1"/>
    <n v="2"/>
    <n v="110.13"/>
    <s v="Male"/>
    <n v="5"/>
    <n v="249.36"/>
    <n v="-139.22999999999999"/>
    <x v="5"/>
    <s v="Q1"/>
    <n v="2023"/>
    <s v="UPI"/>
  </r>
  <r>
    <x v="9"/>
    <x v="2"/>
    <x v="0"/>
    <x v="0"/>
    <n v="45"/>
    <n v="6864.39"/>
    <s v="Female"/>
    <n v="5"/>
    <n v="896.22"/>
    <n v="5968.17"/>
    <x v="6"/>
    <s v="Q4"/>
    <n v="2023"/>
    <s v="COD"/>
  </r>
  <r>
    <x v="10"/>
    <x v="3"/>
    <x v="4"/>
    <x v="6"/>
    <n v="4"/>
    <n v="1569.33"/>
    <s v="Male"/>
    <n v="1"/>
    <n v="603.4"/>
    <n v="965.93"/>
    <x v="0"/>
    <s v="Q2"/>
    <n v="2022"/>
    <s v="UPI"/>
  </r>
  <r>
    <x v="11"/>
    <x v="1"/>
    <x v="2"/>
    <x v="7"/>
    <n v="25"/>
    <n v="8359.64"/>
    <s v="Female"/>
    <n v="3"/>
    <n v="4354.87"/>
    <n v="4004.77"/>
    <x v="4"/>
    <s v="Q2"/>
    <n v="2023"/>
    <s v="UPI"/>
  </r>
  <r>
    <x v="12"/>
    <x v="2"/>
    <x v="0"/>
    <x v="8"/>
    <n v="38"/>
    <n v="14714.79"/>
    <s v="Female"/>
    <n v="4"/>
    <n v="5831.62"/>
    <n v="8883.17"/>
    <x v="4"/>
    <s v="Q2"/>
    <n v="2023"/>
    <s v="COD"/>
  </r>
  <r>
    <x v="13"/>
    <x v="0"/>
    <x v="1"/>
    <x v="9"/>
    <n v="3"/>
    <n v="1461.73"/>
    <s v="Female"/>
    <n v="2"/>
    <n v="359.07"/>
    <n v="1102.6600000000001"/>
    <x v="7"/>
    <s v="Q3"/>
    <n v="2023"/>
    <s v="UPI"/>
  </r>
  <r>
    <x v="14"/>
    <x v="3"/>
    <x v="4"/>
    <x v="10"/>
    <n v="7"/>
    <n v="1329.49"/>
    <s v="Male"/>
    <n v="3"/>
    <n v="1720.14"/>
    <n v="-390.65"/>
    <x v="1"/>
    <s v="Q1"/>
    <n v="2023"/>
    <s v="UPI"/>
  </r>
  <r>
    <x v="15"/>
    <x v="4"/>
    <x v="3"/>
    <x v="11"/>
    <n v="43"/>
    <n v="21247.65"/>
    <s v="Female"/>
    <n v="4"/>
    <n v="8307.14"/>
    <n v="12940.51"/>
    <x v="6"/>
    <s v="Q4"/>
    <n v="2023"/>
    <s v="UPI"/>
  </r>
  <r>
    <x v="16"/>
    <x v="3"/>
    <x v="3"/>
    <x v="12"/>
    <n v="12"/>
    <n v="4456.75"/>
    <s v="Male"/>
    <n v="1"/>
    <n v="106.89"/>
    <n v="4349.8599999999997"/>
    <x v="3"/>
    <s v="Q2"/>
    <n v="2023"/>
    <s v="UPI"/>
  </r>
  <r>
    <x v="17"/>
    <x v="2"/>
    <x v="0"/>
    <x v="13"/>
    <n v="40"/>
    <n v="16676.78"/>
    <s v="Female"/>
    <n v="4"/>
    <n v="4955.55"/>
    <n v="11721.23"/>
    <x v="6"/>
    <s v="Q4"/>
    <n v="2023"/>
    <s v="Credit Card"/>
  </r>
  <r>
    <x v="18"/>
    <x v="0"/>
    <x v="3"/>
    <x v="11"/>
    <n v="3"/>
    <n v="402.01"/>
    <s v="Male"/>
    <n v="1"/>
    <n v="115.82"/>
    <n v="286.19"/>
    <x v="7"/>
    <s v="Q3"/>
    <n v="2022"/>
    <s v="UPI"/>
  </r>
  <r>
    <x v="19"/>
    <x v="3"/>
    <x v="2"/>
    <x v="5"/>
    <n v="29"/>
    <n v="13263.6"/>
    <s v="Female"/>
    <n v="3"/>
    <n v="1758.14"/>
    <n v="11505.46"/>
    <x v="1"/>
    <s v="Q1"/>
    <n v="2023"/>
    <s v="UPI"/>
  </r>
  <r>
    <x v="20"/>
    <x v="3"/>
    <x v="4"/>
    <x v="10"/>
    <n v="47"/>
    <n v="17553.77"/>
    <s v="Female"/>
    <n v="2"/>
    <n v="8127.15"/>
    <n v="9426.6200000000008"/>
    <x v="4"/>
    <s v="Q2"/>
    <n v="2022"/>
    <s v="Credit Card"/>
  </r>
  <r>
    <x v="21"/>
    <x v="0"/>
    <x v="2"/>
    <x v="5"/>
    <n v="11"/>
    <n v="4062.79"/>
    <s v="Male"/>
    <n v="5"/>
    <n v="1047.74"/>
    <n v="3015.05"/>
    <x v="0"/>
    <s v="Q2"/>
    <n v="2023"/>
    <s v="UPI"/>
  </r>
  <r>
    <x v="22"/>
    <x v="2"/>
    <x v="1"/>
    <x v="1"/>
    <n v="29"/>
    <n v="6341.06"/>
    <s v="Female"/>
    <n v="5"/>
    <n v="1671.65"/>
    <n v="4669.41"/>
    <x v="0"/>
    <s v="Q2"/>
    <n v="2023"/>
    <s v="Credit Card"/>
  </r>
  <r>
    <x v="23"/>
    <x v="2"/>
    <x v="1"/>
    <x v="3"/>
    <n v="24"/>
    <n v="4856.2700000000004"/>
    <s v="Female"/>
    <n v="4"/>
    <n v="4002.4"/>
    <n v="853.87"/>
    <x v="8"/>
    <s v="Q4"/>
    <n v="2022"/>
    <s v="EMI"/>
  </r>
  <r>
    <x v="24"/>
    <x v="1"/>
    <x v="4"/>
    <x v="6"/>
    <n v="37"/>
    <n v="1105.44"/>
    <s v="Male"/>
    <n v="2"/>
    <n v="6360.58"/>
    <n v="-5255.14"/>
    <x v="8"/>
    <s v="Q4"/>
    <n v="2022"/>
    <s v="Debit Card"/>
  </r>
  <r>
    <x v="25"/>
    <x v="0"/>
    <x v="4"/>
    <x v="6"/>
    <n v="47"/>
    <n v="16956.189999999999"/>
    <s v="Male"/>
    <n v="3"/>
    <n v="3435.81"/>
    <n v="13520.38"/>
    <x v="3"/>
    <s v="Q2"/>
    <n v="2022"/>
    <s v="Credit Card"/>
  </r>
  <r>
    <x v="26"/>
    <x v="1"/>
    <x v="0"/>
    <x v="14"/>
    <n v="30"/>
    <n v="2172.36"/>
    <s v="Female"/>
    <n v="3"/>
    <n v="3869.73"/>
    <n v="-1697.37"/>
    <x v="9"/>
    <s v="Q3"/>
    <n v="2022"/>
    <s v="COD"/>
  </r>
  <r>
    <x v="27"/>
    <x v="1"/>
    <x v="3"/>
    <x v="15"/>
    <n v="5"/>
    <n v="2151.14"/>
    <s v="Male"/>
    <n v="4"/>
    <n v="381.93"/>
    <n v="1769.21"/>
    <x v="6"/>
    <s v="Q4"/>
    <n v="2023"/>
    <s v="Debit Card"/>
  </r>
  <r>
    <x v="28"/>
    <x v="4"/>
    <x v="2"/>
    <x v="16"/>
    <n v="28"/>
    <n v="13374.57"/>
    <s v="Female"/>
    <n v="2"/>
    <n v="5060.17"/>
    <n v="8314.4"/>
    <x v="10"/>
    <s v="Q3"/>
    <n v="2022"/>
    <s v="Debit Card"/>
  </r>
  <r>
    <x v="29"/>
    <x v="0"/>
    <x v="0"/>
    <x v="14"/>
    <n v="29"/>
    <n v="3195.52"/>
    <s v="Female"/>
    <n v="1"/>
    <n v="2720.56"/>
    <n v="474.96"/>
    <x v="9"/>
    <s v="Q3"/>
    <n v="2023"/>
    <s v="Debit Card"/>
  </r>
  <r>
    <x v="30"/>
    <x v="1"/>
    <x v="2"/>
    <x v="2"/>
    <n v="18"/>
    <n v="4798.42"/>
    <s v="Female"/>
    <n v="1"/>
    <n v="3494.61"/>
    <n v="1303.81"/>
    <x v="4"/>
    <s v="Q2"/>
    <n v="2023"/>
    <s v="Debit Card"/>
  </r>
  <r>
    <x v="31"/>
    <x v="2"/>
    <x v="1"/>
    <x v="3"/>
    <n v="25"/>
    <n v="7018.52"/>
    <s v="Female"/>
    <n v="1"/>
    <n v="746.43"/>
    <n v="6272.09"/>
    <x v="8"/>
    <s v="Q4"/>
    <n v="2023"/>
    <s v="Debit Card"/>
  </r>
  <r>
    <x v="32"/>
    <x v="3"/>
    <x v="2"/>
    <x v="2"/>
    <n v="6"/>
    <n v="2960.56"/>
    <s v="Female"/>
    <n v="5"/>
    <n v="1428.96"/>
    <n v="1531.6"/>
    <x v="4"/>
    <s v="Q2"/>
    <n v="2023"/>
    <s v="COD"/>
  </r>
  <r>
    <x v="33"/>
    <x v="3"/>
    <x v="0"/>
    <x v="0"/>
    <n v="42"/>
    <n v="2678.87"/>
    <s v="Female"/>
    <n v="1"/>
    <n v="2538.6"/>
    <n v="140.27000000000001"/>
    <x v="6"/>
    <s v="Q4"/>
    <n v="2023"/>
    <s v="UPI"/>
  </r>
  <r>
    <x v="28"/>
    <x v="4"/>
    <x v="4"/>
    <x v="17"/>
    <n v="17"/>
    <n v="5467.02"/>
    <s v="Female"/>
    <n v="5"/>
    <n v="2807.67"/>
    <n v="2659.35"/>
    <x v="10"/>
    <s v="Q3"/>
    <n v="2022"/>
    <s v="Debit Card"/>
  </r>
  <r>
    <x v="34"/>
    <x v="2"/>
    <x v="3"/>
    <x v="12"/>
    <n v="8"/>
    <n v="1473.79"/>
    <s v="Female"/>
    <n v="3"/>
    <n v="1345.72"/>
    <n v="128.07"/>
    <x v="10"/>
    <s v="Q3"/>
    <n v="2022"/>
    <s v="COD"/>
  </r>
  <r>
    <x v="35"/>
    <x v="0"/>
    <x v="4"/>
    <x v="18"/>
    <n v="50"/>
    <n v="5963.14"/>
    <s v="Female"/>
    <n v="3"/>
    <n v="8750.08"/>
    <n v="-2786.94"/>
    <x v="5"/>
    <s v="Q1"/>
    <n v="2023"/>
    <s v="COD"/>
  </r>
  <r>
    <x v="36"/>
    <x v="4"/>
    <x v="4"/>
    <x v="6"/>
    <n v="35"/>
    <n v="16212.42"/>
    <s v="Male"/>
    <n v="5"/>
    <n v="1293.7"/>
    <n v="14918.72"/>
    <x v="9"/>
    <s v="Q3"/>
    <n v="2023"/>
    <s v="UPI"/>
  </r>
  <r>
    <x v="37"/>
    <x v="1"/>
    <x v="1"/>
    <x v="9"/>
    <n v="46"/>
    <n v="3452.74"/>
    <s v="Male"/>
    <n v="1"/>
    <n v="2568.4299999999998"/>
    <n v="884.31"/>
    <x v="9"/>
    <s v="Q3"/>
    <n v="2022"/>
    <s v="COD"/>
  </r>
  <r>
    <x v="38"/>
    <x v="2"/>
    <x v="0"/>
    <x v="13"/>
    <n v="41"/>
    <n v="9765.86"/>
    <s v="Female"/>
    <n v="1"/>
    <n v="4640.7299999999996"/>
    <n v="5125.13"/>
    <x v="7"/>
    <s v="Q3"/>
    <n v="2022"/>
    <s v="Debit Card"/>
  </r>
  <r>
    <x v="39"/>
    <x v="0"/>
    <x v="2"/>
    <x v="7"/>
    <n v="12"/>
    <n v="254.37"/>
    <s v="Male"/>
    <n v="4"/>
    <n v="2704.17"/>
    <n v="-2449.8000000000002"/>
    <x v="7"/>
    <s v="Q3"/>
    <n v="2022"/>
    <s v="COD"/>
  </r>
  <r>
    <x v="40"/>
    <x v="3"/>
    <x v="3"/>
    <x v="15"/>
    <n v="13"/>
    <n v="823.88"/>
    <s v="Male"/>
    <n v="5"/>
    <n v="1158.3800000000001"/>
    <n v="-334.5"/>
    <x v="11"/>
    <s v="Q4"/>
    <n v="2023"/>
    <s v="COD"/>
  </r>
  <r>
    <x v="41"/>
    <x v="4"/>
    <x v="0"/>
    <x v="8"/>
    <n v="21"/>
    <n v="8375.6"/>
    <s v="Female"/>
    <n v="4"/>
    <n v="2127.09"/>
    <n v="6248.51"/>
    <x v="9"/>
    <s v="Q3"/>
    <n v="2022"/>
    <s v="UPI"/>
  </r>
  <r>
    <x v="42"/>
    <x v="0"/>
    <x v="4"/>
    <x v="18"/>
    <n v="27"/>
    <n v="6601.03"/>
    <s v="Male"/>
    <n v="1"/>
    <n v="6107.2"/>
    <n v="493.83"/>
    <x v="0"/>
    <s v="Q2"/>
    <n v="2022"/>
    <s v="EMI"/>
  </r>
  <r>
    <x v="43"/>
    <x v="4"/>
    <x v="3"/>
    <x v="11"/>
    <n v="11"/>
    <n v="2383.04"/>
    <s v="Male"/>
    <n v="2"/>
    <n v="773.3"/>
    <n v="1609.74"/>
    <x v="9"/>
    <s v="Q3"/>
    <n v="2022"/>
    <s v="COD"/>
  </r>
  <r>
    <x v="44"/>
    <x v="3"/>
    <x v="1"/>
    <x v="3"/>
    <n v="30"/>
    <n v="4321.34"/>
    <s v="Female"/>
    <n v="1"/>
    <n v="4530.51"/>
    <n v="-209.17"/>
    <x v="7"/>
    <s v="Q3"/>
    <n v="2022"/>
    <s v="COD"/>
  </r>
  <r>
    <x v="45"/>
    <x v="2"/>
    <x v="3"/>
    <x v="4"/>
    <n v="17"/>
    <n v="2877.76"/>
    <s v="Male"/>
    <n v="1"/>
    <n v="1652.86"/>
    <n v="1224.9000000000001"/>
    <x v="10"/>
    <s v="Q3"/>
    <n v="2023"/>
    <s v="UPI"/>
  </r>
  <r>
    <x v="45"/>
    <x v="3"/>
    <x v="4"/>
    <x v="17"/>
    <n v="18"/>
    <n v="4279.21"/>
    <s v="Male"/>
    <n v="3"/>
    <n v="2423.65"/>
    <n v="1855.56"/>
    <x v="10"/>
    <s v="Q3"/>
    <n v="2023"/>
    <s v="Debit Card"/>
  </r>
  <r>
    <x v="46"/>
    <x v="4"/>
    <x v="4"/>
    <x v="17"/>
    <n v="18"/>
    <n v="2685.04"/>
    <s v="Female"/>
    <n v="4"/>
    <n v="1326.23"/>
    <n v="1358.81"/>
    <x v="2"/>
    <s v="Q1"/>
    <n v="2023"/>
    <s v="EMI"/>
  </r>
  <r>
    <x v="47"/>
    <x v="4"/>
    <x v="3"/>
    <x v="11"/>
    <n v="9"/>
    <n v="3552.51"/>
    <s v="Female"/>
    <n v="5"/>
    <n v="2233.06"/>
    <n v="1319.45"/>
    <x v="1"/>
    <s v="Q1"/>
    <n v="2023"/>
    <s v="UPI"/>
  </r>
  <r>
    <x v="48"/>
    <x v="3"/>
    <x v="0"/>
    <x v="14"/>
    <n v="39"/>
    <n v="17358.37"/>
    <s v="Male"/>
    <n v="5"/>
    <n v="3162.14"/>
    <n v="14196.23"/>
    <x v="8"/>
    <s v="Q4"/>
    <n v="2023"/>
    <s v="Debit Card"/>
  </r>
  <r>
    <x v="49"/>
    <x v="0"/>
    <x v="0"/>
    <x v="0"/>
    <n v="2"/>
    <n v="882.83"/>
    <s v="Female"/>
    <n v="3"/>
    <n v="64.959999999999994"/>
    <n v="817.87"/>
    <x v="10"/>
    <s v="Q3"/>
    <n v="2023"/>
    <s v="COD"/>
  </r>
  <r>
    <x v="50"/>
    <x v="3"/>
    <x v="1"/>
    <x v="3"/>
    <n v="39"/>
    <n v="18468.5"/>
    <s v="Male"/>
    <n v="5"/>
    <n v="7027.61"/>
    <n v="11440.89"/>
    <x v="1"/>
    <s v="Q1"/>
    <n v="2022"/>
    <s v="COD"/>
  </r>
  <r>
    <x v="51"/>
    <x v="3"/>
    <x v="2"/>
    <x v="16"/>
    <n v="28"/>
    <n v="13953.83"/>
    <s v="Female"/>
    <n v="1"/>
    <n v="4942.6400000000003"/>
    <n v="9011.19"/>
    <x v="0"/>
    <s v="Q2"/>
    <n v="2022"/>
    <s v="Debit Card"/>
  </r>
  <r>
    <x v="52"/>
    <x v="1"/>
    <x v="2"/>
    <x v="7"/>
    <n v="11"/>
    <n v="2541.92"/>
    <s v="Female"/>
    <n v="3"/>
    <n v="1282.07"/>
    <n v="1259.8499999999999"/>
    <x v="6"/>
    <s v="Q4"/>
    <n v="2023"/>
    <s v="COD"/>
  </r>
  <r>
    <x v="53"/>
    <x v="3"/>
    <x v="4"/>
    <x v="10"/>
    <n v="1"/>
    <n v="372.52"/>
    <s v="Male"/>
    <n v="1"/>
    <n v="156.54"/>
    <n v="215.98"/>
    <x v="7"/>
    <s v="Q3"/>
    <n v="2022"/>
    <s v="Debit Card"/>
  </r>
  <r>
    <x v="22"/>
    <x v="4"/>
    <x v="2"/>
    <x v="2"/>
    <n v="33"/>
    <n v="9687.4"/>
    <s v="Female"/>
    <n v="4"/>
    <n v="4854.75"/>
    <n v="4832.6499999999996"/>
    <x v="0"/>
    <s v="Q2"/>
    <n v="2023"/>
    <s v="COD"/>
  </r>
  <r>
    <x v="54"/>
    <x v="1"/>
    <x v="4"/>
    <x v="10"/>
    <n v="48"/>
    <n v="4457.95"/>
    <s v="Female"/>
    <n v="5"/>
    <n v="6541.78"/>
    <n v="-2083.83"/>
    <x v="9"/>
    <s v="Q3"/>
    <n v="2022"/>
    <s v="COD"/>
  </r>
  <r>
    <x v="55"/>
    <x v="1"/>
    <x v="2"/>
    <x v="7"/>
    <n v="40"/>
    <n v="1296.2"/>
    <s v="Female"/>
    <n v="3"/>
    <n v="246.28"/>
    <n v="1049.92"/>
    <x v="5"/>
    <s v="Q1"/>
    <n v="2023"/>
    <s v="Credit Card"/>
  </r>
  <r>
    <x v="44"/>
    <x v="0"/>
    <x v="3"/>
    <x v="11"/>
    <n v="48"/>
    <n v="21116.34"/>
    <s v="Male"/>
    <n v="4"/>
    <n v="7595.67"/>
    <n v="13520.67"/>
    <x v="7"/>
    <s v="Q3"/>
    <n v="2022"/>
    <s v="Debit Card"/>
  </r>
  <r>
    <x v="56"/>
    <x v="2"/>
    <x v="0"/>
    <x v="0"/>
    <n v="31"/>
    <n v="5236.74"/>
    <s v="Female"/>
    <n v="5"/>
    <n v="7402.97"/>
    <n v="-2166.23"/>
    <x v="7"/>
    <s v="Q3"/>
    <n v="2022"/>
    <s v="COD"/>
  </r>
  <r>
    <x v="57"/>
    <x v="2"/>
    <x v="4"/>
    <x v="17"/>
    <n v="18"/>
    <n v="4295.16"/>
    <s v="Male"/>
    <n v="2"/>
    <n v="3938.62"/>
    <n v="356.54"/>
    <x v="2"/>
    <s v="Q1"/>
    <n v="2023"/>
    <s v="COD"/>
  </r>
  <r>
    <x v="58"/>
    <x v="4"/>
    <x v="1"/>
    <x v="3"/>
    <n v="38"/>
    <n v="2603.2399999999998"/>
    <s v="Female"/>
    <n v="4"/>
    <n v="8658.3799999999992"/>
    <n v="-6055.14"/>
    <x v="11"/>
    <s v="Q4"/>
    <n v="2023"/>
    <s v="COD"/>
  </r>
  <r>
    <x v="59"/>
    <x v="0"/>
    <x v="1"/>
    <x v="3"/>
    <n v="38"/>
    <n v="11852.59"/>
    <s v="Male"/>
    <n v="3"/>
    <n v="7891.88"/>
    <n v="3960.71"/>
    <x v="7"/>
    <s v="Q3"/>
    <n v="2023"/>
    <s v="Debit Card"/>
  </r>
  <r>
    <x v="60"/>
    <x v="0"/>
    <x v="4"/>
    <x v="6"/>
    <n v="20"/>
    <n v="8416.1"/>
    <s v="Male"/>
    <n v="3"/>
    <n v="2279.83"/>
    <n v="6136.27"/>
    <x v="3"/>
    <s v="Q2"/>
    <n v="2022"/>
    <s v="COD"/>
  </r>
  <r>
    <x v="59"/>
    <x v="2"/>
    <x v="3"/>
    <x v="11"/>
    <n v="39"/>
    <n v="3154"/>
    <s v="Male"/>
    <n v="1"/>
    <n v="5257.31"/>
    <n v="-2103.31"/>
    <x v="7"/>
    <s v="Q3"/>
    <n v="2023"/>
    <s v="COD"/>
  </r>
  <r>
    <x v="61"/>
    <x v="1"/>
    <x v="2"/>
    <x v="5"/>
    <n v="14"/>
    <n v="5683.65"/>
    <s v="Male"/>
    <n v="1"/>
    <n v="1320.14"/>
    <n v="4363.51"/>
    <x v="0"/>
    <s v="Q2"/>
    <n v="2022"/>
    <s v="UPI"/>
  </r>
  <r>
    <x v="62"/>
    <x v="3"/>
    <x v="2"/>
    <x v="2"/>
    <n v="7"/>
    <n v="1629.56"/>
    <s v="Female"/>
    <n v="1"/>
    <n v="267.11"/>
    <n v="1362.45"/>
    <x v="10"/>
    <s v="Q3"/>
    <n v="2022"/>
    <s v="COD"/>
  </r>
  <r>
    <x v="63"/>
    <x v="3"/>
    <x v="3"/>
    <x v="4"/>
    <n v="33"/>
    <n v="3616.95"/>
    <s v="Male"/>
    <n v="5"/>
    <n v="1191.25"/>
    <n v="2425.6999999999998"/>
    <x v="10"/>
    <s v="Q3"/>
    <n v="2023"/>
    <s v="Debit Card"/>
  </r>
  <r>
    <x v="64"/>
    <x v="1"/>
    <x v="2"/>
    <x v="2"/>
    <n v="35"/>
    <n v="5038.96"/>
    <s v="Male"/>
    <n v="4"/>
    <n v="8240.83"/>
    <n v="-3201.87"/>
    <x v="4"/>
    <s v="Q2"/>
    <n v="2022"/>
    <s v="COD"/>
  </r>
  <r>
    <x v="16"/>
    <x v="4"/>
    <x v="4"/>
    <x v="10"/>
    <n v="7"/>
    <n v="1820.46"/>
    <s v="Male"/>
    <n v="5"/>
    <n v="1345.23"/>
    <n v="475.23"/>
    <x v="3"/>
    <s v="Q2"/>
    <n v="2023"/>
    <s v="COD"/>
  </r>
  <r>
    <x v="65"/>
    <x v="1"/>
    <x v="2"/>
    <x v="2"/>
    <n v="2"/>
    <n v="302.02"/>
    <s v="Male"/>
    <n v="3"/>
    <n v="456.57"/>
    <n v="-154.55000000000001"/>
    <x v="11"/>
    <s v="Q4"/>
    <n v="2022"/>
    <s v="COD"/>
  </r>
  <r>
    <x v="66"/>
    <x v="0"/>
    <x v="3"/>
    <x v="4"/>
    <n v="29"/>
    <n v="4863.6400000000003"/>
    <s v="Female"/>
    <n v="5"/>
    <n v="3678.13"/>
    <n v="1185.51"/>
    <x v="9"/>
    <s v="Q3"/>
    <n v="2023"/>
    <s v="COD"/>
  </r>
  <r>
    <x v="67"/>
    <x v="1"/>
    <x v="2"/>
    <x v="2"/>
    <n v="8"/>
    <n v="3297.56"/>
    <s v="Female"/>
    <n v="5"/>
    <n v="1010"/>
    <n v="2287.56"/>
    <x v="8"/>
    <s v="Q4"/>
    <n v="2022"/>
    <s v="UPI"/>
  </r>
  <r>
    <x v="68"/>
    <x v="3"/>
    <x v="4"/>
    <x v="18"/>
    <n v="4"/>
    <n v="1947"/>
    <s v="Male"/>
    <n v="4"/>
    <n v="993.24"/>
    <n v="953.76"/>
    <x v="9"/>
    <s v="Q3"/>
    <n v="2023"/>
    <s v="COD"/>
  </r>
  <r>
    <x v="69"/>
    <x v="1"/>
    <x v="2"/>
    <x v="7"/>
    <n v="33"/>
    <n v="14895.16"/>
    <s v="Female"/>
    <n v="1"/>
    <n v="4642.05"/>
    <n v="10253.11"/>
    <x v="3"/>
    <s v="Q2"/>
    <n v="2023"/>
    <s v="COD"/>
  </r>
  <r>
    <x v="70"/>
    <x v="4"/>
    <x v="1"/>
    <x v="9"/>
    <n v="36"/>
    <n v="3347.8"/>
    <s v="Male"/>
    <n v="5"/>
    <n v="5776.16"/>
    <n v="-2428.36"/>
    <x v="6"/>
    <s v="Q4"/>
    <n v="2023"/>
    <s v="Credit Card"/>
  </r>
  <r>
    <x v="71"/>
    <x v="3"/>
    <x v="3"/>
    <x v="4"/>
    <n v="33"/>
    <n v="12722.38"/>
    <s v="Male"/>
    <n v="5"/>
    <n v="2354.31"/>
    <n v="10368.07"/>
    <x v="10"/>
    <s v="Q3"/>
    <n v="2022"/>
    <s v="COD"/>
  </r>
  <r>
    <x v="72"/>
    <x v="0"/>
    <x v="1"/>
    <x v="1"/>
    <n v="22"/>
    <n v="1700.5"/>
    <s v="Male"/>
    <n v="1"/>
    <n v="5308.2"/>
    <n v="-3607.7"/>
    <x v="1"/>
    <s v="Q1"/>
    <n v="2022"/>
    <s v="EMI"/>
  </r>
  <r>
    <x v="73"/>
    <x v="4"/>
    <x v="3"/>
    <x v="11"/>
    <n v="45"/>
    <n v="2852.92"/>
    <s v="Male"/>
    <n v="1"/>
    <n v="10089.08"/>
    <n v="-7236.16"/>
    <x v="3"/>
    <s v="Q2"/>
    <n v="2023"/>
    <s v="COD"/>
  </r>
  <r>
    <x v="74"/>
    <x v="3"/>
    <x v="0"/>
    <x v="13"/>
    <n v="13"/>
    <n v="5228.1899999999996"/>
    <s v="Male"/>
    <n v="3"/>
    <n v="2042.42"/>
    <n v="3185.77"/>
    <x v="9"/>
    <s v="Q3"/>
    <n v="2022"/>
    <s v="Debit Card"/>
  </r>
  <r>
    <x v="32"/>
    <x v="2"/>
    <x v="2"/>
    <x v="2"/>
    <n v="25"/>
    <n v="4499.3"/>
    <s v="Female"/>
    <n v="5"/>
    <n v="4048.89"/>
    <n v="450.41"/>
    <x v="4"/>
    <s v="Q2"/>
    <n v="2023"/>
    <s v="COD"/>
  </r>
  <r>
    <x v="75"/>
    <x v="1"/>
    <x v="4"/>
    <x v="17"/>
    <n v="35"/>
    <n v="4340.41"/>
    <s v="Female"/>
    <n v="1"/>
    <n v="1082.1400000000001"/>
    <n v="3258.27"/>
    <x v="8"/>
    <s v="Q4"/>
    <n v="2023"/>
    <s v="COD"/>
  </r>
  <r>
    <x v="76"/>
    <x v="3"/>
    <x v="3"/>
    <x v="4"/>
    <n v="11"/>
    <n v="2776.21"/>
    <s v="Male"/>
    <n v="4"/>
    <n v="2562.0300000000002"/>
    <n v="214.18"/>
    <x v="4"/>
    <s v="Q2"/>
    <n v="2022"/>
    <s v="COD"/>
  </r>
  <r>
    <x v="77"/>
    <x v="1"/>
    <x v="4"/>
    <x v="6"/>
    <n v="36"/>
    <n v="4676.42"/>
    <s v="Male"/>
    <n v="1"/>
    <n v="8295.56"/>
    <n v="-3619.14"/>
    <x v="1"/>
    <s v="Q1"/>
    <n v="2023"/>
    <s v="COD"/>
  </r>
  <r>
    <x v="78"/>
    <x v="4"/>
    <x v="0"/>
    <x v="13"/>
    <n v="13"/>
    <n v="6035.57"/>
    <s v="Female"/>
    <n v="4"/>
    <n v="103.42"/>
    <n v="5932.15"/>
    <x v="3"/>
    <s v="Q2"/>
    <n v="2022"/>
    <s v="UPI"/>
  </r>
  <r>
    <x v="79"/>
    <x v="1"/>
    <x v="1"/>
    <x v="1"/>
    <n v="26"/>
    <n v="4967.71"/>
    <s v="Male"/>
    <n v="1"/>
    <n v="572.62"/>
    <n v="4395.09"/>
    <x v="9"/>
    <s v="Q3"/>
    <n v="2022"/>
    <s v="COD"/>
  </r>
  <r>
    <x v="80"/>
    <x v="0"/>
    <x v="4"/>
    <x v="18"/>
    <n v="30"/>
    <n v="664.14"/>
    <s v="Male"/>
    <n v="4"/>
    <n v="6412.26"/>
    <n v="-5748.12"/>
    <x v="4"/>
    <s v="Q2"/>
    <n v="2023"/>
    <s v="COD"/>
  </r>
  <r>
    <x v="34"/>
    <x v="0"/>
    <x v="4"/>
    <x v="6"/>
    <n v="8"/>
    <n v="2078.04"/>
    <s v="Male"/>
    <n v="3"/>
    <n v="1412.83"/>
    <n v="665.21"/>
    <x v="10"/>
    <s v="Q3"/>
    <n v="2022"/>
    <s v="UPI"/>
  </r>
  <r>
    <x v="81"/>
    <x v="1"/>
    <x v="1"/>
    <x v="1"/>
    <n v="32"/>
    <n v="13017.37"/>
    <s v="Male"/>
    <n v="2"/>
    <n v="4166.3900000000003"/>
    <n v="8850.98"/>
    <x v="3"/>
    <s v="Q2"/>
    <n v="2023"/>
    <s v="COD"/>
  </r>
  <r>
    <x v="82"/>
    <x v="3"/>
    <x v="1"/>
    <x v="1"/>
    <n v="40"/>
    <n v="11185.72"/>
    <s v="Female"/>
    <n v="1"/>
    <n v="9967.66"/>
    <n v="1218.06"/>
    <x v="8"/>
    <s v="Q4"/>
    <n v="2022"/>
    <s v="UPI"/>
  </r>
  <r>
    <x v="83"/>
    <x v="4"/>
    <x v="4"/>
    <x v="6"/>
    <n v="42"/>
    <n v="12086.68"/>
    <s v="Female"/>
    <n v="2"/>
    <n v="1732.1"/>
    <n v="10354.58"/>
    <x v="9"/>
    <s v="Q3"/>
    <n v="2023"/>
    <s v="Debit Card"/>
  </r>
  <r>
    <x v="84"/>
    <x v="3"/>
    <x v="0"/>
    <x v="14"/>
    <n v="35"/>
    <n v="4546.1499999999996"/>
    <s v="Male"/>
    <n v="5"/>
    <n v="6783.6"/>
    <n v="-2237.4499999999998"/>
    <x v="8"/>
    <s v="Q4"/>
    <n v="2022"/>
    <s v="COD"/>
  </r>
  <r>
    <x v="85"/>
    <x v="3"/>
    <x v="2"/>
    <x v="5"/>
    <n v="45"/>
    <n v="2193.4299999999998"/>
    <s v="Male"/>
    <n v="4"/>
    <n v="7785.38"/>
    <n v="-5591.95"/>
    <x v="2"/>
    <s v="Q1"/>
    <n v="2022"/>
    <s v="COD"/>
  </r>
  <r>
    <x v="86"/>
    <x v="1"/>
    <x v="4"/>
    <x v="10"/>
    <n v="16"/>
    <n v="7218.59"/>
    <s v="Male"/>
    <n v="3"/>
    <n v="2278.4"/>
    <n v="4940.1899999999996"/>
    <x v="7"/>
    <s v="Q3"/>
    <n v="2022"/>
    <s v="COD"/>
  </r>
  <r>
    <x v="87"/>
    <x v="3"/>
    <x v="0"/>
    <x v="14"/>
    <n v="41"/>
    <n v="14038.37"/>
    <s v="Male"/>
    <n v="3"/>
    <n v="303.29000000000002"/>
    <n v="13735.08"/>
    <x v="9"/>
    <s v="Q3"/>
    <n v="2023"/>
    <s v="UPI"/>
  </r>
  <r>
    <x v="88"/>
    <x v="1"/>
    <x v="2"/>
    <x v="5"/>
    <n v="5"/>
    <n v="492.57"/>
    <s v="Female"/>
    <n v="1"/>
    <n v="765.64"/>
    <n v="-273.07"/>
    <x v="9"/>
    <s v="Q3"/>
    <n v="2022"/>
    <s v="Debit Card"/>
  </r>
  <r>
    <x v="70"/>
    <x v="4"/>
    <x v="3"/>
    <x v="12"/>
    <n v="10"/>
    <n v="2571.37"/>
    <s v="Female"/>
    <n v="3"/>
    <n v="1574.32"/>
    <n v="997.05"/>
    <x v="6"/>
    <s v="Q4"/>
    <n v="2023"/>
    <s v="Debit Card"/>
  </r>
  <r>
    <x v="89"/>
    <x v="3"/>
    <x v="4"/>
    <x v="10"/>
    <n v="46"/>
    <n v="14916.13"/>
    <s v="Male"/>
    <n v="2"/>
    <n v="7054.92"/>
    <n v="7861.21"/>
    <x v="8"/>
    <s v="Q4"/>
    <n v="2022"/>
    <s v="COD"/>
  </r>
  <r>
    <x v="90"/>
    <x v="1"/>
    <x v="2"/>
    <x v="7"/>
    <n v="3"/>
    <n v="1266.51"/>
    <s v="Male"/>
    <n v="5"/>
    <n v="743.74"/>
    <n v="522.77"/>
    <x v="3"/>
    <s v="Q2"/>
    <n v="2023"/>
    <s v="UPI"/>
  </r>
  <r>
    <x v="91"/>
    <x v="1"/>
    <x v="4"/>
    <x v="6"/>
    <n v="18"/>
    <n v="5602.64"/>
    <s v="Female"/>
    <n v="5"/>
    <n v="2537.84"/>
    <n v="3064.8"/>
    <x v="8"/>
    <s v="Q4"/>
    <n v="2022"/>
    <s v="UPI"/>
  </r>
  <r>
    <x v="92"/>
    <x v="0"/>
    <x v="4"/>
    <x v="17"/>
    <n v="15"/>
    <n v="2818.14"/>
    <s v="Female"/>
    <n v="5"/>
    <n v="1975.24"/>
    <n v="842.9"/>
    <x v="7"/>
    <s v="Q3"/>
    <n v="2022"/>
    <s v="COD"/>
  </r>
  <r>
    <x v="59"/>
    <x v="3"/>
    <x v="1"/>
    <x v="1"/>
    <n v="9"/>
    <n v="1668.03"/>
    <s v="Female"/>
    <n v="4"/>
    <n v="1000.61"/>
    <n v="667.42"/>
    <x v="7"/>
    <s v="Q3"/>
    <n v="2023"/>
    <s v="Debit Card"/>
  </r>
  <r>
    <x v="93"/>
    <x v="3"/>
    <x v="1"/>
    <x v="19"/>
    <n v="3"/>
    <n v="1205.75"/>
    <s v="Male"/>
    <n v="1"/>
    <n v="294.70999999999998"/>
    <n v="911.04"/>
    <x v="6"/>
    <s v="Q4"/>
    <n v="2022"/>
    <s v="COD"/>
  </r>
  <r>
    <x v="8"/>
    <x v="3"/>
    <x v="3"/>
    <x v="11"/>
    <n v="1"/>
    <n v="90.8"/>
    <s v="Female"/>
    <n v="3"/>
    <n v="160.22999999999999"/>
    <n v="-69.430000000000007"/>
    <x v="5"/>
    <s v="Q1"/>
    <n v="2023"/>
    <s v="COD"/>
  </r>
  <r>
    <x v="94"/>
    <x v="0"/>
    <x v="3"/>
    <x v="4"/>
    <n v="40"/>
    <n v="14151.28"/>
    <s v="Male"/>
    <n v="1"/>
    <n v="3635.8"/>
    <n v="10515.48"/>
    <x v="11"/>
    <s v="Q4"/>
    <n v="2023"/>
    <s v="Debit Card"/>
  </r>
  <r>
    <x v="95"/>
    <x v="3"/>
    <x v="3"/>
    <x v="11"/>
    <n v="46"/>
    <n v="2921.32"/>
    <s v="Male"/>
    <n v="3"/>
    <n v="11363.45"/>
    <n v="-8442.1299999999992"/>
    <x v="4"/>
    <s v="Q2"/>
    <n v="2022"/>
    <s v="COD"/>
  </r>
  <r>
    <x v="96"/>
    <x v="0"/>
    <x v="0"/>
    <x v="0"/>
    <n v="19"/>
    <n v="7240.05"/>
    <s v="Male"/>
    <n v="5"/>
    <n v="111.12"/>
    <n v="7128.93"/>
    <x v="11"/>
    <s v="Q4"/>
    <n v="2023"/>
    <s v="Debit Card"/>
  </r>
  <r>
    <x v="97"/>
    <x v="1"/>
    <x v="1"/>
    <x v="1"/>
    <n v="42"/>
    <n v="8301.52"/>
    <s v="Male"/>
    <n v="1"/>
    <n v="2013.62"/>
    <n v="6287.9"/>
    <x v="0"/>
    <s v="Q2"/>
    <n v="2023"/>
    <s v="COD"/>
  </r>
  <r>
    <x v="98"/>
    <x v="2"/>
    <x v="2"/>
    <x v="16"/>
    <n v="36"/>
    <n v="7159.67"/>
    <s v="Female"/>
    <n v="1"/>
    <n v="1057.54"/>
    <n v="6102.13"/>
    <x v="8"/>
    <s v="Q4"/>
    <n v="2022"/>
    <s v="COD"/>
  </r>
  <r>
    <x v="99"/>
    <x v="1"/>
    <x v="4"/>
    <x v="17"/>
    <n v="5"/>
    <n v="1174.32"/>
    <s v="Male"/>
    <n v="3"/>
    <n v="1236.5899999999999"/>
    <n v="-62.27"/>
    <x v="7"/>
    <s v="Q3"/>
    <n v="2022"/>
    <s v="Debit Card"/>
  </r>
  <r>
    <x v="5"/>
    <x v="2"/>
    <x v="4"/>
    <x v="17"/>
    <n v="36"/>
    <n v="1759.75"/>
    <s v="Male"/>
    <n v="5"/>
    <n v="7261.15"/>
    <n v="-5501.4"/>
    <x v="4"/>
    <s v="Q2"/>
    <n v="2023"/>
    <s v="COD"/>
  </r>
  <r>
    <x v="100"/>
    <x v="2"/>
    <x v="0"/>
    <x v="8"/>
    <n v="31"/>
    <n v="11188.18"/>
    <s v="Female"/>
    <n v="4"/>
    <n v="646.59"/>
    <n v="10541.59"/>
    <x v="7"/>
    <s v="Q3"/>
    <n v="2022"/>
    <s v="UPI"/>
  </r>
  <r>
    <x v="101"/>
    <x v="1"/>
    <x v="1"/>
    <x v="19"/>
    <n v="20"/>
    <n v="5118.13"/>
    <s v="Male"/>
    <n v="3"/>
    <n v="497.02"/>
    <n v="4621.1099999999997"/>
    <x v="10"/>
    <s v="Q3"/>
    <n v="2022"/>
    <s v="COD"/>
  </r>
  <r>
    <x v="17"/>
    <x v="2"/>
    <x v="2"/>
    <x v="7"/>
    <n v="5"/>
    <n v="222.51"/>
    <s v="Male"/>
    <n v="5"/>
    <n v="881.61"/>
    <n v="-659.1"/>
    <x v="6"/>
    <s v="Q4"/>
    <n v="2023"/>
    <s v="Debit Card"/>
  </r>
  <r>
    <x v="102"/>
    <x v="2"/>
    <x v="4"/>
    <x v="17"/>
    <n v="31"/>
    <n v="5395.07"/>
    <s v="Female"/>
    <n v="4"/>
    <n v="6157.3"/>
    <n v="-762.23"/>
    <x v="11"/>
    <s v="Q4"/>
    <n v="2023"/>
    <s v="Debit Card"/>
  </r>
  <r>
    <x v="103"/>
    <x v="4"/>
    <x v="1"/>
    <x v="19"/>
    <n v="3"/>
    <n v="630.92999999999995"/>
    <s v="Male"/>
    <n v="3"/>
    <n v="364.29"/>
    <n v="266.64"/>
    <x v="0"/>
    <s v="Q2"/>
    <n v="2023"/>
    <s v="UPI"/>
  </r>
  <r>
    <x v="104"/>
    <x v="3"/>
    <x v="0"/>
    <x v="0"/>
    <n v="12"/>
    <n v="3457.27"/>
    <s v="Male"/>
    <n v="2"/>
    <n v="1078.1500000000001"/>
    <n v="2379.12"/>
    <x v="7"/>
    <s v="Q3"/>
    <n v="2022"/>
    <s v="COD"/>
  </r>
  <r>
    <x v="105"/>
    <x v="3"/>
    <x v="0"/>
    <x v="0"/>
    <n v="8"/>
    <n v="2376.31"/>
    <s v="Female"/>
    <n v="3"/>
    <n v="141.16"/>
    <n v="2235.15"/>
    <x v="8"/>
    <s v="Q4"/>
    <n v="2022"/>
    <s v="UPI"/>
  </r>
  <r>
    <x v="60"/>
    <x v="1"/>
    <x v="4"/>
    <x v="10"/>
    <n v="15"/>
    <n v="5383.81"/>
    <s v="Male"/>
    <n v="3"/>
    <n v="2454.92"/>
    <n v="2928.89"/>
    <x v="3"/>
    <s v="Q2"/>
    <n v="2022"/>
    <s v="UPI"/>
  </r>
  <r>
    <x v="106"/>
    <x v="0"/>
    <x v="1"/>
    <x v="1"/>
    <n v="19"/>
    <n v="4893.25"/>
    <s v="Male"/>
    <n v="4"/>
    <n v="875.11"/>
    <n v="4018.14"/>
    <x v="10"/>
    <s v="Q3"/>
    <n v="2022"/>
    <s v="COD"/>
  </r>
  <r>
    <x v="107"/>
    <x v="1"/>
    <x v="4"/>
    <x v="6"/>
    <n v="1"/>
    <n v="128.44"/>
    <s v="Male"/>
    <n v="1"/>
    <n v="8.82"/>
    <n v="119.62"/>
    <x v="11"/>
    <s v="Q4"/>
    <n v="2022"/>
    <s v="UPI"/>
  </r>
  <r>
    <x v="108"/>
    <x v="4"/>
    <x v="0"/>
    <x v="8"/>
    <n v="19"/>
    <n v="4564.18"/>
    <s v="Female"/>
    <n v="3"/>
    <n v="1508.36"/>
    <n v="3055.82"/>
    <x v="6"/>
    <s v="Q4"/>
    <n v="2022"/>
    <s v="UPI"/>
  </r>
  <r>
    <x v="109"/>
    <x v="2"/>
    <x v="4"/>
    <x v="10"/>
    <n v="32"/>
    <n v="13086.66"/>
    <s v="Female"/>
    <n v="2"/>
    <n v="7509.32"/>
    <n v="5577.34"/>
    <x v="10"/>
    <s v="Q3"/>
    <n v="2022"/>
    <s v="UPI"/>
  </r>
  <r>
    <x v="87"/>
    <x v="1"/>
    <x v="4"/>
    <x v="17"/>
    <n v="32"/>
    <n v="12014.19"/>
    <s v="Male"/>
    <n v="3"/>
    <n v="3569.5"/>
    <n v="8444.69"/>
    <x v="9"/>
    <s v="Q3"/>
    <n v="2023"/>
    <s v="COD"/>
  </r>
  <r>
    <x v="71"/>
    <x v="3"/>
    <x v="4"/>
    <x v="6"/>
    <n v="50"/>
    <n v="22622.79"/>
    <s v="Male"/>
    <n v="4"/>
    <n v="1973.2"/>
    <n v="20649.59"/>
    <x v="10"/>
    <s v="Q3"/>
    <n v="2022"/>
    <s v="COD"/>
  </r>
  <r>
    <x v="110"/>
    <x v="3"/>
    <x v="4"/>
    <x v="10"/>
    <n v="2"/>
    <n v="103.48"/>
    <s v="Female"/>
    <n v="5"/>
    <n v="434.7"/>
    <n v="-331.22"/>
    <x v="4"/>
    <s v="Q2"/>
    <n v="2022"/>
    <s v="Credit Card"/>
  </r>
  <r>
    <x v="111"/>
    <x v="1"/>
    <x v="2"/>
    <x v="2"/>
    <n v="39"/>
    <n v="4950.1899999999996"/>
    <s v="Male"/>
    <n v="3"/>
    <n v="3048.14"/>
    <n v="1902.05"/>
    <x v="3"/>
    <s v="Q2"/>
    <n v="2022"/>
    <s v="COD"/>
  </r>
  <r>
    <x v="112"/>
    <x v="2"/>
    <x v="3"/>
    <x v="15"/>
    <n v="31"/>
    <n v="4975.3100000000004"/>
    <s v="Female"/>
    <n v="2"/>
    <n v="214.27"/>
    <n v="4761.04"/>
    <x v="10"/>
    <s v="Q3"/>
    <n v="2023"/>
    <s v="COD"/>
  </r>
  <r>
    <x v="113"/>
    <x v="3"/>
    <x v="0"/>
    <x v="0"/>
    <n v="15"/>
    <n v="3442.4"/>
    <s v="Female"/>
    <n v="3"/>
    <n v="3499.22"/>
    <n v="-56.82"/>
    <x v="5"/>
    <s v="Q1"/>
    <n v="2023"/>
    <s v="UPI"/>
  </r>
  <r>
    <x v="114"/>
    <x v="3"/>
    <x v="4"/>
    <x v="18"/>
    <n v="44"/>
    <n v="7290.26"/>
    <s v="Female"/>
    <n v="1"/>
    <n v="6233.44"/>
    <n v="1056.82"/>
    <x v="11"/>
    <s v="Q4"/>
    <n v="2023"/>
    <s v="COD"/>
  </r>
  <r>
    <x v="115"/>
    <x v="3"/>
    <x v="2"/>
    <x v="2"/>
    <n v="8"/>
    <n v="3906.7"/>
    <s v="Male"/>
    <n v="2"/>
    <n v="550.47"/>
    <n v="3356.23"/>
    <x v="0"/>
    <s v="Q2"/>
    <n v="2022"/>
    <s v="UPI"/>
  </r>
  <r>
    <x v="3"/>
    <x v="1"/>
    <x v="0"/>
    <x v="0"/>
    <n v="38"/>
    <n v="12938.7"/>
    <s v="Male"/>
    <n v="5"/>
    <n v="9159.6200000000008"/>
    <n v="3779.08"/>
    <x v="2"/>
    <s v="Q1"/>
    <n v="2023"/>
    <s v="Credit Card"/>
  </r>
  <r>
    <x v="116"/>
    <x v="2"/>
    <x v="2"/>
    <x v="5"/>
    <n v="15"/>
    <n v="2644.13"/>
    <s v="Female"/>
    <n v="5"/>
    <n v="1288.96"/>
    <n v="1355.17"/>
    <x v="9"/>
    <s v="Q3"/>
    <n v="2022"/>
    <s v="COD"/>
  </r>
  <r>
    <x v="117"/>
    <x v="2"/>
    <x v="1"/>
    <x v="3"/>
    <n v="5"/>
    <n v="1947.37"/>
    <s v="Female"/>
    <n v="5"/>
    <n v="44.47"/>
    <n v="1902.9"/>
    <x v="10"/>
    <s v="Q3"/>
    <n v="2022"/>
    <s v="COD"/>
  </r>
  <r>
    <x v="118"/>
    <x v="3"/>
    <x v="3"/>
    <x v="15"/>
    <n v="17"/>
    <n v="3153.33"/>
    <s v="Male"/>
    <n v="1"/>
    <n v="859.15"/>
    <n v="2294.1799999999998"/>
    <x v="1"/>
    <s v="Q1"/>
    <n v="2023"/>
    <s v="UPI"/>
  </r>
  <r>
    <x v="119"/>
    <x v="3"/>
    <x v="1"/>
    <x v="3"/>
    <n v="12"/>
    <n v="5539.81"/>
    <s v="Male"/>
    <n v="1"/>
    <n v="2253.59"/>
    <n v="3286.22"/>
    <x v="4"/>
    <s v="Q2"/>
    <n v="2022"/>
    <s v="UPI"/>
  </r>
  <r>
    <x v="120"/>
    <x v="1"/>
    <x v="0"/>
    <x v="8"/>
    <n v="37"/>
    <n v="834.5"/>
    <s v="Male"/>
    <n v="4"/>
    <n v="3459.38"/>
    <n v="-2624.88"/>
    <x v="3"/>
    <s v="Q2"/>
    <n v="2023"/>
    <s v="UPI"/>
  </r>
  <r>
    <x v="121"/>
    <x v="3"/>
    <x v="4"/>
    <x v="10"/>
    <n v="13"/>
    <n v="986.36"/>
    <s v="Male"/>
    <n v="2"/>
    <n v="2595.37"/>
    <n v="-1609.01"/>
    <x v="2"/>
    <s v="Q1"/>
    <n v="2023"/>
    <s v="COD"/>
  </r>
  <r>
    <x v="122"/>
    <x v="1"/>
    <x v="1"/>
    <x v="9"/>
    <n v="8"/>
    <n v="390.21"/>
    <s v="Female"/>
    <n v="2"/>
    <n v="580.39"/>
    <n v="-190.18"/>
    <x v="9"/>
    <s v="Q3"/>
    <n v="2022"/>
    <s v="UPI"/>
  </r>
  <r>
    <x v="123"/>
    <x v="4"/>
    <x v="1"/>
    <x v="1"/>
    <n v="44"/>
    <n v="20220.849999999999"/>
    <s v="Female"/>
    <n v="2"/>
    <n v="9939.94"/>
    <n v="10280.91"/>
    <x v="11"/>
    <s v="Q4"/>
    <n v="2023"/>
    <s v="COD"/>
  </r>
  <r>
    <x v="124"/>
    <x v="4"/>
    <x v="1"/>
    <x v="1"/>
    <n v="40"/>
    <n v="1592.7"/>
    <s v="Female"/>
    <n v="2"/>
    <n v="2612.94"/>
    <n v="-1020.24"/>
    <x v="7"/>
    <s v="Q3"/>
    <n v="2023"/>
    <s v="COD"/>
  </r>
  <r>
    <x v="125"/>
    <x v="4"/>
    <x v="0"/>
    <x v="13"/>
    <n v="4"/>
    <n v="1414.97"/>
    <s v="Female"/>
    <n v="2"/>
    <n v="962.52"/>
    <n v="452.45"/>
    <x v="1"/>
    <s v="Q1"/>
    <n v="2022"/>
    <s v="UPI"/>
  </r>
  <r>
    <x v="126"/>
    <x v="0"/>
    <x v="1"/>
    <x v="9"/>
    <n v="5"/>
    <n v="1348.9"/>
    <s v="Male"/>
    <n v="4"/>
    <n v="1101.76"/>
    <n v="247.14"/>
    <x v="1"/>
    <s v="Q1"/>
    <n v="2023"/>
    <s v="UPI"/>
  </r>
  <r>
    <x v="127"/>
    <x v="3"/>
    <x v="0"/>
    <x v="8"/>
    <n v="12"/>
    <n v="5094.12"/>
    <s v="Female"/>
    <n v="5"/>
    <n v="277.26"/>
    <n v="4816.8599999999997"/>
    <x v="8"/>
    <s v="Q4"/>
    <n v="2023"/>
    <s v="EMI"/>
  </r>
  <r>
    <x v="14"/>
    <x v="3"/>
    <x v="2"/>
    <x v="5"/>
    <n v="45"/>
    <n v="8712.65"/>
    <s v="Male"/>
    <n v="5"/>
    <n v="9405.6200000000008"/>
    <n v="-692.97"/>
    <x v="1"/>
    <s v="Q1"/>
    <n v="2023"/>
    <s v="UPI"/>
  </r>
  <r>
    <x v="128"/>
    <x v="0"/>
    <x v="1"/>
    <x v="9"/>
    <n v="6"/>
    <n v="2378.25"/>
    <s v="Female"/>
    <n v="4"/>
    <n v="1362.33"/>
    <n v="1015.92"/>
    <x v="8"/>
    <s v="Q4"/>
    <n v="2023"/>
    <s v="Debit Card"/>
  </r>
  <r>
    <x v="129"/>
    <x v="4"/>
    <x v="1"/>
    <x v="9"/>
    <n v="44"/>
    <n v="14703.62"/>
    <s v="Male"/>
    <n v="2"/>
    <n v="7756.94"/>
    <n v="6946.68"/>
    <x v="10"/>
    <s v="Q3"/>
    <n v="2022"/>
    <s v="UPI"/>
  </r>
  <r>
    <x v="130"/>
    <x v="2"/>
    <x v="0"/>
    <x v="0"/>
    <n v="48"/>
    <n v="5125.6400000000003"/>
    <s v="Male"/>
    <n v="1"/>
    <n v="10260.82"/>
    <n v="-5135.18"/>
    <x v="10"/>
    <s v="Q3"/>
    <n v="2023"/>
    <s v="COD"/>
  </r>
  <r>
    <x v="131"/>
    <x v="1"/>
    <x v="0"/>
    <x v="13"/>
    <n v="40"/>
    <n v="7729.4"/>
    <s v="Female"/>
    <n v="4"/>
    <n v="6743.06"/>
    <n v="986.34"/>
    <x v="2"/>
    <s v="Q1"/>
    <n v="2022"/>
    <s v="Debit Card"/>
  </r>
  <r>
    <x v="7"/>
    <x v="1"/>
    <x v="1"/>
    <x v="19"/>
    <n v="28"/>
    <n v="1706.27"/>
    <s v="Female"/>
    <n v="5"/>
    <n v="1058.06"/>
    <n v="648.21"/>
    <x v="4"/>
    <s v="Q2"/>
    <n v="2022"/>
    <s v="COD"/>
  </r>
  <r>
    <x v="132"/>
    <x v="0"/>
    <x v="0"/>
    <x v="0"/>
    <n v="42"/>
    <n v="12100.39"/>
    <s v="Female"/>
    <n v="1"/>
    <n v="8635.59"/>
    <n v="3464.8"/>
    <x v="2"/>
    <s v="Q1"/>
    <n v="2023"/>
    <s v="UPI"/>
  </r>
  <r>
    <x v="122"/>
    <x v="0"/>
    <x v="4"/>
    <x v="17"/>
    <n v="41"/>
    <n v="20444.23"/>
    <s v="Female"/>
    <n v="5"/>
    <n v="2755.95"/>
    <n v="17688.28"/>
    <x v="9"/>
    <s v="Q3"/>
    <n v="2022"/>
    <s v="COD"/>
  </r>
  <r>
    <x v="133"/>
    <x v="1"/>
    <x v="3"/>
    <x v="15"/>
    <n v="25"/>
    <n v="6936.27"/>
    <s v="Male"/>
    <n v="1"/>
    <n v="5527.45"/>
    <n v="1408.82"/>
    <x v="7"/>
    <s v="Q3"/>
    <n v="2023"/>
    <s v="COD"/>
  </r>
  <r>
    <x v="21"/>
    <x v="0"/>
    <x v="2"/>
    <x v="2"/>
    <n v="49"/>
    <n v="7163.09"/>
    <s v="Female"/>
    <n v="5"/>
    <n v="7180.57"/>
    <n v="-17.48"/>
    <x v="0"/>
    <s v="Q2"/>
    <n v="2023"/>
    <s v="COD"/>
  </r>
  <r>
    <x v="134"/>
    <x v="3"/>
    <x v="2"/>
    <x v="2"/>
    <n v="29"/>
    <n v="12517.51"/>
    <s v="Female"/>
    <n v="1"/>
    <n v="3278.84"/>
    <n v="9238.67"/>
    <x v="10"/>
    <s v="Q3"/>
    <n v="2023"/>
    <s v="UPI"/>
  </r>
  <r>
    <x v="135"/>
    <x v="3"/>
    <x v="1"/>
    <x v="3"/>
    <n v="1"/>
    <n v="210.4"/>
    <s v="Female"/>
    <n v="2"/>
    <n v="84.42"/>
    <n v="125.98"/>
    <x v="5"/>
    <s v="Q1"/>
    <n v="2022"/>
    <s v="Debit Card"/>
  </r>
  <r>
    <x v="136"/>
    <x v="1"/>
    <x v="2"/>
    <x v="16"/>
    <n v="18"/>
    <n v="8827.44"/>
    <s v="Female"/>
    <n v="1"/>
    <n v="4082.79"/>
    <n v="4744.6499999999996"/>
    <x v="10"/>
    <s v="Q3"/>
    <n v="2023"/>
    <s v="Credit Card"/>
  </r>
  <r>
    <x v="137"/>
    <x v="3"/>
    <x v="4"/>
    <x v="17"/>
    <n v="9"/>
    <n v="1034.9000000000001"/>
    <s v="Female"/>
    <n v="4"/>
    <n v="1601.21"/>
    <n v="-566.30999999999995"/>
    <x v="1"/>
    <s v="Q1"/>
    <n v="2023"/>
    <s v="COD"/>
  </r>
  <r>
    <x v="138"/>
    <x v="1"/>
    <x v="3"/>
    <x v="12"/>
    <n v="17"/>
    <n v="1750.19"/>
    <s v="Male"/>
    <n v="2"/>
    <n v="3583.79"/>
    <n v="-1833.6"/>
    <x v="0"/>
    <s v="Q2"/>
    <n v="2022"/>
    <s v="Debit Card"/>
  </r>
  <r>
    <x v="19"/>
    <x v="3"/>
    <x v="0"/>
    <x v="13"/>
    <n v="23"/>
    <n v="628.30999999999995"/>
    <s v="Male"/>
    <n v="3"/>
    <n v="1503.9"/>
    <n v="-875.59"/>
    <x v="1"/>
    <s v="Q1"/>
    <n v="2023"/>
    <s v="UPI"/>
  </r>
  <r>
    <x v="139"/>
    <x v="4"/>
    <x v="2"/>
    <x v="16"/>
    <n v="14"/>
    <n v="2528.84"/>
    <s v="Male"/>
    <n v="5"/>
    <n v="1402.59"/>
    <n v="1126.25"/>
    <x v="4"/>
    <s v="Q2"/>
    <n v="2023"/>
    <s v="COD"/>
  </r>
  <r>
    <x v="140"/>
    <x v="2"/>
    <x v="3"/>
    <x v="12"/>
    <n v="27"/>
    <n v="11992.06"/>
    <s v="Female"/>
    <n v="2"/>
    <n v="2460.9"/>
    <n v="9531.16"/>
    <x v="4"/>
    <s v="Q2"/>
    <n v="2022"/>
    <s v="Debit Card"/>
  </r>
  <r>
    <x v="141"/>
    <x v="3"/>
    <x v="3"/>
    <x v="15"/>
    <n v="35"/>
    <n v="1388.57"/>
    <s v="Female"/>
    <n v="4"/>
    <n v="3776.82"/>
    <n v="-2388.25"/>
    <x v="6"/>
    <s v="Q4"/>
    <n v="2022"/>
    <s v="COD"/>
  </r>
  <r>
    <x v="142"/>
    <x v="0"/>
    <x v="2"/>
    <x v="5"/>
    <n v="47"/>
    <n v="11682.36"/>
    <s v="Female"/>
    <n v="5"/>
    <n v="8465.8799999999992"/>
    <n v="3216.48"/>
    <x v="4"/>
    <s v="Q2"/>
    <n v="2023"/>
    <s v="COD"/>
  </r>
  <r>
    <x v="143"/>
    <x v="2"/>
    <x v="1"/>
    <x v="19"/>
    <n v="6"/>
    <n v="1599.61"/>
    <s v="Male"/>
    <n v="2"/>
    <n v="1282.94"/>
    <n v="316.67"/>
    <x v="9"/>
    <s v="Q3"/>
    <n v="2023"/>
    <s v="COD"/>
  </r>
  <r>
    <x v="144"/>
    <x v="0"/>
    <x v="4"/>
    <x v="18"/>
    <n v="49"/>
    <n v="21137.9"/>
    <s v="Male"/>
    <n v="1"/>
    <n v="11796.37"/>
    <n v="9341.5300000000007"/>
    <x v="0"/>
    <s v="Q2"/>
    <n v="2022"/>
    <s v="Debit Card"/>
  </r>
  <r>
    <x v="75"/>
    <x v="1"/>
    <x v="4"/>
    <x v="17"/>
    <n v="29"/>
    <n v="5716.47"/>
    <s v="Male"/>
    <n v="2"/>
    <n v="1284.3900000000001"/>
    <n v="4432.08"/>
    <x v="8"/>
    <s v="Q4"/>
    <n v="2023"/>
    <s v="COD"/>
  </r>
  <r>
    <x v="145"/>
    <x v="3"/>
    <x v="1"/>
    <x v="3"/>
    <n v="41"/>
    <n v="15766.06"/>
    <s v="Male"/>
    <n v="3"/>
    <n v="5469.54"/>
    <n v="10296.52"/>
    <x v="7"/>
    <s v="Q3"/>
    <n v="2022"/>
    <s v="Debit Card"/>
  </r>
  <r>
    <x v="146"/>
    <x v="2"/>
    <x v="2"/>
    <x v="5"/>
    <n v="24"/>
    <n v="6922.87"/>
    <s v="Female"/>
    <n v="3"/>
    <n v="5735.8"/>
    <n v="1187.07"/>
    <x v="4"/>
    <s v="Q2"/>
    <n v="2023"/>
    <s v="Debit Card"/>
  </r>
  <r>
    <x v="147"/>
    <x v="1"/>
    <x v="0"/>
    <x v="8"/>
    <n v="21"/>
    <n v="9381.77"/>
    <s v="Male"/>
    <n v="1"/>
    <n v="4391.62"/>
    <n v="4990.1499999999996"/>
    <x v="2"/>
    <s v="Q1"/>
    <n v="2023"/>
    <s v="UPI"/>
  </r>
  <r>
    <x v="92"/>
    <x v="4"/>
    <x v="3"/>
    <x v="15"/>
    <n v="45"/>
    <n v="14630.71"/>
    <s v="Female"/>
    <n v="4"/>
    <n v="6947.72"/>
    <n v="7682.99"/>
    <x v="7"/>
    <s v="Q3"/>
    <n v="2022"/>
    <s v="COD"/>
  </r>
  <r>
    <x v="148"/>
    <x v="4"/>
    <x v="1"/>
    <x v="9"/>
    <n v="21"/>
    <n v="7663.47"/>
    <s v="Female"/>
    <n v="2"/>
    <n v="3975.78"/>
    <n v="3687.69"/>
    <x v="8"/>
    <s v="Q4"/>
    <n v="2022"/>
    <s v="Debit Card"/>
  </r>
  <r>
    <x v="149"/>
    <x v="0"/>
    <x v="3"/>
    <x v="15"/>
    <n v="9"/>
    <n v="4295.24"/>
    <s v="Male"/>
    <n v="3"/>
    <n v="53.63"/>
    <n v="4241.6099999999997"/>
    <x v="2"/>
    <s v="Q1"/>
    <n v="2023"/>
    <s v="Credit Card"/>
  </r>
  <r>
    <x v="150"/>
    <x v="3"/>
    <x v="2"/>
    <x v="2"/>
    <n v="2"/>
    <n v="601.9"/>
    <s v="Male"/>
    <n v="5"/>
    <n v="272.72000000000003"/>
    <n v="329.18"/>
    <x v="7"/>
    <s v="Q3"/>
    <n v="2023"/>
    <s v="Debit Card"/>
  </r>
  <r>
    <x v="151"/>
    <x v="0"/>
    <x v="2"/>
    <x v="16"/>
    <n v="36"/>
    <n v="10018.43"/>
    <s v="Male"/>
    <n v="2"/>
    <n v="1027.8599999999999"/>
    <n v="8990.57"/>
    <x v="6"/>
    <s v="Q4"/>
    <n v="2022"/>
    <s v="Debit Card"/>
  </r>
  <r>
    <x v="152"/>
    <x v="4"/>
    <x v="0"/>
    <x v="8"/>
    <n v="31"/>
    <n v="10685.43"/>
    <s v="Female"/>
    <n v="3"/>
    <n v="3752.13"/>
    <n v="6933.3"/>
    <x v="0"/>
    <s v="Q2"/>
    <n v="2022"/>
    <s v="COD"/>
  </r>
  <r>
    <x v="128"/>
    <x v="4"/>
    <x v="3"/>
    <x v="11"/>
    <n v="14"/>
    <n v="5724.09"/>
    <s v="Female"/>
    <n v="3"/>
    <n v="2954.53"/>
    <n v="2769.56"/>
    <x v="8"/>
    <s v="Q4"/>
    <n v="2023"/>
    <s v="Debit Card"/>
  </r>
  <r>
    <x v="153"/>
    <x v="1"/>
    <x v="4"/>
    <x v="17"/>
    <n v="22"/>
    <n v="979.36"/>
    <s v="Female"/>
    <n v="1"/>
    <n v="1678.26"/>
    <n v="-698.9"/>
    <x v="0"/>
    <s v="Q2"/>
    <n v="2023"/>
    <s v="COD"/>
  </r>
  <r>
    <x v="154"/>
    <x v="1"/>
    <x v="1"/>
    <x v="1"/>
    <n v="2"/>
    <n v="656.47"/>
    <s v="Male"/>
    <n v="3"/>
    <n v="16.43"/>
    <n v="640.04"/>
    <x v="10"/>
    <s v="Q3"/>
    <n v="2023"/>
    <s v="COD"/>
  </r>
  <r>
    <x v="155"/>
    <x v="0"/>
    <x v="0"/>
    <x v="0"/>
    <n v="46"/>
    <n v="743.49"/>
    <s v="Male"/>
    <n v="3"/>
    <n v="4154.4399999999996"/>
    <n v="-3410.95"/>
    <x v="6"/>
    <s v="Q4"/>
    <n v="2022"/>
    <s v="Debit Card"/>
  </r>
  <r>
    <x v="156"/>
    <x v="3"/>
    <x v="0"/>
    <x v="0"/>
    <n v="10"/>
    <n v="1019.29"/>
    <s v="Male"/>
    <n v="3"/>
    <n v="1220.53"/>
    <n v="-201.24"/>
    <x v="6"/>
    <s v="Q4"/>
    <n v="2023"/>
    <s v="COD"/>
  </r>
  <r>
    <x v="157"/>
    <x v="3"/>
    <x v="0"/>
    <x v="0"/>
    <n v="16"/>
    <n v="7097.62"/>
    <s v="Male"/>
    <n v="3"/>
    <n v="2961.31"/>
    <n v="4136.3100000000004"/>
    <x v="9"/>
    <s v="Q3"/>
    <n v="2022"/>
    <s v="COD"/>
  </r>
  <r>
    <x v="27"/>
    <x v="0"/>
    <x v="2"/>
    <x v="16"/>
    <n v="17"/>
    <n v="1861.94"/>
    <s v="Male"/>
    <n v="1"/>
    <n v="1242.19"/>
    <n v="619.75"/>
    <x v="6"/>
    <s v="Q4"/>
    <n v="2023"/>
    <s v="Debit Card"/>
  </r>
  <r>
    <x v="158"/>
    <x v="0"/>
    <x v="1"/>
    <x v="3"/>
    <n v="10"/>
    <n v="1722.51"/>
    <s v="Female"/>
    <n v="3"/>
    <n v="1146.9100000000001"/>
    <n v="575.6"/>
    <x v="4"/>
    <s v="Q2"/>
    <n v="2023"/>
    <s v="COD"/>
  </r>
  <r>
    <x v="159"/>
    <x v="4"/>
    <x v="4"/>
    <x v="17"/>
    <n v="34"/>
    <n v="16648.830000000002"/>
    <s v="Male"/>
    <n v="3"/>
    <n v="2046.46"/>
    <n v="14602.37"/>
    <x v="3"/>
    <s v="Q2"/>
    <n v="2022"/>
    <s v="Debit Card"/>
  </r>
  <r>
    <x v="160"/>
    <x v="1"/>
    <x v="2"/>
    <x v="16"/>
    <n v="49"/>
    <n v="22291.82"/>
    <s v="Female"/>
    <n v="1"/>
    <n v="2021.93"/>
    <n v="20269.89"/>
    <x v="8"/>
    <s v="Q4"/>
    <n v="2022"/>
    <s v="Credit Card"/>
  </r>
  <r>
    <x v="161"/>
    <x v="3"/>
    <x v="4"/>
    <x v="17"/>
    <n v="18"/>
    <n v="8629.34"/>
    <s v="Male"/>
    <n v="5"/>
    <n v="1099.04"/>
    <n v="7530.3"/>
    <x v="11"/>
    <s v="Q4"/>
    <n v="2022"/>
    <s v="COD"/>
  </r>
  <r>
    <x v="162"/>
    <x v="2"/>
    <x v="2"/>
    <x v="2"/>
    <n v="29"/>
    <n v="2191.92"/>
    <s v="Male"/>
    <n v="2"/>
    <n v="5751.89"/>
    <n v="-3559.97"/>
    <x v="6"/>
    <s v="Q4"/>
    <n v="2023"/>
    <s v="COD"/>
  </r>
  <r>
    <x v="163"/>
    <x v="3"/>
    <x v="1"/>
    <x v="19"/>
    <n v="46"/>
    <n v="20885.71"/>
    <s v="Male"/>
    <n v="4"/>
    <n v="5414.01"/>
    <n v="15471.7"/>
    <x v="1"/>
    <s v="Q1"/>
    <n v="2022"/>
    <s v="COD"/>
  </r>
  <r>
    <x v="119"/>
    <x v="1"/>
    <x v="3"/>
    <x v="4"/>
    <n v="6"/>
    <n v="809.16"/>
    <s v="Male"/>
    <n v="2"/>
    <n v="1005.3"/>
    <n v="-196.14"/>
    <x v="4"/>
    <s v="Q2"/>
    <n v="2022"/>
    <s v="Debit Card"/>
  </r>
  <r>
    <x v="15"/>
    <x v="1"/>
    <x v="2"/>
    <x v="2"/>
    <n v="41"/>
    <n v="4988.41"/>
    <s v="Female"/>
    <n v="3"/>
    <n v="10213.41"/>
    <n v="-5225"/>
    <x v="6"/>
    <s v="Q4"/>
    <n v="2023"/>
    <s v="COD"/>
  </r>
  <r>
    <x v="164"/>
    <x v="3"/>
    <x v="2"/>
    <x v="5"/>
    <n v="42"/>
    <n v="3048.02"/>
    <s v="Female"/>
    <n v="5"/>
    <n v="6765.77"/>
    <n v="-3717.75"/>
    <x v="9"/>
    <s v="Q3"/>
    <n v="2022"/>
    <s v="COD"/>
  </r>
  <r>
    <x v="165"/>
    <x v="3"/>
    <x v="4"/>
    <x v="10"/>
    <n v="34"/>
    <n v="10878.06"/>
    <s v="Female"/>
    <n v="3"/>
    <n v="3436.73"/>
    <n v="7441.33"/>
    <x v="0"/>
    <s v="Q2"/>
    <n v="2022"/>
    <s v="Credit Card"/>
  </r>
  <r>
    <x v="166"/>
    <x v="2"/>
    <x v="2"/>
    <x v="16"/>
    <n v="28"/>
    <n v="1785.75"/>
    <s v="Male"/>
    <n v="2"/>
    <n v="1238.3599999999999"/>
    <n v="547.39"/>
    <x v="6"/>
    <s v="Q4"/>
    <n v="2022"/>
    <s v="Debit Card"/>
  </r>
  <r>
    <x v="167"/>
    <x v="1"/>
    <x v="0"/>
    <x v="14"/>
    <n v="5"/>
    <n v="1811.92"/>
    <s v="Male"/>
    <n v="3"/>
    <n v="607.48"/>
    <n v="1204.44"/>
    <x v="7"/>
    <s v="Q3"/>
    <n v="2022"/>
    <s v="Debit Card"/>
  </r>
  <r>
    <x v="168"/>
    <x v="4"/>
    <x v="1"/>
    <x v="3"/>
    <n v="42"/>
    <n v="894.18"/>
    <s v="Male"/>
    <n v="5"/>
    <n v="7824.87"/>
    <n v="-6930.69"/>
    <x v="10"/>
    <s v="Q3"/>
    <n v="2022"/>
    <s v="UPI"/>
  </r>
  <r>
    <x v="169"/>
    <x v="1"/>
    <x v="2"/>
    <x v="5"/>
    <n v="44"/>
    <n v="13375.67"/>
    <s v="Male"/>
    <n v="3"/>
    <n v="6672.59"/>
    <n v="6703.08"/>
    <x v="7"/>
    <s v="Q3"/>
    <n v="2022"/>
    <s v="Debit Card"/>
  </r>
  <r>
    <x v="11"/>
    <x v="1"/>
    <x v="2"/>
    <x v="2"/>
    <n v="44"/>
    <n v="10746.96"/>
    <s v="Female"/>
    <n v="4"/>
    <n v="2403.0100000000002"/>
    <n v="8343.9500000000007"/>
    <x v="4"/>
    <s v="Q2"/>
    <n v="2023"/>
    <s v="UPI"/>
  </r>
  <r>
    <x v="170"/>
    <x v="0"/>
    <x v="3"/>
    <x v="4"/>
    <n v="32"/>
    <n v="6784.15"/>
    <s v="Female"/>
    <n v="5"/>
    <n v="7112.47"/>
    <n v="-328.32"/>
    <x v="3"/>
    <s v="Q2"/>
    <n v="2022"/>
    <s v="Debit Card"/>
  </r>
  <r>
    <x v="171"/>
    <x v="3"/>
    <x v="2"/>
    <x v="2"/>
    <n v="7"/>
    <n v="594.35"/>
    <s v="Female"/>
    <n v="3"/>
    <n v="482.67"/>
    <n v="111.68"/>
    <x v="7"/>
    <s v="Q3"/>
    <n v="2023"/>
    <s v="Credit Card"/>
  </r>
  <r>
    <x v="172"/>
    <x v="1"/>
    <x v="0"/>
    <x v="13"/>
    <n v="2"/>
    <n v="641.79999999999995"/>
    <s v="Male"/>
    <n v="2"/>
    <n v="404.43"/>
    <n v="237.37"/>
    <x v="0"/>
    <s v="Q2"/>
    <n v="2023"/>
    <s v="UPI"/>
  </r>
  <r>
    <x v="32"/>
    <x v="3"/>
    <x v="3"/>
    <x v="15"/>
    <n v="47"/>
    <n v="4781.95"/>
    <s v="Female"/>
    <n v="4"/>
    <n v="5937.86"/>
    <n v="-1155.9100000000001"/>
    <x v="4"/>
    <s v="Q2"/>
    <n v="2023"/>
    <s v="Debit Card"/>
  </r>
  <r>
    <x v="173"/>
    <x v="1"/>
    <x v="3"/>
    <x v="11"/>
    <n v="3"/>
    <n v="125"/>
    <s v="Female"/>
    <n v="1"/>
    <n v="239.13"/>
    <n v="-114.13"/>
    <x v="0"/>
    <s v="Q2"/>
    <n v="2022"/>
    <s v="Debit Card"/>
  </r>
  <r>
    <x v="67"/>
    <x v="4"/>
    <x v="2"/>
    <x v="16"/>
    <n v="13"/>
    <n v="5309.43"/>
    <s v="Female"/>
    <n v="5"/>
    <n v="812.92"/>
    <n v="4496.51"/>
    <x v="8"/>
    <s v="Q4"/>
    <n v="2022"/>
    <s v="COD"/>
  </r>
  <r>
    <x v="72"/>
    <x v="1"/>
    <x v="1"/>
    <x v="3"/>
    <n v="39"/>
    <n v="1107.29"/>
    <s v="Male"/>
    <n v="5"/>
    <n v="2614.89"/>
    <n v="-1507.6"/>
    <x v="1"/>
    <s v="Q1"/>
    <n v="2022"/>
    <s v="COD"/>
  </r>
  <r>
    <x v="174"/>
    <x v="4"/>
    <x v="1"/>
    <x v="3"/>
    <n v="40"/>
    <n v="17757.37"/>
    <s v="Male"/>
    <n v="1"/>
    <n v="5851.26"/>
    <n v="11906.11"/>
    <x v="9"/>
    <s v="Q3"/>
    <n v="2022"/>
    <s v="Debit Card"/>
  </r>
  <r>
    <x v="175"/>
    <x v="0"/>
    <x v="1"/>
    <x v="9"/>
    <n v="29"/>
    <n v="11259.88"/>
    <s v="Female"/>
    <n v="4"/>
    <n v="3062.55"/>
    <n v="8197.33"/>
    <x v="2"/>
    <s v="Q1"/>
    <n v="2023"/>
    <s v="COD"/>
  </r>
  <r>
    <x v="176"/>
    <x v="4"/>
    <x v="0"/>
    <x v="14"/>
    <n v="21"/>
    <n v="1672.36"/>
    <s v="Male"/>
    <n v="1"/>
    <n v="636.59"/>
    <n v="1035.77"/>
    <x v="11"/>
    <s v="Q4"/>
    <n v="2022"/>
    <s v="COD"/>
  </r>
  <r>
    <x v="14"/>
    <x v="2"/>
    <x v="0"/>
    <x v="8"/>
    <n v="28"/>
    <n v="1232.2"/>
    <s v="Female"/>
    <n v="4"/>
    <n v="4111.75"/>
    <n v="-2879.55"/>
    <x v="1"/>
    <s v="Q1"/>
    <n v="2023"/>
    <s v="COD"/>
  </r>
  <r>
    <x v="177"/>
    <x v="3"/>
    <x v="1"/>
    <x v="1"/>
    <n v="6"/>
    <n v="2774.43"/>
    <s v="Female"/>
    <n v="4"/>
    <n v="1148.73"/>
    <n v="1625.7"/>
    <x v="5"/>
    <s v="Q1"/>
    <n v="2023"/>
    <s v="UPI"/>
  </r>
  <r>
    <x v="178"/>
    <x v="1"/>
    <x v="1"/>
    <x v="3"/>
    <n v="6"/>
    <n v="2318.21"/>
    <s v="Male"/>
    <n v="3"/>
    <n v="380.15"/>
    <n v="1938.06"/>
    <x v="0"/>
    <s v="Q2"/>
    <n v="2022"/>
    <s v="Debit Card"/>
  </r>
  <r>
    <x v="179"/>
    <x v="3"/>
    <x v="2"/>
    <x v="16"/>
    <n v="27"/>
    <n v="10981.95"/>
    <s v="Male"/>
    <n v="3"/>
    <n v="5830.26"/>
    <n v="5151.6899999999996"/>
    <x v="3"/>
    <s v="Q2"/>
    <n v="2022"/>
    <s v="Debit Card"/>
  </r>
  <r>
    <x v="180"/>
    <x v="3"/>
    <x v="0"/>
    <x v="13"/>
    <n v="2"/>
    <n v="470.39"/>
    <s v="Female"/>
    <n v="4"/>
    <n v="126.94"/>
    <n v="343.45"/>
    <x v="8"/>
    <s v="Q4"/>
    <n v="2023"/>
    <s v="Debit Card"/>
  </r>
  <r>
    <x v="181"/>
    <x v="0"/>
    <x v="4"/>
    <x v="6"/>
    <n v="30"/>
    <n v="3144.65"/>
    <s v="Male"/>
    <n v="5"/>
    <n v="6967.12"/>
    <n v="-3822.47"/>
    <x v="10"/>
    <s v="Q3"/>
    <n v="2022"/>
    <s v="Credit Card"/>
  </r>
  <r>
    <x v="124"/>
    <x v="3"/>
    <x v="2"/>
    <x v="16"/>
    <n v="19"/>
    <n v="5458.09"/>
    <s v="Male"/>
    <n v="3"/>
    <n v="1862.19"/>
    <n v="3595.9"/>
    <x v="7"/>
    <s v="Q3"/>
    <n v="2023"/>
    <s v="Credit Card"/>
  </r>
  <r>
    <x v="182"/>
    <x v="3"/>
    <x v="3"/>
    <x v="12"/>
    <n v="30"/>
    <n v="2163.61"/>
    <s v="Male"/>
    <n v="2"/>
    <n v="1059.24"/>
    <n v="1104.3699999999999"/>
    <x v="8"/>
    <s v="Q4"/>
    <n v="2023"/>
    <s v="Credit Card"/>
  </r>
  <r>
    <x v="76"/>
    <x v="3"/>
    <x v="4"/>
    <x v="6"/>
    <n v="14"/>
    <n v="4503.17"/>
    <s v="Male"/>
    <n v="2"/>
    <n v="155.46"/>
    <n v="4347.71"/>
    <x v="4"/>
    <s v="Q2"/>
    <n v="2022"/>
    <s v="Debit Card"/>
  </r>
  <r>
    <x v="24"/>
    <x v="1"/>
    <x v="4"/>
    <x v="17"/>
    <n v="7"/>
    <n v="445.83"/>
    <s v="Female"/>
    <n v="1"/>
    <n v="769.91"/>
    <n v="-324.08"/>
    <x v="8"/>
    <s v="Q4"/>
    <n v="2022"/>
    <s v="UPI"/>
  </r>
  <r>
    <x v="183"/>
    <x v="4"/>
    <x v="1"/>
    <x v="3"/>
    <n v="9"/>
    <n v="419.81"/>
    <s v="Female"/>
    <n v="2"/>
    <n v="1804.95"/>
    <n v="-1385.14"/>
    <x v="3"/>
    <s v="Q2"/>
    <n v="2023"/>
    <s v="Credit Card"/>
  </r>
  <r>
    <x v="184"/>
    <x v="1"/>
    <x v="2"/>
    <x v="5"/>
    <n v="30"/>
    <n v="13219.18"/>
    <s v="Female"/>
    <n v="3"/>
    <n v="3897.44"/>
    <n v="9321.74"/>
    <x v="1"/>
    <s v="Q1"/>
    <n v="2023"/>
    <s v="COD"/>
  </r>
  <r>
    <x v="157"/>
    <x v="3"/>
    <x v="0"/>
    <x v="8"/>
    <n v="13"/>
    <n v="1525.73"/>
    <s v="Male"/>
    <n v="2"/>
    <n v="2334.17"/>
    <n v="-808.44"/>
    <x v="9"/>
    <s v="Q3"/>
    <n v="2022"/>
    <s v="UPI"/>
  </r>
  <r>
    <x v="185"/>
    <x v="1"/>
    <x v="4"/>
    <x v="10"/>
    <n v="8"/>
    <n v="1197.0899999999999"/>
    <s v="Female"/>
    <n v="4"/>
    <n v="900.95"/>
    <n v="296.14"/>
    <x v="4"/>
    <s v="Q2"/>
    <n v="2023"/>
    <s v="COD"/>
  </r>
  <r>
    <x v="102"/>
    <x v="4"/>
    <x v="3"/>
    <x v="11"/>
    <n v="19"/>
    <n v="4874.17"/>
    <s v="Male"/>
    <n v="2"/>
    <n v="1630.91"/>
    <n v="3243.26"/>
    <x v="11"/>
    <s v="Q4"/>
    <n v="2023"/>
    <s v="Debit Card"/>
  </r>
  <r>
    <x v="186"/>
    <x v="0"/>
    <x v="3"/>
    <x v="12"/>
    <n v="40"/>
    <n v="19120.07"/>
    <s v="Female"/>
    <n v="2"/>
    <n v="7553.42"/>
    <n v="11566.65"/>
    <x v="6"/>
    <s v="Q4"/>
    <n v="2022"/>
    <s v="COD"/>
  </r>
  <r>
    <x v="98"/>
    <x v="2"/>
    <x v="2"/>
    <x v="16"/>
    <n v="30"/>
    <n v="2124.25"/>
    <s v="Male"/>
    <n v="3"/>
    <n v="5387.46"/>
    <n v="-3263.21"/>
    <x v="8"/>
    <s v="Q4"/>
    <n v="2022"/>
    <s v="COD"/>
  </r>
  <r>
    <x v="187"/>
    <x v="0"/>
    <x v="3"/>
    <x v="15"/>
    <n v="34"/>
    <n v="15245.3"/>
    <s v="Female"/>
    <n v="1"/>
    <n v="324.27"/>
    <n v="14921.03"/>
    <x v="5"/>
    <s v="Q1"/>
    <n v="2022"/>
    <s v="Debit Card"/>
  </r>
  <r>
    <x v="188"/>
    <x v="3"/>
    <x v="4"/>
    <x v="6"/>
    <n v="17"/>
    <n v="8468.09"/>
    <s v="Female"/>
    <n v="5"/>
    <n v="1595.71"/>
    <n v="6872.38"/>
    <x v="2"/>
    <s v="Q1"/>
    <n v="2023"/>
    <s v="Credit Card"/>
  </r>
  <r>
    <x v="189"/>
    <x v="0"/>
    <x v="0"/>
    <x v="8"/>
    <n v="20"/>
    <n v="3278.07"/>
    <s v="Female"/>
    <n v="5"/>
    <n v="2068.98"/>
    <n v="1209.0899999999999"/>
    <x v="7"/>
    <s v="Q3"/>
    <n v="2022"/>
    <s v="COD"/>
  </r>
  <r>
    <x v="190"/>
    <x v="4"/>
    <x v="1"/>
    <x v="3"/>
    <n v="32"/>
    <n v="13936.06"/>
    <s v="Female"/>
    <n v="2"/>
    <n v="6153.07"/>
    <n v="7782.99"/>
    <x v="10"/>
    <s v="Q3"/>
    <n v="2023"/>
    <s v="UPI"/>
  </r>
  <r>
    <x v="191"/>
    <x v="4"/>
    <x v="0"/>
    <x v="13"/>
    <n v="23"/>
    <n v="7548.04"/>
    <s v="Male"/>
    <n v="1"/>
    <n v="145.09"/>
    <n v="7402.95"/>
    <x v="9"/>
    <s v="Q3"/>
    <n v="2022"/>
    <s v="COD"/>
  </r>
  <r>
    <x v="192"/>
    <x v="3"/>
    <x v="4"/>
    <x v="18"/>
    <n v="33"/>
    <n v="5052.33"/>
    <s v="Male"/>
    <n v="1"/>
    <n v="3651.58"/>
    <n v="1400.75"/>
    <x v="0"/>
    <s v="Q2"/>
    <n v="2022"/>
    <s v="COD"/>
  </r>
  <r>
    <x v="193"/>
    <x v="3"/>
    <x v="0"/>
    <x v="8"/>
    <n v="7"/>
    <n v="2911.7"/>
    <s v="Male"/>
    <n v="2"/>
    <n v="1605.03"/>
    <n v="1306.67"/>
    <x v="3"/>
    <s v="Q2"/>
    <n v="2023"/>
    <s v="Debit Card"/>
  </r>
  <r>
    <x v="194"/>
    <x v="0"/>
    <x v="0"/>
    <x v="8"/>
    <n v="36"/>
    <n v="15766.43"/>
    <s v="Male"/>
    <n v="3"/>
    <n v="6354.08"/>
    <n v="9412.35"/>
    <x v="6"/>
    <s v="Q4"/>
    <n v="2022"/>
    <s v="UPI"/>
  </r>
  <r>
    <x v="195"/>
    <x v="1"/>
    <x v="4"/>
    <x v="6"/>
    <n v="34"/>
    <n v="13641.95"/>
    <s v="Female"/>
    <n v="5"/>
    <n v="1255.01"/>
    <n v="12386.94"/>
    <x v="3"/>
    <s v="Q2"/>
    <n v="2023"/>
    <s v="UPI"/>
  </r>
  <r>
    <x v="196"/>
    <x v="0"/>
    <x v="1"/>
    <x v="19"/>
    <n v="48"/>
    <n v="5674.09"/>
    <s v="Female"/>
    <n v="3"/>
    <n v="462.44"/>
    <n v="5211.6499999999996"/>
    <x v="1"/>
    <s v="Q1"/>
    <n v="2022"/>
    <s v="COD"/>
  </r>
  <r>
    <x v="197"/>
    <x v="3"/>
    <x v="3"/>
    <x v="4"/>
    <n v="30"/>
    <n v="13046.77"/>
    <s v="Female"/>
    <n v="5"/>
    <n v="5820.05"/>
    <n v="7226.72"/>
    <x v="9"/>
    <s v="Q3"/>
    <n v="2022"/>
    <s v="COD"/>
  </r>
  <r>
    <x v="198"/>
    <x v="4"/>
    <x v="1"/>
    <x v="9"/>
    <n v="41"/>
    <n v="8756.34"/>
    <s v="Female"/>
    <n v="3"/>
    <n v="3955.92"/>
    <n v="4800.42"/>
    <x v="3"/>
    <s v="Q2"/>
    <n v="2022"/>
    <s v="COD"/>
  </r>
  <r>
    <x v="199"/>
    <x v="4"/>
    <x v="1"/>
    <x v="19"/>
    <n v="4"/>
    <n v="647.48"/>
    <s v="Male"/>
    <n v="1"/>
    <n v="629.32000000000005"/>
    <n v="18.16"/>
    <x v="4"/>
    <s v="Q2"/>
    <n v="2023"/>
    <s v="COD"/>
  </r>
  <r>
    <x v="9"/>
    <x v="3"/>
    <x v="4"/>
    <x v="18"/>
    <n v="27"/>
    <n v="346.9"/>
    <s v="Male"/>
    <n v="3"/>
    <n v="331.07"/>
    <n v="15.83"/>
    <x v="6"/>
    <s v="Q4"/>
    <n v="2023"/>
    <s v="Debit Card"/>
  </r>
  <r>
    <x v="200"/>
    <x v="4"/>
    <x v="4"/>
    <x v="17"/>
    <n v="17"/>
    <n v="8491.59"/>
    <s v="Male"/>
    <n v="3"/>
    <n v="127.64"/>
    <n v="8363.9500000000007"/>
    <x v="5"/>
    <s v="Q1"/>
    <n v="2022"/>
    <s v="COD"/>
  </r>
  <r>
    <x v="201"/>
    <x v="0"/>
    <x v="4"/>
    <x v="6"/>
    <n v="8"/>
    <n v="747.33"/>
    <s v="Male"/>
    <n v="2"/>
    <n v="772.1"/>
    <n v="-24.77"/>
    <x v="5"/>
    <s v="Q1"/>
    <n v="2023"/>
    <s v="Debit Card"/>
  </r>
  <r>
    <x v="51"/>
    <x v="1"/>
    <x v="4"/>
    <x v="18"/>
    <n v="26"/>
    <n v="8862.4599999999991"/>
    <s v="Male"/>
    <n v="4"/>
    <n v="3538.83"/>
    <n v="5323.63"/>
    <x v="0"/>
    <s v="Q2"/>
    <n v="2022"/>
    <s v="COD"/>
  </r>
  <r>
    <x v="202"/>
    <x v="0"/>
    <x v="2"/>
    <x v="5"/>
    <n v="15"/>
    <n v="4314.74"/>
    <s v="Female"/>
    <n v="1"/>
    <n v="1877.12"/>
    <n v="2437.62"/>
    <x v="8"/>
    <s v="Q4"/>
    <n v="2022"/>
    <s v="EMI"/>
  </r>
  <r>
    <x v="66"/>
    <x v="4"/>
    <x v="4"/>
    <x v="18"/>
    <n v="49"/>
    <n v="13083.23"/>
    <s v="Female"/>
    <n v="5"/>
    <n v="10889.27"/>
    <n v="2193.96"/>
    <x v="9"/>
    <s v="Q3"/>
    <n v="2023"/>
    <s v="Debit Card"/>
  </r>
  <r>
    <x v="151"/>
    <x v="3"/>
    <x v="2"/>
    <x v="5"/>
    <n v="6"/>
    <n v="2267.37"/>
    <s v="Female"/>
    <n v="4"/>
    <n v="442.44"/>
    <n v="1824.93"/>
    <x v="6"/>
    <s v="Q4"/>
    <n v="2022"/>
    <s v="COD"/>
  </r>
  <r>
    <x v="203"/>
    <x v="1"/>
    <x v="3"/>
    <x v="12"/>
    <n v="33"/>
    <n v="10853.44"/>
    <s v="Male"/>
    <n v="1"/>
    <n v="2488"/>
    <n v="8365.44"/>
    <x v="11"/>
    <s v="Q4"/>
    <n v="2023"/>
    <s v="EMI"/>
  </r>
  <r>
    <x v="204"/>
    <x v="2"/>
    <x v="4"/>
    <x v="17"/>
    <n v="29"/>
    <n v="8416.02"/>
    <s v="Female"/>
    <n v="5"/>
    <n v="425.58"/>
    <n v="7990.44"/>
    <x v="8"/>
    <s v="Q4"/>
    <n v="2022"/>
    <s v="UPI"/>
  </r>
  <r>
    <x v="205"/>
    <x v="3"/>
    <x v="2"/>
    <x v="16"/>
    <n v="26"/>
    <n v="2899.92"/>
    <s v="Male"/>
    <n v="1"/>
    <n v="5579.1"/>
    <n v="-2679.18"/>
    <x v="3"/>
    <s v="Q2"/>
    <n v="2023"/>
    <s v="COD"/>
  </r>
  <r>
    <x v="206"/>
    <x v="0"/>
    <x v="2"/>
    <x v="5"/>
    <n v="15"/>
    <n v="1229.82"/>
    <s v="Female"/>
    <n v="1"/>
    <n v="3745.89"/>
    <n v="-2516.0700000000002"/>
    <x v="9"/>
    <s v="Q3"/>
    <n v="2023"/>
    <s v="EMI"/>
  </r>
  <r>
    <x v="207"/>
    <x v="4"/>
    <x v="0"/>
    <x v="14"/>
    <n v="17"/>
    <n v="2939.89"/>
    <s v="Female"/>
    <n v="5"/>
    <n v="2282.96"/>
    <n v="656.93"/>
    <x v="0"/>
    <s v="Q2"/>
    <n v="2023"/>
    <s v="COD"/>
  </r>
  <r>
    <x v="208"/>
    <x v="1"/>
    <x v="2"/>
    <x v="5"/>
    <n v="50"/>
    <n v="2569.27"/>
    <s v="Female"/>
    <n v="4"/>
    <n v="2016.47"/>
    <n v="552.79999999999995"/>
    <x v="5"/>
    <s v="Q1"/>
    <n v="2023"/>
    <s v="Debit Card"/>
  </r>
  <r>
    <x v="209"/>
    <x v="3"/>
    <x v="1"/>
    <x v="3"/>
    <n v="47"/>
    <n v="17878.88"/>
    <s v="Female"/>
    <n v="4"/>
    <n v="4121.26"/>
    <n v="13757.62"/>
    <x v="10"/>
    <s v="Q3"/>
    <n v="2022"/>
    <s v="COD"/>
  </r>
  <r>
    <x v="17"/>
    <x v="4"/>
    <x v="1"/>
    <x v="9"/>
    <n v="3"/>
    <n v="303.24"/>
    <s v="Female"/>
    <n v="5"/>
    <n v="594.44000000000005"/>
    <n v="-291.2"/>
    <x v="6"/>
    <s v="Q4"/>
    <n v="2023"/>
    <s v="UPI"/>
  </r>
  <r>
    <x v="210"/>
    <x v="2"/>
    <x v="2"/>
    <x v="7"/>
    <n v="39"/>
    <n v="14894.34"/>
    <s v="Male"/>
    <n v="1"/>
    <n v="4325.66"/>
    <n v="10568.68"/>
    <x v="1"/>
    <s v="Q1"/>
    <n v="2023"/>
    <s v="COD"/>
  </r>
  <r>
    <x v="74"/>
    <x v="0"/>
    <x v="4"/>
    <x v="6"/>
    <n v="36"/>
    <n v="1043.08"/>
    <s v="Female"/>
    <n v="3"/>
    <n v="5500.54"/>
    <n v="-4457.46"/>
    <x v="9"/>
    <s v="Q3"/>
    <n v="2022"/>
    <s v="Debit Card"/>
  </r>
  <r>
    <x v="0"/>
    <x v="3"/>
    <x v="3"/>
    <x v="4"/>
    <n v="2"/>
    <n v="850.26"/>
    <s v="Female"/>
    <n v="3"/>
    <n v="140.12"/>
    <n v="710.14"/>
    <x v="0"/>
    <s v="Q2"/>
    <n v="2022"/>
    <s v="EMI"/>
  </r>
  <r>
    <x v="211"/>
    <x v="1"/>
    <x v="1"/>
    <x v="1"/>
    <n v="37"/>
    <n v="15779.46"/>
    <s v="Female"/>
    <n v="3"/>
    <n v="7818.26"/>
    <n v="7961.2"/>
    <x v="10"/>
    <s v="Q3"/>
    <n v="2022"/>
    <s v="UPI"/>
  </r>
  <r>
    <x v="212"/>
    <x v="1"/>
    <x v="1"/>
    <x v="19"/>
    <n v="13"/>
    <n v="1460.26"/>
    <s v="Female"/>
    <n v="3"/>
    <n v="1134.8699999999999"/>
    <n v="325.39"/>
    <x v="1"/>
    <s v="Q1"/>
    <n v="2022"/>
    <s v="COD"/>
  </r>
  <r>
    <x v="213"/>
    <x v="2"/>
    <x v="4"/>
    <x v="10"/>
    <n v="43"/>
    <n v="3927.93"/>
    <s v="Female"/>
    <n v="5"/>
    <n v="7391.29"/>
    <n v="-3463.36"/>
    <x v="8"/>
    <s v="Q4"/>
    <n v="2022"/>
    <s v="UPI"/>
  </r>
  <r>
    <x v="214"/>
    <x v="4"/>
    <x v="0"/>
    <x v="8"/>
    <n v="49"/>
    <n v="4671.83"/>
    <s v="Male"/>
    <n v="4"/>
    <n v="4134.78"/>
    <n v="537.04999999999995"/>
    <x v="10"/>
    <s v="Q3"/>
    <n v="2022"/>
    <s v="COD"/>
  </r>
  <r>
    <x v="103"/>
    <x v="3"/>
    <x v="4"/>
    <x v="6"/>
    <n v="9"/>
    <n v="3329.25"/>
    <s v="Male"/>
    <n v="5"/>
    <n v="1289.75"/>
    <n v="2039.5"/>
    <x v="0"/>
    <s v="Q2"/>
    <n v="2023"/>
    <s v="UPI"/>
  </r>
  <r>
    <x v="215"/>
    <x v="1"/>
    <x v="1"/>
    <x v="19"/>
    <n v="7"/>
    <n v="554.71"/>
    <s v="Male"/>
    <n v="5"/>
    <n v="1671.55"/>
    <n v="-1116.8399999999999"/>
    <x v="4"/>
    <s v="Q2"/>
    <n v="2023"/>
    <s v="Credit Card"/>
  </r>
  <r>
    <x v="106"/>
    <x v="3"/>
    <x v="4"/>
    <x v="17"/>
    <n v="10"/>
    <n v="2086.4"/>
    <s v="Female"/>
    <n v="3"/>
    <n v="909.9"/>
    <n v="1176.5"/>
    <x v="10"/>
    <s v="Q3"/>
    <n v="2022"/>
    <s v="COD"/>
  </r>
  <r>
    <x v="83"/>
    <x v="4"/>
    <x v="0"/>
    <x v="14"/>
    <n v="21"/>
    <n v="1878.05"/>
    <s v="Female"/>
    <n v="5"/>
    <n v="1726.37"/>
    <n v="151.68"/>
    <x v="9"/>
    <s v="Q3"/>
    <n v="2023"/>
    <s v="COD"/>
  </r>
  <r>
    <x v="216"/>
    <x v="4"/>
    <x v="2"/>
    <x v="16"/>
    <n v="14"/>
    <n v="6674.26"/>
    <s v="Female"/>
    <n v="5"/>
    <n v="1188.46"/>
    <n v="5485.8"/>
    <x v="0"/>
    <s v="Q2"/>
    <n v="2023"/>
    <s v="UPI"/>
  </r>
  <r>
    <x v="217"/>
    <x v="2"/>
    <x v="4"/>
    <x v="17"/>
    <n v="48"/>
    <n v="21935.279999999999"/>
    <s v="Female"/>
    <n v="2"/>
    <n v="3556.47"/>
    <n v="18378.810000000001"/>
    <x v="11"/>
    <s v="Q4"/>
    <n v="2022"/>
    <s v="COD"/>
  </r>
  <r>
    <x v="218"/>
    <x v="2"/>
    <x v="2"/>
    <x v="16"/>
    <n v="24"/>
    <n v="2357.9899999999998"/>
    <s v="Male"/>
    <n v="5"/>
    <n v="5622.46"/>
    <n v="-3264.47"/>
    <x v="3"/>
    <s v="Q2"/>
    <n v="2022"/>
    <s v="COD"/>
  </r>
  <r>
    <x v="139"/>
    <x v="2"/>
    <x v="4"/>
    <x v="18"/>
    <n v="37"/>
    <n v="13226"/>
    <s v="Male"/>
    <n v="4"/>
    <n v="1490.38"/>
    <n v="11735.62"/>
    <x v="4"/>
    <s v="Q2"/>
    <n v="2023"/>
    <s v="Credit Card"/>
  </r>
  <r>
    <x v="219"/>
    <x v="2"/>
    <x v="4"/>
    <x v="18"/>
    <n v="38"/>
    <n v="3645.81"/>
    <s v="Female"/>
    <n v="2"/>
    <n v="8162.51"/>
    <n v="-4516.7"/>
    <x v="6"/>
    <s v="Q4"/>
    <n v="2023"/>
    <s v="COD"/>
  </r>
  <r>
    <x v="220"/>
    <x v="0"/>
    <x v="3"/>
    <x v="4"/>
    <n v="26"/>
    <n v="5334.75"/>
    <s v="Female"/>
    <n v="4"/>
    <n v="4418.22"/>
    <n v="916.53"/>
    <x v="7"/>
    <s v="Q3"/>
    <n v="2023"/>
    <s v="UPI"/>
  </r>
  <r>
    <x v="221"/>
    <x v="4"/>
    <x v="1"/>
    <x v="9"/>
    <n v="44"/>
    <n v="11811.55"/>
    <s v="Female"/>
    <n v="1"/>
    <n v="9947.85"/>
    <n v="1863.7"/>
    <x v="3"/>
    <s v="Q2"/>
    <n v="2023"/>
    <s v="Credit Card"/>
  </r>
  <r>
    <x v="222"/>
    <x v="3"/>
    <x v="1"/>
    <x v="3"/>
    <n v="31"/>
    <n v="8585.89"/>
    <s v="Male"/>
    <n v="5"/>
    <n v="6986.6"/>
    <n v="1599.29"/>
    <x v="5"/>
    <s v="Q1"/>
    <n v="2023"/>
    <s v="Debit Card"/>
  </r>
  <r>
    <x v="223"/>
    <x v="1"/>
    <x v="2"/>
    <x v="5"/>
    <n v="35"/>
    <n v="8023.19"/>
    <s v="Female"/>
    <n v="5"/>
    <n v="7966.92"/>
    <n v="56.27"/>
    <x v="8"/>
    <s v="Q4"/>
    <n v="2022"/>
    <s v="COD"/>
  </r>
  <r>
    <x v="224"/>
    <x v="2"/>
    <x v="3"/>
    <x v="12"/>
    <n v="45"/>
    <n v="7222.84"/>
    <s v="Male"/>
    <n v="1"/>
    <n v="7715.95"/>
    <n v="-493.11"/>
    <x v="3"/>
    <s v="Q2"/>
    <n v="2023"/>
    <s v="Debit Card"/>
  </r>
  <r>
    <x v="225"/>
    <x v="4"/>
    <x v="0"/>
    <x v="8"/>
    <n v="23"/>
    <n v="1904.43"/>
    <s v="Male"/>
    <n v="5"/>
    <n v="2690.51"/>
    <n v="-786.08"/>
    <x v="9"/>
    <s v="Q3"/>
    <n v="2023"/>
    <s v="UPI"/>
  </r>
  <r>
    <x v="165"/>
    <x v="4"/>
    <x v="2"/>
    <x v="7"/>
    <n v="44"/>
    <n v="19216"/>
    <s v="Male"/>
    <n v="5"/>
    <n v="8936.42"/>
    <n v="10279.58"/>
    <x v="0"/>
    <s v="Q2"/>
    <n v="2022"/>
    <s v="Debit Card"/>
  </r>
  <r>
    <x v="226"/>
    <x v="3"/>
    <x v="4"/>
    <x v="18"/>
    <n v="50"/>
    <n v="19053.34"/>
    <s v="Female"/>
    <n v="2"/>
    <n v="9660.64"/>
    <n v="9392.7000000000007"/>
    <x v="9"/>
    <s v="Q3"/>
    <n v="2022"/>
    <s v="UPI"/>
  </r>
  <r>
    <x v="227"/>
    <x v="4"/>
    <x v="2"/>
    <x v="2"/>
    <n v="2"/>
    <n v="418.45"/>
    <s v="Female"/>
    <n v="3"/>
    <n v="335.37"/>
    <n v="83.08"/>
    <x v="10"/>
    <s v="Q3"/>
    <n v="2023"/>
    <s v="COD"/>
  </r>
  <r>
    <x v="228"/>
    <x v="3"/>
    <x v="4"/>
    <x v="18"/>
    <n v="18"/>
    <n v="7786.8"/>
    <s v="Female"/>
    <n v="2"/>
    <n v="2057.9"/>
    <n v="5728.9"/>
    <x v="7"/>
    <s v="Q3"/>
    <n v="2022"/>
    <s v="Debit Card"/>
  </r>
  <r>
    <x v="229"/>
    <x v="2"/>
    <x v="3"/>
    <x v="15"/>
    <n v="9"/>
    <n v="4068.24"/>
    <s v="Female"/>
    <n v="4"/>
    <n v="1709.81"/>
    <n v="2358.4299999999998"/>
    <x v="8"/>
    <s v="Q4"/>
    <n v="2023"/>
    <s v="COD"/>
  </r>
  <r>
    <x v="230"/>
    <x v="2"/>
    <x v="3"/>
    <x v="12"/>
    <n v="16"/>
    <n v="2730.93"/>
    <s v="Female"/>
    <n v="2"/>
    <n v="3724.89"/>
    <n v="-993.96"/>
    <x v="10"/>
    <s v="Q3"/>
    <n v="2022"/>
    <s v="Debit Card"/>
  </r>
  <r>
    <x v="231"/>
    <x v="0"/>
    <x v="3"/>
    <x v="4"/>
    <n v="24"/>
    <n v="9168.01"/>
    <s v="Female"/>
    <n v="1"/>
    <n v="1891.41"/>
    <n v="7276.6"/>
    <x v="9"/>
    <s v="Q3"/>
    <n v="2022"/>
    <s v="UPI"/>
  </r>
  <r>
    <x v="18"/>
    <x v="3"/>
    <x v="2"/>
    <x v="5"/>
    <n v="26"/>
    <n v="3155.34"/>
    <s v="Female"/>
    <n v="1"/>
    <n v="636.74"/>
    <n v="2518.6"/>
    <x v="7"/>
    <s v="Q3"/>
    <n v="2022"/>
    <s v="UPI"/>
  </r>
  <r>
    <x v="232"/>
    <x v="0"/>
    <x v="2"/>
    <x v="5"/>
    <n v="18"/>
    <n v="4481.79"/>
    <s v="Female"/>
    <n v="5"/>
    <n v="4427.7"/>
    <n v="54.09"/>
    <x v="11"/>
    <s v="Q4"/>
    <n v="2023"/>
    <s v="Debit Card"/>
  </r>
  <r>
    <x v="233"/>
    <x v="3"/>
    <x v="4"/>
    <x v="10"/>
    <n v="18"/>
    <n v="1516.23"/>
    <s v="Male"/>
    <n v="4"/>
    <n v="3548.05"/>
    <n v="-2031.82"/>
    <x v="3"/>
    <s v="Q2"/>
    <n v="2023"/>
    <s v="COD"/>
  </r>
  <r>
    <x v="234"/>
    <x v="4"/>
    <x v="2"/>
    <x v="2"/>
    <n v="11"/>
    <n v="1031.49"/>
    <s v="Female"/>
    <n v="3"/>
    <n v="2022.68"/>
    <n v="-991.19"/>
    <x v="3"/>
    <s v="Q2"/>
    <n v="2023"/>
    <s v="UPI"/>
  </r>
  <r>
    <x v="51"/>
    <x v="4"/>
    <x v="1"/>
    <x v="3"/>
    <n v="20"/>
    <n v="9836.4699999999993"/>
    <s v="Female"/>
    <n v="5"/>
    <n v="4058.98"/>
    <n v="5777.49"/>
    <x v="0"/>
    <s v="Q2"/>
    <n v="2022"/>
    <s v="UPI"/>
  </r>
  <r>
    <x v="235"/>
    <x v="4"/>
    <x v="2"/>
    <x v="5"/>
    <n v="14"/>
    <n v="5020.7299999999996"/>
    <s v="Female"/>
    <n v="3"/>
    <n v="2851.44"/>
    <n v="2169.29"/>
    <x v="10"/>
    <s v="Q3"/>
    <n v="2023"/>
    <s v="UPI"/>
  </r>
  <r>
    <x v="236"/>
    <x v="2"/>
    <x v="4"/>
    <x v="17"/>
    <n v="1"/>
    <n v="197.11"/>
    <s v="Male"/>
    <n v="2"/>
    <n v="145.13999999999999"/>
    <n v="51.97"/>
    <x v="8"/>
    <s v="Q4"/>
    <n v="2022"/>
    <s v="COD"/>
  </r>
  <r>
    <x v="237"/>
    <x v="2"/>
    <x v="1"/>
    <x v="9"/>
    <n v="33"/>
    <n v="13850"/>
    <s v="Female"/>
    <n v="4"/>
    <n v="3825.93"/>
    <n v="10024.07"/>
    <x v="7"/>
    <s v="Q3"/>
    <n v="2023"/>
    <s v="Credit Card"/>
  </r>
  <r>
    <x v="238"/>
    <x v="0"/>
    <x v="4"/>
    <x v="17"/>
    <n v="26"/>
    <n v="2702.1"/>
    <s v="Female"/>
    <n v="3"/>
    <n v="222.85"/>
    <n v="2479.25"/>
    <x v="6"/>
    <s v="Q4"/>
    <n v="2022"/>
    <s v="Credit Card"/>
  </r>
  <r>
    <x v="239"/>
    <x v="2"/>
    <x v="3"/>
    <x v="11"/>
    <n v="22"/>
    <n v="9598.61"/>
    <s v="Male"/>
    <n v="5"/>
    <n v="2074.9"/>
    <n v="7523.71"/>
    <x v="6"/>
    <s v="Q4"/>
    <n v="2023"/>
    <s v="Debit Card"/>
  </r>
  <r>
    <x v="39"/>
    <x v="2"/>
    <x v="1"/>
    <x v="9"/>
    <n v="32"/>
    <n v="12688.15"/>
    <s v="Female"/>
    <n v="5"/>
    <n v="1293.79"/>
    <n v="11394.36"/>
    <x v="7"/>
    <s v="Q3"/>
    <n v="2022"/>
    <s v="UPI"/>
  </r>
  <r>
    <x v="240"/>
    <x v="3"/>
    <x v="1"/>
    <x v="1"/>
    <n v="44"/>
    <n v="9189.91"/>
    <s v="Male"/>
    <n v="5"/>
    <n v="9333.82"/>
    <n v="-143.91"/>
    <x v="3"/>
    <s v="Q2"/>
    <n v="2022"/>
    <s v="COD"/>
  </r>
  <r>
    <x v="241"/>
    <x v="3"/>
    <x v="3"/>
    <x v="4"/>
    <n v="6"/>
    <n v="2720.03"/>
    <s v="Male"/>
    <n v="4"/>
    <n v="1430.9"/>
    <n v="1289.1300000000001"/>
    <x v="6"/>
    <s v="Q4"/>
    <n v="2023"/>
    <s v="UPI"/>
  </r>
  <r>
    <x v="232"/>
    <x v="0"/>
    <x v="1"/>
    <x v="9"/>
    <n v="19"/>
    <n v="8568.5"/>
    <s v="Male"/>
    <n v="1"/>
    <n v="4351.7"/>
    <n v="4216.8"/>
    <x v="11"/>
    <s v="Q4"/>
    <n v="2023"/>
    <s v="COD"/>
  </r>
  <r>
    <x v="242"/>
    <x v="1"/>
    <x v="4"/>
    <x v="17"/>
    <n v="21"/>
    <n v="523.55999999999995"/>
    <s v="Female"/>
    <n v="2"/>
    <n v="1471.08"/>
    <n v="-947.52"/>
    <x v="4"/>
    <s v="Q2"/>
    <n v="2022"/>
    <s v="UPI"/>
  </r>
  <r>
    <x v="243"/>
    <x v="1"/>
    <x v="2"/>
    <x v="2"/>
    <n v="3"/>
    <n v="1170.3"/>
    <s v="Male"/>
    <n v="2"/>
    <n v="352.35"/>
    <n v="817.95"/>
    <x v="8"/>
    <s v="Q4"/>
    <n v="2022"/>
    <s v="Debit Card"/>
  </r>
  <r>
    <x v="244"/>
    <x v="4"/>
    <x v="3"/>
    <x v="4"/>
    <n v="19"/>
    <n v="1497.51"/>
    <s v="Female"/>
    <n v="1"/>
    <n v="1168.73"/>
    <n v="328.78"/>
    <x v="9"/>
    <s v="Q3"/>
    <n v="2022"/>
    <s v="COD"/>
  </r>
  <r>
    <x v="245"/>
    <x v="1"/>
    <x v="0"/>
    <x v="0"/>
    <n v="19"/>
    <n v="8247.2999999999993"/>
    <s v="Female"/>
    <n v="4"/>
    <n v="3156.46"/>
    <n v="5090.84"/>
    <x v="2"/>
    <s v="Q1"/>
    <n v="2023"/>
    <s v="Credit Card"/>
  </r>
  <r>
    <x v="246"/>
    <x v="2"/>
    <x v="3"/>
    <x v="15"/>
    <n v="3"/>
    <n v="95.71"/>
    <s v="Female"/>
    <n v="2"/>
    <n v="339.72"/>
    <n v="-244.01"/>
    <x v="11"/>
    <s v="Q4"/>
    <n v="2022"/>
    <s v="Debit Card"/>
  </r>
  <r>
    <x v="10"/>
    <x v="2"/>
    <x v="4"/>
    <x v="6"/>
    <n v="40"/>
    <n v="15585.86"/>
    <s v="Female"/>
    <n v="4"/>
    <n v="6033.93"/>
    <n v="9551.93"/>
    <x v="0"/>
    <s v="Q2"/>
    <n v="2022"/>
    <s v="UPI"/>
  </r>
  <r>
    <x v="121"/>
    <x v="4"/>
    <x v="2"/>
    <x v="5"/>
    <n v="32"/>
    <n v="8007.5"/>
    <s v="Male"/>
    <n v="2"/>
    <n v="2102.2600000000002"/>
    <n v="5905.24"/>
    <x v="2"/>
    <s v="Q1"/>
    <n v="2023"/>
    <s v="COD"/>
  </r>
  <r>
    <x v="247"/>
    <x v="3"/>
    <x v="4"/>
    <x v="6"/>
    <n v="31"/>
    <n v="11394.72"/>
    <s v="Male"/>
    <n v="4"/>
    <n v="5535.31"/>
    <n v="5859.41"/>
    <x v="1"/>
    <s v="Q1"/>
    <n v="2023"/>
    <s v="COD"/>
  </r>
  <r>
    <x v="248"/>
    <x v="2"/>
    <x v="2"/>
    <x v="2"/>
    <n v="43"/>
    <n v="21074.83"/>
    <s v="Male"/>
    <n v="2"/>
    <n v="8337.69"/>
    <n v="12737.14"/>
    <x v="9"/>
    <s v="Q3"/>
    <n v="2022"/>
    <s v="Credit Card"/>
  </r>
  <r>
    <x v="88"/>
    <x v="2"/>
    <x v="4"/>
    <x v="10"/>
    <n v="5"/>
    <n v="1964.61"/>
    <s v="Female"/>
    <n v="1"/>
    <n v="857.05"/>
    <n v="1107.56"/>
    <x v="9"/>
    <s v="Q3"/>
    <n v="2022"/>
    <s v="Debit Card"/>
  </r>
  <r>
    <x v="249"/>
    <x v="3"/>
    <x v="4"/>
    <x v="6"/>
    <n v="45"/>
    <n v="15158.99"/>
    <s v="Male"/>
    <n v="1"/>
    <n v="1994.26"/>
    <n v="13164.73"/>
    <x v="3"/>
    <s v="Q2"/>
    <n v="2023"/>
    <s v="Credit Card"/>
  </r>
  <r>
    <x v="117"/>
    <x v="4"/>
    <x v="1"/>
    <x v="1"/>
    <n v="16"/>
    <n v="5605.58"/>
    <s v="Male"/>
    <n v="3"/>
    <n v="3507.71"/>
    <n v="2097.87"/>
    <x v="10"/>
    <s v="Q3"/>
    <n v="2022"/>
    <s v="COD"/>
  </r>
  <r>
    <x v="250"/>
    <x v="4"/>
    <x v="0"/>
    <x v="13"/>
    <n v="29"/>
    <n v="2392.39"/>
    <s v="Male"/>
    <n v="2"/>
    <n v="4809.43"/>
    <n v="-2417.04"/>
    <x v="8"/>
    <s v="Q4"/>
    <n v="2023"/>
    <s v="COD"/>
  </r>
  <r>
    <x v="165"/>
    <x v="3"/>
    <x v="2"/>
    <x v="5"/>
    <n v="32"/>
    <n v="8234.39"/>
    <s v="Male"/>
    <n v="1"/>
    <n v="7179.85"/>
    <n v="1054.54"/>
    <x v="0"/>
    <s v="Q2"/>
    <n v="2022"/>
    <s v="COD"/>
  </r>
  <r>
    <x v="251"/>
    <x v="1"/>
    <x v="2"/>
    <x v="2"/>
    <n v="8"/>
    <n v="2810.17"/>
    <s v="Male"/>
    <n v="5"/>
    <n v="1961.92"/>
    <n v="848.25"/>
    <x v="5"/>
    <s v="Q1"/>
    <n v="2023"/>
    <s v="COD"/>
  </r>
  <r>
    <x v="1"/>
    <x v="2"/>
    <x v="2"/>
    <x v="2"/>
    <n v="2"/>
    <n v="786.95"/>
    <s v="Male"/>
    <n v="5"/>
    <n v="210.96"/>
    <n v="575.99"/>
    <x v="0"/>
    <s v="Q2"/>
    <n v="2023"/>
    <s v="UPI"/>
  </r>
  <r>
    <x v="58"/>
    <x v="0"/>
    <x v="1"/>
    <x v="1"/>
    <n v="41"/>
    <n v="18261.68"/>
    <s v="Male"/>
    <n v="1"/>
    <n v="8890.18"/>
    <n v="9371.5"/>
    <x v="11"/>
    <s v="Q4"/>
    <n v="2023"/>
    <s v="Credit Card"/>
  </r>
  <r>
    <x v="98"/>
    <x v="1"/>
    <x v="4"/>
    <x v="10"/>
    <n v="2"/>
    <n v="331.27"/>
    <s v="Male"/>
    <n v="2"/>
    <n v="90.12"/>
    <n v="241.15"/>
    <x v="8"/>
    <s v="Q4"/>
    <n v="2022"/>
    <s v="Credit Card"/>
  </r>
  <r>
    <x v="252"/>
    <x v="3"/>
    <x v="4"/>
    <x v="18"/>
    <n v="29"/>
    <n v="920.67"/>
    <s v="Female"/>
    <n v="4"/>
    <n v="5162.49"/>
    <n v="-4241.82"/>
    <x v="2"/>
    <s v="Q1"/>
    <n v="2022"/>
    <s v="COD"/>
  </r>
  <r>
    <x v="253"/>
    <x v="2"/>
    <x v="2"/>
    <x v="5"/>
    <n v="50"/>
    <n v="9307.27"/>
    <s v="Female"/>
    <n v="3"/>
    <n v="8795"/>
    <n v="512.27"/>
    <x v="5"/>
    <s v="Q1"/>
    <n v="2022"/>
    <s v="COD"/>
  </r>
  <r>
    <x v="254"/>
    <x v="2"/>
    <x v="3"/>
    <x v="4"/>
    <n v="43"/>
    <n v="18697.21"/>
    <s v="Female"/>
    <n v="2"/>
    <n v="9457.81"/>
    <n v="9239.4"/>
    <x v="1"/>
    <s v="Q1"/>
    <n v="2022"/>
    <s v="COD"/>
  </r>
  <r>
    <x v="109"/>
    <x v="0"/>
    <x v="3"/>
    <x v="4"/>
    <n v="31"/>
    <n v="10409.33"/>
    <s v="Female"/>
    <n v="3"/>
    <n v="3474.81"/>
    <n v="6934.52"/>
    <x v="10"/>
    <s v="Q3"/>
    <n v="2022"/>
    <s v="COD"/>
  </r>
  <r>
    <x v="255"/>
    <x v="1"/>
    <x v="2"/>
    <x v="2"/>
    <n v="17"/>
    <n v="4999.5600000000004"/>
    <s v="Male"/>
    <n v="2"/>
    <n v="814.81"/>
    <n v="4184.75"/>
    <x v="5"/>
    <s v="Q1"/>
    <n v="2022"/>
    <s v="Credit Card"/>
  </r>
  <r>
    <x v="242"/>
    <x v="4"/>
    <x v="3"/>
    <x v="15"/>
    <n v="28"/>
    <n v="7772.9"/>
    <s v="Female"/>
    <n v="2"/>
    <n v="1287.1300000000001"/>
    <n v="6485.77"/>
    <x v="4"/>
    <s v="Q2"/>
    <n v="2022"/>
    <s v="Debit Card"/>
  </r>
  <r>
    <x v="256"/>
    <x v="3"/>
    <x v="1"/>
    <x v="3"/>
    <n v="36"/>
    <n v="14841.19"/>
    <s v="Male"/>
    <n v="4"/>
    <n v="8090.37"/>
    <n v="6750.82"/>
    <x v="3"/>
    <s v="Q2"/>
    <n v="2023"/>
    <s v="UPI"/>
  </r>
  <r>
    <x v="257"/>
    <x v="3"/>
    <x v="4"/>
    <x v="18"/>
    <n v="44"/>
    <n v="18310.849999999999"/>
    <s v="Male"/>
    <n v="2"/>
    <n v="10181.41"/>
    <n v="8129.44"/>
    <x v="11"/>
    <s v="Q4"/>
    <n v="2023"/>
    <s v="COD"/>
  </r>
  <r>
    <x v="258"/>
    <x v="4"/>
    <x v="1"/>
    <x v="3"/>
    <n v="16"/>
    <n v="6611.75"/>
    <s v="Male"/>
    <n v="2"/>
    <n v="1434.51"/>
    <n v="5177.24"/>
    <x v="5"/>
    <s v="Q1"/>
    <n v="2023"/>
    <s v="Debit Card"/>
  </r>
  <r>
    <x v="259"/>
    <x v="3"/>
    <x v="1"/>
    <x v="19"/>
    <n v="47"/>
    <n v="16896.38"/>
    <s v="Female"/>
    <n v="1"/>
    <n v="5733.82"/>
    <n v="11162.56"/>
    <x v="11"/>
    <s v="Q4"/>
    <n v="2023"/>
    <s v="Credit Card"/>
  </r>
  <r>
    <x v="60"/>
    <x v="3"/>
    <x v="0"/>
    <x v="14"/>
    <n v="18"/>
    <n v="5838.88"/>
    <s v="Female"/>
    <n v="5"/>
    <n v="1458.3"/>
    <n v="4380.58"/>
    <x v="3"/>
    <s v="Q2"/>
    <n v="2022"/>
    <s v="UPI"/>
  </r>
  <r>
    <x v="194"/>
    <x v="2"/>
    <x v="4"/>
    <x v="17"/>
    <n v="38"/>
    <n v="1939.17"/>
    <s v="Female"/>
    <n v="5"/>
    <n v="5106.04"/>
    <n v="-3166.87"/>
    <x v="6"/>
    <s v="Q4"/>
    <n v="2022"/>
    <s v="Debit Card"/>
  </r>
  <r>
    <x v="260"/>
    <x v="3"/>
    <x v="2"/>
    <x v="16"/>
    <n v="22"/>
    <n v="6154.39"/>
    <s v="Female"/>
    <n v="1"/>
    <n v="711.8"/>
    <n v="5442.59"/>
    <x v="6"/>
    <s v="Q4"/>
    <n v="2023"/>
    <s v="Debit Card"/>
  </r>
  <r>
    <x v="261"/>
    <x v="1"/>
    <x v="4"/>
    <x v="6"/>
    <n v="18"/>
    <n v="8346.75"/>
    <s v="Female"/>
    <n v="5"/>
    <n v="2613.81"/>
    <n v="5732.94"/>
    <x v="6"/>
    <s v="Q4"/>
    <n v="2022"/>
    <s v="Debit Card"/>
  </r>
  <r>
    <x v="149"/>
    <x v="3"/>
    <x v="0"/>
    <x v="0"/>
    <n v="3"/>
    <n v="810.1"/>
    <s v="Male"/>
    <n v="2"/>
    <n v="254.3"/>
    <n v="555.79999999999995"/>
    <x v="2"/>
    <s v="Q1"/>
    <n v="2023"/>
    <s v="UPI"/>
  </r>
  <r>
    <x v="247"/>
    <x v="0"/>
    <x v="1"/>
    <x v="19"/>
    <n v="26"/>
    <n v="9457.94"/>
    <s v="Male"/>
    <n v="4"/>
    <n v="3680.79"/>
    <n v="5777.15"/>
    <x v="1"/>
    <s v="Q1"/>
    <n v="2023"/>
    <s v="COD"/>
  </r>
  <r>
    <x v="215"/>
    <x v="2"/>
    <x v="4"/>
    <x v="18"/>
    <n v="50"/>
    <n v="12805.76"/>
    <s v="Female"/>
    <n v="1"/>
    <n v="1234.1300000000001"/>
    <n v="11571.63"/>
    <x v="4"/>
    <s v="Q2"/>
    <n v="2023"/>
    <s v="Debit Card"/>
  </r>
  <r>
    <x v="262"/>
    <x v="3"/>
    <x v="3"/>
    <x v="11"/>
    <n v="1"/>
    <n v="62.4"/>
    <s v="Female"/>
    <n v="4"/>
    <n v="106.01"/>
    <n v="-43.61"/>
    <x v="2"/>
    <s v="Q1"/>
    <n v="2022"/>
    <s v="Debit Card"/>
  </r>
  <r>
    <x v="263"/>
    <x v="1"/>
    <x v="1"/>
    <x v="9"/>
    <n v="21"/>
    <n v="6083.9"/>
    <s v="Male"/>
    <n v="1"/>
    <n v="1731.11"/>
    <n v="4352.79"/>
    <x v="8"/>
    <s v="Q4"/>
    <n v="2023"/>
    <s v="COD"/>
  </r>
  <r>
    <x v="264"/>
    <x v="3"/>
    <x v="1"/>
    <x v="19"/>
    <n v="8"/>
    <n v="2228.06"/>
    <s v="Male"/>
    <n v="1"/>
    <n v="1574.39"/>
    <n v="653.66999999999996"/>
    <x v="4"/>
    <s v="Q2"/>
    <n v="2022"/>
    <s v="COD"/>
  </r>
  <r>
    <x v="265"/>
    <x v="1"/>
    <x v="3"/>
    <x v="15"/>
    <n v="36"/>
    <n v="14155.02"/>
    <s v="Female"/>
    <n v="5"/>
    <n v="6161.55"/>
    <n v="7993.47"/>
    <x v="5"/>
    <s v="Q1"/>
    <n v="2022"/>
    <s v="COD"/>
  </r>
  <r>
    <x v="266"/>
    <x v="4"/>
    <x v="3"/>
    <x v="4"/>
    <n v="46"/>
    <n v="7071.32"/>
    <s v="Female"/>
    <n v="1"/>
    <n v="3200.53"/>
    <n v="3870.79"/>
    <x v="9"/>
    <s v="Q3"/>
    <n v="2023"/>
    <s v="COD"/>
  </r>
  <r>
    <x v="267"/>
    <x v="0"/>
    <x v="3"/>
    <x v="12"/>
    <n v="48"/>
    <n v="6614.07"/>
    <s v="Male"/>
    <n v="4"/>
    <n v="2329.04"/>
    <n v="4285.03"/>
    <x v="5"/>
    <s v="Q1"/>
    <n v="2023"/>
    <s v="COD"/>
  </r>
  <r>
    <x v="139"/>
    <x v="2"/>
    <x v="1"/>
    <x v="1"/>
    <n v="38"/>
    <n v="531.97"/>
    <s v="Male"/>
    <n v="5"/>
    <n v="2607.6"/>
    <n v="-2075.63"/>
    <x v="4"/>
    <s v="Q2"/>
    <n v="2023"/>
    <s v="Credit Card"/>
  </r>
  <r>
    <x v="268"/>
    <x v="1"/>
    <x v="4"/>
    <x v="10"/>
    <n v="14"/>
    <n v="3819.25"/>
    <s v="Male"/>
    <n v="4"/>
    <n v="1230.56"/>
    <n v="2588.69"/>
    <x v="11"/>
    <s v="Q4"/>
    <n v="2022"/>
    <s v="COD"/>
  </r>
  <r>
    <x v="269"/>
    <x v="4"/>
    <x v="0"/>
    <x v="0"/>
    <n v="31"/>
    <n v="6545.6"/>
    <s v="Male"/>
    <n v="2"/>
    <n v="1573.92"/>
    <n v="4971.68"/>
    <x v="3"/>
    <s v="Q2"/>
    <n v="2022"/>
    <s v="COD"/>
  </r>
  <r>
    <x v="270"/>
    <x v="2"/>
    <x v="0"/>
    <x v="8"/>
    <n v="48"/>
    <n v="21547.26"/>
    <s v="Female"/>
    <n v="5"/>
    <n v="9876.16"/>
    <n v="11671.1"/>
    <x v="11"/>
    <s v="Q4"/>
    <n v="2022"/>
    <s v="Debit Card"/>
  </r>
  <r>
    <x v="213"/>
    <x v="3"/>
    <x v="1"/>
    <x v="1"/>
    <n v="3"/>
    <n v="179.93"/>
    <s v="Female"/>
    <n v="1"/>
    <n v="38.520000000000003"/>
    <n v="141.41"/>
    <x v="8"/>
    <s v="Q4"/>
    <n v="2022"/>
    <s v="Debit Card"/>
  </r>
  <r>
    <x v="45"/>
    <x v="0"/>
    <x v="0"/>
    <x v="13"/>
    <n v="17"/>
    <n v="2968.27"/>
    <s v="Female"/>
    <n v="1"/>
    <n v="1310.78"/>
    <n v="1657.49"/>
    <x v="10"/>
    <s v="Q3"/>
    <n v="2023"/>
    <s v="UPI"/>
  </r>
  <r>
    <x v="271"/>
    <x v="2"/>
    <x v="4"/>
    <x v="17"/>
    <n v="17"/>
    <n v="5371.71"/>
    <s v="Male"/>
    <n v="3"/>
    <n v="3484.51"/>
    <n v="1887.2"/>
    <x v="11"/>
    <s v="Q4"/>
    <n v="2023"/>
    <s v="COD"/>
  </r>
  <r>
    <x v="272"/>
    <x v="3"/>
    <x v="1"/>
    <x v="3"/>
    <n v="47"/>
    <n v="17697.169999999998"/>
    <s v="Female"/>
    <n v="5"/>
    <n v="628.79999999999995"/>
    <n v="17068.37"/>
    <x v="10"/>
    <s v="Q3"/>
    <n v="2023"/>
    <s v="COD"/>
  </r>
  <r>
    <x v="202"/>
    <x v="3"/>
    <x v="1"/>
    <x v="1"/>
    <n v="36"/>
    <n v="12910.8"/>
    <s v="Male"/>
    <n v="3"/>
    <n v="5841.7"/>
    <n v="7069.1"/>
    <x v="8"/>
    <s v="Q4"/>
    <n v="2022"/>
    <s v="UPI"/>
  </r>
  <r>
    <x v="273"/>
    <x v="2"/>
    <x v="2"/>
    <x v="16"/>
    <n v="10"/>
    <n v="696.24"/>
    <s v="Male"/>
    <n v="5"/>
    <n v="1355.39"/>
    <n v="-659.15"/>
    <x v="8"/>
    <s v="Q4"/>
    <n v="2022"/>
    <s v="COD"/>
  </r>
  <r>
    <x v="274"/>
    <x v="2"/>
    <x v="2"/>
    <x v="7"/>
    <n v="2"/>
    <n v="412.42"/>
    <s v="Male"/>
    <n v="3"/>
    <n v="268.42"/>
    <n v="144"/>
    <x v="7"/>
    <s v="Q3"/>
    <n v="2023"/>
    <s v="COD"/>
  </r>
  <r>
    <x v="275"/>
    <x v="3"/>
    <x v="4"/>
    <x v="17"/>
    <n v="12"/>
    <n v="5793.04"/>
    <s v="Male"/>
    <n v="2"/>
    <n v="1949.83"/>
    <n v="3843.21"/>
    <x v="9"/>
    <s v="Q3"/>
    <n v="2022"/>
    <s v="COD"/>
  </r>
  <r>
    <x v="276"/>
    <x v="1"/>
    <x v="4"/>
    <x v="6"/>
    <n v="45"/>
    <n v="8357.02"/>
    <s v="Female"/>
    <n v="5"/>
    <n v="10068.52"/>
    <n v="-1711.5"/>
    <x v="0"/>
    <s v="Q2"/>
    <n v="2023"/>
    <s v="UPI"/>
  </r>
  <r>
    <x v="277"/>
    <x v="1"/>
    <x v="1"/>
    <x v="1"/>
    <n v="15"/>
    <n v="382.38"/>
    <s v="Male"/>
    <n v="1"/>
    <n v="3427.84"/>
    <n v="-3045.46"/>
    <x v="1"/>
    <s v="Q1"/>
    <n v="2023"/>
    <s v="UPI"/>
  </r>
  <r>
    <x v="278"/>
    <x v="1"/>
    <x v="0"/>
    <x v="8"/>
    <n v="14"/>
    <n v="2251.04"/>
    <s v="Female"/>
    <n v="2"/>
    <n v="2570.9"/>
    <n v="-319.86"/>
    <x v="2"/>
    <s v="Q1"/>
    <n v="2023"/>
    <s v="UPI"/>
  </r>
  <r>
    <x v="45"/>
    <x v="0"/>
    <x v="0"/>
    <x v="13"/>
    <n v="31"/>
    <n v="7265.78"/>
    <s v="Male"/>
    <n v="2"/>
    <n v="4587.03"/>
    <n v="2678.75"/>
    <x v="10"/>
    <s v="Q3"/>
    <n v="2023"/>
    <s v="COD"/>
  </r>
  <r>
    <x v="251"/>
    <x v="4"/>
    <x v="2"/>
    <x v="7"/>
    <n v="42"/>
    <n v="9768.7199999999993"/>
    <s v="Male"/>
    <n v="3"/>
    <n v="7235.91"/>
    <n v="2532.81"/>
    <x v="5"/>
    <s v="Q1"/>
    <n v="2023"/>
    <s v="UPI"/>
  </r>
  <r>
    <x v="153"/>
    <x v="2"/>
    <x v="2"/>
    <x v="2"/>
    <n v="38"/>
    <n v="18773.87"/>
    <s v="Male"/>
    <n v="2"/>
    <n v="5212.4399999999996"/>
    <n v="13561.43"/>
    <x v="0"/>
    <s v="Q2"/>
    <n v="2023"/>
    <s v="UPI"/>
  </r>
  <r>
    <x v="279"/>
    <x v="1"/>
    <x v="2"/>
    <x v="2"/>
    <n v="35"/>
    <n v="11689.44"/>
    <s v="Female"/>
    <n v="1"/>
    <n v="7320.71"/>
    <n v="4368.7299999999996"/>
    <x v="6"/>
    <s v="Q4"/>
    <n v="2023"/>
    <s v="UPI"/>
  </r>
  <r>
    <x v="280"/>
    <x v="4"/>
    <x v="0"/>
    <x v="0"/>
    <n v="49"/>
    <n v="17583.650000000001"/>
    <s v="Male"/>
    <n v="4"/>
    <n v="4971.3500000000004"/>
    <n v="12612.3"/>
    <x v="11"/>
    <s v="Q4"/>
    <n v="2023"/>
    <s v="COD"/>
  </r>
  <r>
    <x v="130"/>
    <x v="3"/>
    <x v="2"/>
    <x v="16"/>
    <n v="20"/>
    <n v="4844.7299999999996"/>
    <s v="Male"/>
    <n v="1"/>
    <n v="4241.8599999999997"/>
    <n v="602.87"/>
    <x v="10"/>
    <s v="Q3"/>
    <n v="2023"/>
    <s v="UPI"/>
  </r>
  <r>
    <x v="238"/>
    <x v="0"/>
    <x v="1"/>
    <x v="1"/>
    <n v="23"/>
    <n v="5878.76"/>
    <s v="Female"/>
    <n v="2"/>
    <n v="2789.62"/>
    <n v="3089.14"/>
    <x v="6"/>
    <s v="Q4"/>
    <n v="2022"/>
    <s v="UPI"/>
  </r>
  <r>
    <x v="281"/>
    <x v="2"/>
    <x v="1"/>
    <x v="19"/>
    <n v="22"/>
    <n v="1805.91"/>
    <s v="Male"/>
    <n v="5"/>
    <n v="595.19000000000005"/>
    <n v="1210.72"/>
    <x v="5"/>
    <s v="Q1"/>
    <n v="2023"/>
    <s v="COD"/>
  </r>
  <r>
    <x v="282"/>
    <x v="4"/>
    <x v="4"/>
    <x v="6"/>
    <n v="34"/>
    <n v="15855.99"/>
    <s v="Female"/>
    <n v="3"/>
    <n v="7683.1"/>
    <n v="8172.89"/>
    <x v="5"/>
    <s v="Q1"/>
    <n v="2023"/>
    <s v="COD"/>
  </r>
  <r>
    <x v="283"/>
    <x v="4"/>
    <x v="2"/>
    <x v="2"/>
    <n v="40"/>
    <n v="13967.14"/>
    <s v="Female"/>
    <n v="5"/>
    <n v="1180.31"/>
    <n v="12786.83"/>
    <x v="5"/>
    <s v="Q1"/>
    <n v="2022"/>
    <s v="UPI"/>
  </r>
  <r>
    <x v="284"/>
    <x v="0"/>
    <x v="4"/>
    <x v="18"/>
    <n v="7"/>
    <n v="570.85"/>
    <s v="Male"/>
    <n v="5"/>
    <n v="203.4"/>
    <n v="367.45"/>
    <x v="10"/>
    <s v="Q3"/>
    <n v="2023"/>
    <s v="UPI"/>
  </r>
  <r>
    <x v="42"/>
    <x v="1"/>
    <x v="3"/>
    <x v="15"/>
    <n v="18"/>
    <n v="2486.08"/>
    <s v="Male"/>
    <n v="5"/>
    <n v="3471"/>
    <n v="-984.92"/>
    <x v="0"/>
    <s v="Q2"/>
    <n v="2022"/>
    <s v="UPI"/>
  </r>
  <r>
    <x v="256"/>
    <x v="3"/>
    <x v="1"/>
    <x v="19"/>
    <n v="9"/>
    <n v="531.45000000000005"/>
    <s v="Female"/>
    <n v="4"/>
    <n v="910.43"/>
    <n v="-378.98"/>
    <x v="3"/>
    <s v="Q2"/>
    <n v="2023"/>
    <s v="UPI"/>
  </r>
  <r>
    <x v="285"/>
    <x v="2"/>
    <x v="2"/>
    <x v="16"/>
    <n v="18"/>
    <n v="8413.65"/>
    <s v="Male"/>
    <n v="3"/>
    <n v="328.84"/>
    <n v="8084.81"/>
    <x v="0"/>
    <s v="Q2"/>
    <n v="2023"/>
    <s v="COD"/>
  </r>
  <r>
    <x v="286"/>
    <x v="0"/>
    <x v="1"/>
    <x v="3"/>
    <n v="39"/>
    <n v="2857.47"/>
    <s v="Male"/>
    <n v="5"/>
    <n v="7190.77"/>
    <n v="-4333.3"/>
    <x v="1"/>
    <s v="Q1"/>
    <n v="2022"/>
    <s v="Credit Card"/>
  </r>
  <r>
    <x v="28"/>
    <x v="3"/>
    <x v="4"/>
    <x v="10"/>
    <n v="43"/>
    <n v="17232.45"/>
    <s v="Male"/>
    <n v="1"/>
    <n v="1721.78"/>
    <n v="15510.67"/>
    <x v="10"/>
    <s v="Q3"/>
    <n v="2022"/>
    <s v="COD"/>
  </r>
  <r>
    <x v="287"/>
    <x v="2"/>
    <x v="1"/>
    <x v="9"/>
    <n v="44"/>
    <n v="20514.66"/>
    <s v="Male"/>
    <n v="5"/>
    <n v="2210.1999999999998"/>
    <n v="18304.46"/>
    <x v="8"/>
    <s v="Q4"/>
    <n v="2023"/>
    <s v="Credit Card"/>
  </r>
  <r>
    <x v="288"/>
    <x v="0"/>
    <x v="1"/>
    <x v="1"/>
    <n v="30"/>
    <n v="14840.77"/>
    <s v="Male"/>
    <n v="2"/>
    <n v="2835.75"/>
    <n v="12005.02"/>
    <x v="11"/>
    <s v="Q4"/>
    <n v="2022"/>
    <s v="COD"/>
  </r>
  <r>
    <x v="289"/>
    <x v="2"/>
    <x v="0"/>
    <x v="14"/>
    <n v="22"/>
    <n v="5192.7299999999996"/>
    <s v="Male"/>
    <n v="1"/>
    <n v="2004.47"/>
    <n v="3188.26"/>
    <x v="9"/>
    <s v="Q3"/>
    <n v="2023"/>
    <s v="UPI"/>
  </r>
  <r>
    <x v="285"/>
    <x v="2"/>
    <x v="0"/>
    <x v="14"/>
    <n v="41"/>
    <n v="19582.03"/>
    <s v="Male"/>
    <n v="5"/>
    <n v="2286.62"/>
    <n v="17295.41"/>
    <x v="0"/>
    <s v="Q2"/>
    <n v="2023"/>
    <s v="COD"/>
  </r>
  <r>
    <x v="290"/>
    <x v="2"/>
    <x v="3"/>
    <x v="12"/>
    <n v="30"/>
    <n v="8658.7900000000009"/>
    <s v="Female"/>
    <n v="1"/>
    <n v="2535.1999999999998"/>
    <n v="6123.59"/>
    <x v="5"/>
    <s v="Q1"/>
    <n v="2023"/>
    <s v="COD"/>
  </r>
  <r>
    <x v="291"/>
    <x v="3"/>
    <x v="0"/>
    <x v="8"/>
    <n v="1"/>
    <n v="210.42"/>
    <s v="Male"/>
    <n v="5"/>
    <n v="134.4"/>
    <n v="76.02"/>
    <x v="8"/>
    <s v="Q4"/>
    <n v="2022"/>
    <s v="COD"/>
  </r>
  <r>
    <x v="292"/>
    <x v="4"/>
    <x v="1"/>
    <x v="19"/>
    <n v="22"/>
    <n v="1957.1"/>
    <s v="Male"/>
    <n v="2"/>
    <n v="3798.32"/>
    <n v="-1841.22"/>
    <x v="11"/>
    <s v="Q4"/>
    <n v="2022"/>
    <s v="COD"/>
  </r>
  <r>
    <x v="52"/>
    <x v="0"/>
    <x v="4"/>
    <x v="6"/>
    <n v="20"/>
    <n v="8455.3700000000008"/>
    <s v="Female"/>
    <n v="4"/>
    <n v="3737.5"/>
    <n v="4717.87"/>
    <x v="6"/>
    <s v="Q4"/>
    <n v="2023"/>
    <s v="COD"/>
  </r>
  <r>
    <x v="30"/>
    <x v="3"/>
    <x v="3"/>
    <x v="12"/>
    <n v="40"/>
    <n v="2986.74"/>
    <s v="Male"/>
    <n v="1"/>
    <n v="9374.59"/>
    <n v="-6387.85"/>
    <x v="4"/>
    <s v="Q2"/>
    <n v="2023"/>
    <s v="COD"/>
  </r>
  <r>
    <x v="293"/>
    <x v="1"/>
    <x v="3"/>
    <x v="11"/>
    <n v="24"/>
    <n v="3489.36"/>
    <s v="Male"/>
    <n v="3"/>
    <n v="5414.25"/>
    <n v="-1924.89"/>
    <x v="2"/>
    <s v="Q1"/>
    <n v="2022"/>
    <s v="COD"/>
  </r>
  <r>
    <x v="153"/>
    <x v="4"/>
    <x v="4"/>
    <x v="17"/>
    <n v="30"/>
    <n v="14453.64"/>
    <s v="Male"/>
    <n v="4"/>
    <n v="1258.4000000000001"/>
    <n v="13195.24"/>
    <x v="0"/>
    <s v="Q2"/>
    <n v="2023"/>
    <s v="COD"/>
  </r>
  <r>
    <x v="294"/>
    <x v="4"/>
    <x v="2"/>
    <x v="16"/>
    <n v="6"/>
    <n v="1409.28"/>
    <s v="Male"/>
    <n v="3"/>
    <n v="640.24"/>
    <n v="769.04"/>
    <x v="7"/>
    <s v="Q3"/>
    <n v="2023"/>
    <s v="COD"/>
  </r>
  <r>
    <x v="295"/>
    <x v="2"/>
    <x v="3"/>
    <x v="12"/>
    <n v="1"/>
    <n v="461.44"/>
    <s v="Male"/>
    <n v="2"/>
    <n v="24.23"/>
    <n v="437.21"/>
    <x v="10"/>
    <s v="Q3"/>
    <n v="2023"/>
    <s v="Credit Card"/>
  </r>
  <r>
    <x v="61"/>
    <x v="1"/>
    <x v="1"/>
    <x v="9"/>
    <n v="50"/>
    <n v="11598.03"/>
    <s v="Male"/>
    <n v="4"/>
    <n v="5284.22"/>
    <n v="6313.81"/>
    <x v="0"/>
    <s v="Q2"/>
    <n v="2022"/>
    <s v="UPI"/>
  </r>
  <r>
    <x v="220"/>
    <x v="0"/>
    <x v="4"/>
    <x v="17"/>
    <n v="14"/>
    <n v="5997.51"/>
    <s v="Male"/>
    <n v="3"/>
    <n v="280.92"/>
    <n v="5716.59"/>
    <x v="7"/>
    <s v="Q3"/>
    <n v="2023"/>
    <s v="COD"/>
  </r>
  <r>
    <x v="296"/>
    <x v="2"/>
    <x v="2"/>
    <x v="7"/>
    <n v="35"/>
    <n v="4680.2700000000004"/>
    <s v="Female"/>
    <n v="5"/>
    <n v="1412.05"/>
    <n v="3268.22"/>
    <x v="5"/>
    <s v="Q1"/>
    <n v="2023"/>
    <s v="COD"/>
  </r>
  <r>
    <x v="297"/>
    <x v="2"/>
    <x v="4"/>
    <x v="6"/>
    <n v="47"/>
    <n v="23032.400000000001"/>
    <s v="Male"/>
    <n v="5"/>
    <n v="8096.19"/>
    <n v="14936.21"/>
    <x v="2"/>
    <s v="Q1"/>
    <n v="2022"/>
    <s v="EMI"/>
  </r>
  <r>
    <x v="298"/>
    <x v="3"/>
    <x v="1"/>
    <x v="19"/>
    <n v="47"/>
    <n v="14222.06"/>
    <s v="Female"/>
    <n v="5"/>
    <n v="11722.86"/>
    <n v="2499.1999999999998"/>
    <x v="8"/>
    <s v="Q4"/>
    <n v="2023"/>
    <s v="COD"/>
  </r>
  <r>
    <x v="239"/>
    <x v="1"/>
    <x v="2"/>
    <x v="5"/>
    <n v="41"/>
    <n v="4641.2299999999996"/>
    <s v="Male"/>
    <n v="3"/>
    <n v="7618.64"/>
    <n v="-2977.41"/>
    <x v="6"/>
    <s v="Q4"/>
    <n v="2023"/>
    <s v="COD"/>
  </r>
  <r>
    <x v="299"/>
    <x v="1"/>
    <x v="2"/>
    <x v="7"/>
    <n v="31"/>
    <n v="11007.55"/>
    <s v="Female"/>
    <n v="3"/>
    <n v="7314.55"/>
    <n v="3693"/>
    <x v="2"/>
    <s v="Q1"/>
    <n v="2022"/>
    <s v="UPI"/>
  </r>
  <r>
    <x v="175"/>
    <x v="0"/>
    <x v="1"/>
    <x v="3"/>
    <n v="30"/>
    <n v="2286.1999999999998"/>
    <s v="Female"/>
    <n v="1"/>
    <n v="4204.26"/>
    <n v="-1918.06"/>
    <x v="2"/>
    <s v="Q1"/>
    <n v="2023"/>
    <s v="COD"/>
  </r>
  <r>
    <x v="213"/>
    <x v="1"/>
    <x v="0"/>
    <x v="13"/>
    <n v="45"/>
    <n v="18746.27"/>
    <s v="Male"/>
    <n v="1"/>
    <n v="740.44"/>
    <n v="18005.830000000002"/>
    <x v="8"/>
    <s v="Q4"/>
    <n v="2022"/>
    <s v="COD"/>
  </r>
  <r>
    <x v="300"/>
    <x v="1"/>
    <x v="1"/>
    <x v="9"/>
    <n v="20"/>
    <n v="7153.84"/>
    <s v="Male"/>
    <n v="1"/>
    <n v="4658.2299999999996"/>
    <n v="2495.61"/>
    <x v="0"/>
    <s v="Q2"/>
    <n v="2023"/>
    <s v="UPI"/>
  </r>
  <r>
    <x v="116"/>
    <x v="3"/>
    <x v="2"/>
    <x v="16"/>
    <n v="43"/>
    <n v="10889.27"/>
    <s v="Female"/>
    <n v="1"/>
    <n v="9288.2199999999993"/>
    <n v="1601.05"/>
    <x v="9"/>
    <s v="Q3"/>
    <n v="2022"/>
    <s v="COD"/>
  </r>
  <r>
    <x v="92"/>
    <x v="4"/>
    <x v="1"/>
    <x v="9"/>
    <n v="5"/>
    <n v="72.78"/>
    <s v="Male"/>
    <n v="4"/>
    <n v="1145.26"/>
    <n v="-1072.48"/>
    <x v="7"/>
    <s v="Q3"/>
    <n v="2022"/>
    <s v="COD"/>
  </r>
  <r>
    <x v="301"/>
    <x v="2"/>
    <x v="2"/>
    <x v="5"/>
    <n v="38"/>
    <n v="5971.38"/>
    <s v="Female"/>
    <n v="5"/>
    <n v="4265.24"/>
    <n v="1706.14"/>
    <x v="5"/>
    <s v="Q1"/>
    <n v="2023"/>
    <s v="UPI"/>
  </r>
  <r>
    <x v="291"/>
    <x v="2"/>
    <x v="4"/>
    <x v="10"/>
    <n v="27"/>
    <n v="13312.4"/>
    <s v="Female"/>
    <n v="3"/>
    <n v="4266.6000000000004"/>
    <n v="9045.7999999999993"/>
    <x v="8"/>
    <s v="Q4"/>
    <n v="2022"/>
    <s v="COD"/>
  </r>
  <r>
    <x v="302"/>
    <x v="4"/>
    <x v="3"/>
    <x v="15"/>
    <n v="46"/>
    <n v="4697.76"/>
    <s v="Female"/>
    <n v="1"/>
    <n v="4921.1899999999996"/>
    <n v="-223.43"/>
    <x v="2"/>
    <s v="Q1"/>
    <n v="2022"/>
    <s v="UPI"/>
  </r>
  <r>
    <x v="226"/>
    <x v="2"/>
    <x v="1"/>
    <x v="9"/>
    <n v="25"/>
    <n v="10726.19"/>
    <s v="Male"/>
    <n v="5"/>
    <n v="2439.87"/>
    <n v="8286.32"/>
    <x v="9"/>
    <s v="Q3"/>
    <n v="2022"/>
    <s v="UPI"/>
  </r>
  <r>
    <x v="303"/>
    <x v="3"/>
    <x v="2"/>
    <x v="2"/>
    <n v="16"/>
    <n v="1476.66"/>
    <s v="Male"/>
    <n v="5"/>
    <n v="2761.04"/>
    <n v="-1284.3800000000001"/>
    <x v="3"/>
    <s v="Q2"/>
    <n v="2022"/>
    <s v="COD"/>
  </r>
  <r>
    <x v="304"/>
    <x v="1"/>
    <x v="1"/>
    <x v="9"/>
    <n v="16"/>
    <n v="1537.34"/>
    <s v="Female"/>
    <n v="2"/>
    <n v="2463.7399999999998"/>
    <n v="-926.4"/>
    <x v="6"/>
    <s v="Q4"/>
    <n v="2022"/>
    <s v="COD"/>
  </r>
  <r>
    <x v="305"/>
    <x v="4"/>
    <x v="3"/>
    <x v="4"/>
    <n v="12"/>
    <n v="3917.78"/>
    <s v="Female"/>
    <n v="2"/>
    <n v="783.84"/>
    <n v="3133.94"/>
    <x v="11"/>
    <s v="Q4"/>
    <n v="2022"/>
    <s v="COD"/>
  </r>
  <r>
    <x v="306"/>
    <x v="1"/>
    <x v="3"/>
    <x v="4"/>
    <n v="39"/>
    <n v="16696.03"/>
    <s v="Male"/>
    <n v="1"/>
    <n v="1943.71"/>
    <n v="14752.32"/>
    <x v="1"/>
    <s v="Q1"/>
    <n v="2022"/>
    <s v="COD"/>
  </r>
  <r>
    <x v="307"/>
    <x v="4"/>
    <x v="1"/>
    <x v="19"/>
    <n v="37"/>
    <n v="13636.54"/>
    <s v="Male"/>
    <n v="1"/>
    <n v="5475.09"/>
    <n v="8161.45"/>
    <x v="8"/>
    <s v="Q4"/>
    <n v="2023"/>
    <s v="UPI"/>
  </r>
  <r>
    <x v="229"/>
    <x v="3"/>
    <x v="3"/>
    <x v="15"/>
    <n v="5"/>
    <n v="2131.21"/>
    <s v="Female"/>
    <n v="2"/>
    <n v="88.63"/>
    <n v="2042.58"/>
    <x v="8"/>
    <s v="Q4"/>
    <n v="2023"/>
    <s v="Debit Card"/>
  </r>
  <r>
    <x v="45"/>
    <x v="4"/>
    <x v="4"/>
    <x v="10"/>
    <n v="20"/>
    <n v="9791.25"/>
    <s v="Male"/>
    <n v="5"/>
    <n v="2590.04"/>
    <n v="7201.21"/>
    <x v="10"/>
    <s v="Q3"/>
    <n v="2023"/>
    <s v="COD"/>
  </r>
  <r>
    <x v="255"/>
    <x v="2"/>
    <x v="1"/>
    <x v="9"/>
    <n v="11"/>
    <n v="5473.25"/>
    <s v="Female"/>
    <n v="2"/>
    <n v="977.54"/>
    <n v="4495.71"/>
    <x v="5"/>
    <s v="Q1"/>
    <n v="2022"/>
    <s v="EMI"/>
  </r>
  <r>
    <x v="56"/>
    <x v="2"/>
    <x v="1"/>
    <x v="1"/>
    <n v="27"/>
    <n v="11219.24"/>
    <s v="Male"/>
    <n v="2"/>
    <n v="2022.51"/>
    <n v="9196.73"/>
    <x v="7"/>
    <s v="Q3"/>
    <n v="2022"/>
    <s v="UPI"/>
  </r>
  <r>
    <x v="39"/>
    <x v="3"/>
    <x v="2"/>
    <x v="2"/>
    <n v="20"/>
    <n v="4100.8100000000004"/>
    <s v="Female"/>
    <n v="2"/>
    <n v="2805.21"/>
    <n v="1295.5999999999999"/>
    <x v="7"/>
    <s v="Q3"/>
    <n v="2022"/>
    <s v="UPI"/>
  </r>
  <r>
    <x v="308"/>
    <x v="0"/>
    <x v="1"/>
    <x v="9"/>
    <n v="12"/>
    <n v="5913.59"/>
    <s v="Female"/>
    <n v="2"/>
    <n v="321.54000000000002"/>
    <n v="5592.05"/>
    <x v="5"/>
    <s v="Q1"/>
    <n v="2022"/>
    <s v="COD"/>
  </r>
  <r>
    <x v="309"/>
    <x v="3"/>
    <x v="4"/>
    <x v="10"/>
    <n v="33"/>
    <n v="8568.1"/>
    <s v="Male"/>
    <n v="4"/>
    <n v="4654.46"/>
    <n v="3913.64"/>
    <x v="5"/>
    <s v="Q1"/>
    <n v="2022"/>
    <s v="COD"/>
  </r>
  <r>
    <x v="107"/>
    <x v="0"/>
    <x v="2"/>
    <x v="5"/>
    <n v="28"/>
    <n v="3941.99"/>
    <s v="Male"/>
    <n v="5"/>
    <n v="6696.26"/>
    <n v="-2754.27"/>
    <x v="11"/>
    <s v="Q4"/>
    <n v="2022"/>
    <s v="UPI"/>
  </r>
  <r>
    <x v="155"/>
    <x v="4"/>
    <x v="2"/>
    <x v="7"/>
    <n v="11"/>
    <n v="4351.8599999999997"/>
    <s v="Female"/>
    <n v="1"/>
    <n v="2253.02"/>
    <n v="2098.84"/>
    <x v="6"/>
    <s v="Q4"/>
    <n v="2022"/>
    <s v="EMI"/>
  </r>
  <r>
    <x v="310"/>
    <x v="0"/>
    <x v="4"/>
    <x v="10"/>
    <n v="20"/>
    <n v="3622.76"/>
    <s v="Male"/>
    <n v="3"/>
    <n v="719.37"/>
    <n v="2903.39"/>
    <x v="4"/>
    <s v="Q2"/>
    <n v="2022"/>
    <s v="COD"/>
  </r>
  <r>
    <x v="311"/>
    <x v="0"/>
    <x v="4"/>
    <x v="17"/>
    <n v="22"/>
    <n v="10966.05"/>
    <s v="Female"/>
    <n v="2"/>
    <n v="3434.59"/>
    <n v="7531.46"/>
    <x v="10"/>
    <s v="Q3"/>
    <n v="2023"/>
    <s v="COD"/>
  </r>
  <r>
    <x v="312"/>
    <x v="0"/>
    <x v="0"/>
    <x v="14"/>
    <n v="31"/>
    <n v="2402.61"/>
    <s v="Female"/>
    <n v="2"/>
    <n v="2110.4499999999998"/>
    <n v="292.16000000000003"/>
    <x v="1"/>
    <s v="Q1"/>
    <n v="2023"/>
    <s v="UPI"/>
  </r>
  <r>
    <x v="95"/>
    <x v="2"/>
    <x v="0"/>
    <x v="8"/>
    <n v="25"/>
    <n v="3876.68"/>
    <s v="Male"/>
    <n v="2"/>
    <n v="2204.5"/>
    <n v="1672.18"/>
    <x v="4"/>
    <s v="Q2"/>
    <n v="2022"/>
    <s v="COD"/>
  </r>
  <r>
    <x v="313"/>
    <x v="2"/>
    <x v="1"/>
    <x v="1"/>
    <n v="4"/>
    <n v="1845.82"/>
    <s v="Male"/>
    <n v="5"/>
    <n v="90.28"/>
    <n v="1755.54"/>
    <x v="6"/>
    <s v="Q4"/>
    <n v="2022"/>
    <s v="UPI"/>
  </r>
  <r>
    <x v="314"/>
    <x v="0"/>
    <x v="1"/>
    <x v="1"/>
    <n v="1"/>
    <n v="450.25"/>
    <s v="Female"/>
    <n v="3"/>
    <n v="151.77000000000001"/>
    <n v="298.48"/>
    <x v="10"/>
    <s v="Q3"/>
    <n v="2022"/>
    <s v="UPI"/>
  </r>
  <r>
    <x v="315"/>
    <x v="2"/>
    <x v="1"/>
    <x v="3"/>
    <n v="48"/>
    <n v="7274.42"/>
    <s v="Female"/>
    <n v="1"/>
    <n v="4475.6000000000004"/>
    <n v="2798.82"/>
    <x v="11"/>
    <s v="Q4"/>
    <n v="2023"/>
    <s v="COD"/>
  </r>
  <r>
    <x v="316"/>
    <x v="3"/>
    <x v="4"/>
    <x v="10"/>
    <n v="22"/>
    <n v="6709.83"/>
    <s v="Female"/>
    <n v="3"/>
    <n v="3373.01"/>
    <n v="3336.82"/>
    <x v="1"/>
    <s v="Q1"/>
    <n v="2022"/>
    <s v="EMI"/>
  </r>
  <r>
    <x v="317"/>
    <x v="3"/>
    <x v="0"/>
    <x v="0"/>
    <n v="30"/>
    <n v="370.26"/>
    <s v="Female"/>
    <n v="1"/>
    <n v="870.08"/>
    <n v="-499.82"/>
    <x v="4"/>
    <s v="Q2"/>
    <n v="2022"/>
    <s v="COD"/>
  </r>
  <r>
    <x v="318"/>
    <x v="3"/>
    <x v="1"/>
    <x v="9"/>
    <n v="37"/>
    <n v="2916.65"/>
    <s v="Male"/>
    <n v="2"/>
    <n v="6850.91"/>
    <n v="-3934.26"/>
    <x v="10"/>
    <s v="Q3"/>
    <n v="2022"/>
    <s v="COD"/>
  </r>
  <r>
    <x v="319"/>
    <x v="3"/>
    <x v="1"/>
    <x v="1"/>
    <n v="44"/>
    <n v="8885.34"/>
    <s v="Female"/>
    <n v="5"/>
    <n v="2892.8"/>
    <n v="5992.54"/>
    <x v="8"/>
    <s v="Q4"/>
    <n v="2022"/>
    <s v="EMI"/>
  </r>
  <r>
    <x v="320"/>
    <x v="3"/>
    <x v="1"/>
    <x v="9"/>
    <n v="17"/>
    <n v="6268.52"/>
    <s v="Male"/>
    <n v="4"/>
    <n v="3881.89"/>
    <n v="2386.63"/>
    <x v="0"/>
    <s v="Q2"/>
    <n v="2022"/>
    <s v="EMI"/>
  </r>
  <r>
    <x v="215"/>
    <x v="2"/>
    <x v="1"/>
    <x v="9"/>
    <n v="10"/>
    <n v="3188.74"/>
    <s v="Female"/>
    <n v="2"/>
    <n v="865.98"/>
    <n v="2322.7600000000002"/>
    <x v="4"/>
    <s v="Q2"/>
    <n v="2023"/>
    <s v="COD"/>
  </r>
  <r>
    <x v="221"/>
    <x v="3"/>
    <x v="4"/>
    <x v="6"/>
    <n v="30"/>
    <n v="506.52"/>
    <s v="Male"/>
    <n v="1"/>
    <n v="1447.45"/>
    <n v="-940.93"/>
    <x v="3"/>
    <s v="Q2"/>
    <n v="2023"/>
    <s v="UPI"/>
  </r>
  <r>
    <x v="233"/>
    <x v="0"/>
    <x v="0"/>
    <x v="8"/>
    <n v="37"/>
    <n v="17522.77"/>
    <s v="Female"/>
    <n v="5"/>
    <n v="3667.34"/>
    <n v="13855.43"/>
    <x v="3"/>
    <s v="Q2"/>
    <n v="2023"/>
    <s v="COD"/>
  </r>
  <r>
    <x v="136"/>
    <x v="0"/>
    <x v="4"/>
    <x v="18"/>
    <n v="20"/>
    <n v="7145.59"/>
    <s v="Female"/>
    <n v="5"/>
    <n v="2202.11"/>
    <n v="4943.4799999999996"/>
    <x v="10"/>
    <s v="Q3"/>
    <n v="2023"/>
    <s v="UPI"/>
  </r>
  <r>
    <x v="297"/>
    <x v="2"/>
    <x v="2"/>
    <x v="2"/>
    <n v="1"/>
    <n v="79.05"/>
    <s v="Female"/>
    <n v="3"/>
    <n v="136.38999999999999"/>
    <n v="-57.34"/>
    <x v="2"/>
    <s v="Q1"/>
    <n v="2022"/>
    <s v="EMI"/>
  </r>
  <r>
    <x v="61"/>
    <x v="4"/>
    <x v="2"/>
    <x v="7"/>
    <n v="5"/>
    <n v="759.23"/>
    <s v="Female"/>
    <n v="4"/>
    <n v="217.1"/>
    <n v="542.13"/>
    <x v="0"/>
    <s v="Q2"/>
    <n v="2022"/>
    <s v="EMI"/>
  </r>
  <r>
    <x v="321"/>
    <x v="4"/>
    <x v="2"/>
    <x v="2"/>
    <n v="36"/>
    <n v="11180.46"/>
    <s v="Male"/>
    <n v="2"/>
    <n v="5220.08"/>
    <n v="5960.38"/>
    <x v="10"/>
    <s v="Q3"/>
    <n v="2023"/>
    <s v="EMI"/>
  </r>
  <r>
    <x v="322"/>
    <x v="2"/>
    <x v="0"/>
    <x v="13"/>
    <n v="44"/>
    <n v="20388.86"/>
    <s v="Female"/>
    <n v="4"/>
    <n v="9790.35"/>
    <n v="10598.51"/>
    <x v="11"/>
    <s v="Q4"/>
    <n v="2022"/>
    <s v="EMI"/>
  </r>
  <r>
    <x v="230"/>
    <x v="4"/>
    <x v="1"/>
    <x v="1"/>
    <n v="21"/>
    <n v="2817.91"/>
    <s v="Female"/>
    <n v="2"/>
    <n v="1342.6"/>
    <n v="1475.31"/>
    <x v="10"/>
    <s v="Q3"/>
    <n v="2022"/>
    <s v="COD"/>
  </r>
  <r>
    <x v="150"/>
    <x v="3"/>
    <x v="0"/>
    <x v="14"/>
    <n v="48"/>
    <n v="13907.65"/>
    <s v="Female"/>
    <n v="4"/>
    <n v="11438.25"/>
    <n v="2469.4"/>
    <x v="7"/>
    <s v="Q3"/>
    <n v="2023"/>
    <s v="COD"/>
  </r>
  <r>
    <x v="299"/>
    <x v="3"/>
    <x v="1"/>
    <x v="9"/>
    <n v="44"/>
    <n v="10043.77"/>
    <s v="Male"/>
    <n v="4"/>
    <n v="1187.22"/>
    <n v="8856.5499999999993"/>
    <x v="2"/>
    <s v="Q1"/>
    <n v="2022"/>
    <s v="Debit Card"/>
  </r>
  <r>
    <x v="254"/>
    <x v="0"/>
    <x v="4"/>
    <x v="18"/>
    <n v="45"/>
    <n v="6946.85"/>
    <s v="Female"/>
    <n v="5"/>
    <n v="4001.77"/>
    <n v="2945.08"/>
    <x v="1"/>
    <s v="Q1"/>
    <n v="2022"/>
    <s v="UPI"/>
  </r>
  <r>
    <x v="323"/>
    <x v="1"/>
    <x v="3"/>
    <x v="12"/>
    <n v="11"/>
    <n v="3523.86"/>
    <s v="Male"/>
    <n v="4"/>
    <n v="2117.54"/>
    <n v="1406.32"/>
    <x v="7"/>
    <s v="Q3"/>
    <n v="2023"/>
    <s v="Debit Card"/>
  </r>
  <r>
    <x v="324"/>
    <x v="0"/>
    <x v="3"/>
    <x v="15"/>
    <n v="10"/>
    <n v="4500.2"/>
    <s v="Male"/>
    <n v="2"/>
    <n v="1821.12"/>
    <n v="2679.08"/>
    <x v="4"/>
    <s v="Q2"/>
    <n v="2023"/>
    <s v="COD"/>
  </r>
  <r>
    <x v="9"/>
    <x v="1"/>
    <x v="1"/>
    <x v="3"/>
    <n v="12"/>
    <n v="4956.16"/>
    <s v="Female"/>
    <n v="1"/>
    <n v="2674.3"/>
    <n v="2281.86"/>
    <x v="6"/>
    <s v="Q4"/>
    <n v="2023"/>
    <s v="EMI"/>
  </r>
  <r>
    <x v="325"/>
    <x v="0"/>
    <x v="4"/>
    <x v="6"/>
    <n v="39"/>
    <n v="440.53"/>
    <s v="Male"/>
    <n v="4"/>
    <n v="1201.1400000000001"/>
    <n v="-760.61"/>
    <x v="0"/>
    <s v="Q2"/>
    <n v="2023"/>
    <s v="EMI"/>
  </r>
  <r>
    <x v="100"/>
    <x v="0"/>
    <x v="2"/>
    <x v="16"/>
    <n v="50"/>
    <n v="12151.36"/>
    <s v="Female"/>
    <n v="4"/>
    <n v="498.37"/>
    <n v="11652.99"/>
    <x v="7"/>
    <s v="Q3"/>
    <n v="2022"/>
    <s v="Debit Card"/>
  </r>
  <r>
    <x v="213"/>
    <x v="0"/>
    <x v="4"/>
    <x v="18"/>
    <n v="32"/>
    <n v="12404.55"/>
    <s v="Female"/>
    <n v="1"/>
    <n v="5754.85"/>
    <n v="6649.7"/>
    <x v="8"/>
    <s v="Q4"/>
    <n v="2022"/>
    <s v="COD"/>
  </r>
  <r>
    <x v="326"/>
    <x v="0"/>
    <x v="1"/>
    <x v="1"/>
    <n v="7"/>
    <n v="579.41999999999996"/>
    <s v="Female"/>
    <n v="5"/>
    <n v="848.54"/>
    <n v="-269.12"/>
    <x v="7"/>
    <s v="Q3"/>
    <n v="2023"/>
    <s v="Debit Card"/>
  </r>
  <r>
    <x v="210"/>
    <x v="1"/>
    <x v="2"/>
    <x v="2"/>
    <n v="33"/>
    <n v="13718.2"/>
    <s v="Female"/>
    <n v="1"/>
    <n v="2876.19"/>
    <n v="10842.01"/>
    <x v="1"/>
    <s v="Q1"/>
    <n v="2023"/>
    <s v="COD"/>
  </r>
  <r>
    <x v="16"/>
    <x v="3"/>
    <x v="3"/>
    <x v="15"/>
    <n v="4"/>
    <n v="1448.93"/>
    <s v="Female"/>
    <n v="1"/>
    <n v="621.11"/>
    <n v="827.82"/>
    <x v="3"/>
    <s v="Q2"/>
    <n v="2023"/>
    <s v="UPI"/>
  </r>
  <r>
    <x v="216"/>
    <x v="1"/>
    <x v="0"/>
    <x v="0"/>
    <n v="19"/>
    <n v="2782.17"/>
    <s v="Female"/>
    <n v="4"/>
    <n v="3778.79"/>
    <n v="-996.62"/>
    <x v="0"/>
    <s v="Q2"/>
    <n v="2023"/>
    <s v="COD"/>
  </r>
  <r>
    <x v="327"/>
    <x v="3"/>
    <x v="3"/>
    <x v="4"/>
    <n v="22"/>
    <n v="585.08000000000004"/>
    <s v="Male"/>
    <n v="4"/>
    <n v="2842.81"/>
    <n v="-2257.73"/>
    <x v="9"/>
    <s v="Q3"/>
    <n v="2023"/>
    <s v="UPI"/>
  </r>
  <r>
    <x v="32"/>
    <x v="0"/>
    <x v="3"/>
    <x v="12"/>
    <n v="23"/>
    <n v="1910.01"/>
    <s v="Female"/>
    <n v="4"/>
    <n v="3298.56"/>
    <n v="-1388.55"/>
    <x v="4"/>
    <s v="Q2"/>
    <n v="2023"/>
    <s v="COD"/>
  </r>
  <r>
    <x v="328"/>
    <x v="3"/>
    <x v="2"/>
    <x v="7"/>
    <n v="10"/>
    <n v="3647.6"/>
    <s v="Male"/>
    <n v="5"/>
    <n v="2455.5"/>
    <n v="1192.0999999999999"/>
    <x v="10"/>
    <s v="Q3"/>
    <n v="2022"/>
    <s v="Debit Card"/>
  </r>
  <r>
    <x v="128"/>
    <x v="4"/>
    <x v="1"/>
    <x v="9"/>
    <n v="2"/>
    <n v="941.25"/>
    <s v="Female"/>
    <n v="4"/>
    <n v="291.66000000000003"/>
    <n v="649.59"/>
    <x v="8"/>
    <s v="Q4"/>
    <n v="2023"/>
    <s v="COD"/>
  </r>
  <r>
    <x v="329"/>
    <x v="4"/>
    <x v="3"/>
    <x v="15"/>
    <n v="46"/>
    <n v="18326.61"/>
    <s v="Male"/>
    <n v="1"/>
    <n v="4438.04"/>
    <n v="13888.57"/>
    <x v="3"/>
    <s v="Q2"/>
    <n v="2022"/>
    <s v="UPI"/>
  </r>
  <r>
    <x v="330"/>
    <x v="1"/>
    <x v="2"/>
    <x v="16"/>
    <n v="1"/>
    <n v="148.19999999999999"/>
    <s v="Male"/>
    <n v="1"/>
    <n v="39.71"/>
    <n v="108.49"/>
    <x v="0"/>
    <s v="Q2"/>
    <n v="2022"/>
    <s v="EMI"/>
  </r>
  <r>
    <x v="331"/>
    <x v="4"/>
    <x v="4"/>
    <x v="6"/>
    <n v="14"/>
    <n v="1490.5"/>
    <s v="Male"/>
    <n v="4"/>
    <n v="486.5"/>
    <n v="1004"/>
    <x v="8"/>
    <s v="Q4"/>
    <n v="2022"/>
    <s v="EMI"/>
  </r>
  <r>
    <x v="332"/>
    <x v="0"/>
    <x v="3"/>
    <x v="12"/>
    <n v="49"/>
    <n v="1718.77"/>
    <s v="Male"/>
    <n v="5"/>
    <n v="9389.77"/>
    <n v="-7671"/>
    <x v="6"/>
    <s v="Q4"/>
    <n v="2023"/>
    <s v="COD"/>
  </r>
  <r>
    <x v="232"/>
    <x v="3"/>
    <x v="1"/>
    <x v="9"/>
    <n v="1"/>
    <n v="381.13"/>
    <s v="Female"/>
    <n v="4"/>
    <n v="172.82"/>
    <n v="208.31"/>
    <x v="11"/>
    <s v="Q4"/>
    <n v="2023"/>
    <s v="COD"/>
  </r>
  <r>
    <x v="333"/>
    <x v="3"/>
    <x v="2"/>
    <x v="2"/>
    <n v="38"/>
    <n v="16480.75"/>
    <s v="Male"/>
    <n v="5"/>
    <n v="1739.28"/>
    <n v="14741.47"/>
    <x v="0"/>
    <s v="Q2"/>
    <n v="2023"/>
    <s v="COD"/>
  </r>
  <r>
    <x v="334"/>
    <x v="4"/>
    <x v="4"/>
    <x v="18"/>
    <n v="9"/>
    <n v="3343.31"/>
    <s v="Male"/>
    <n v="5"/>
    <n v="1206.45"/>
    <n v="2136.86"/>
    <x v="7"/>
    <s v="Q3"/>
    <n v="2023"/>
    <s v="EMI"/>
  </r>
  <r>
    <x v="61"/>
    <x v="3"/>
    <x v="0"/>
    <x v="0"/>
    <n v="20"/>
    <n v="9535.0499999999993"/>
    <s v="Male"/>
    <n v="3"/>
    <n v="1619.31"/>
    <n v="7915.74"/>
    <x v="0"/>
    <s v="Q2"/>
    <n v="2022"/>
    <s v="COD"/>
  </r>
  <r>
    <x v="335"/>
    <x v="0"/>
    <x v="0"/>
    <x v="0"/>
    <n v="33"/>
    <n v="2498.54"/>
    <s v="Female"/>
    <n v="5"/>
    <n v="6840.5"/>
    <n v="-4341.96"/>
    <x v="11"/>
    <s v="Q4"/>
    <n v="2022"/>
    <s v="COD"/>
  </r>
  <r>
    <x v="336"/>
    <x v="0"/>
    <x v="0"/>
    <x v="14"/>
    <n v="16"/>
    <n v="2508.1799999999998"/>
    <s v="Female"/>
    <n v="5"/>
    <n v="3918.62"/>
    <n v="-1410.44"/>
    <x v="3"/>
    <s v="Q2"/>
    <n v="2023"/>
    <s v="COD"/>
  </r>
  <r>
    <x v="69"/>
    <x v="0"/>
    <x v="1"/>
    <x v="1"/>
    <n v="29"/>
    <n v="2954.67"/>
    <s v="Male"/>
    <n v="2"/>
    <n v="2435.1799999999998"/>
    <n v="519.49"/>
    <x v="3"/>
    <s v="Q2"/>
    <n v="2023"/>
    <s v="COD"/>
  </r>
  <r>
    <x v="263"/>
    <x v="1"/>
    <x v="1"/>
    <x v="3"/>
    <n v="26"/>
    <n v="10568.85"/>
    <s v="Male"/>
    <n v="1"/>
    <n v="622.84"/>
    <n v="9946.01"/>
    <x v="8"/>
    <s v="Q4"/>
    <n v="2023"/>
    <s v="COD"/>
  </r>
  <r>
    <x v="337"/>
    <x v="1"/>
    <x v="0"/>
    <x v="13"/>
    <n v="14"/>
    <n v="5658.07"/>
    <s v="Female"/>
    <n v="2"/>
    <n v="818.8"/>
    <n v="4839.2700000000004"/>
    <x v="0"/>
    <s v="Q2"/>
    <n v="2023"/>
    <s v="COD"/>
  </r>
  <r>
    <x v="338"/>
    <x v="1"/>
    <x v="1"/>
    <x v="3"/>
    <n v="20"/>
    <n v="8322.41"/>
    <s v="Female"/>
    <n v="3"/>
    <n v="3327.07"/>
    <n v="4995.34"/>
    <x v="4"/>
    <s v="Q2"/>
    <n v="2022"/>
    <s v="EMI"/>
  </r>
  <r>
    <x v="120"/>
    <x v="2"/>
    <x v="1"/>
    <x v="9"/>
    <n v="38"/>
    <n v="7339.99"/>
    <s v="Female"/>
    <n v="2"/>
    <n v="5818.78"/>
    <n v="1521.21"/>
    <x v="3"/>
    <s v="Q2"/>
    <n v="2023"/>
    <s v="Debit Card"/>
  </r>
  <r>
    <x v="339"/>
    <x v="2"/>
    <x v="4"/>
    <x v="17"/>
    <n v="7"/>
    <n v="1590.94"/>
    <s v="Male"/>
    <n v="3"/>
    <n v="42.35"/>
    <n v="1548.59"/>
    <x v="9"/>
    <s v="Q3"/>
    <n v="2022"/>
    <s v="UPI"/>
  </r>
  <r>
    <x v="258"/>
    <x v="1"/>
    <x v="4"/>
    <x v="6"/>
    <n v="35"/>
    <n v="11263.52"/>
    <s v="Male"/>
    <n v="1"/>
    <n v="7263"/>
    <n v="4000.52"/>
    <x v="5"/>
    <s v="Q1"/>
    <n v="2023"/>
    <s v="COD"/>
  </r>
  <r>
    <x v="133"/>
    <x v="0"/>
    <x v="1"/>
    <x v="1"/>
    <n v="19"/>
    <n v="2796.6"/>
    <s v="Female"/>
    <n v="1"/>
    <n v="2528.44"/>
    <n v="268.16000000000003"/>
    <x v="7"/>
    <s v="Q3"/>
    <n v="2023"/>
    <s v="COD"/>
  </r>
  <r>
    <x v="289"/>
    <x v="1"/>
    <x v="3"/>
    <x v="11"/>
    <n v="3"/>
    <n v="856.22"/>
    <s v="Female"/>
    <n v="5"/>
    <n v="314.85000000000002"/>
    <n v="541.37"/>
    <x v="9"/>
    <s v="Q3"/>
    <n v="2023"/>
    <s v="COD"/>
  </r>
  <r>
    <x v="38"/>
    <x v="4"/>
    <x v="4"/>
    <x v="10"/>
    <n v="22"/>
    <n v="5503.13"/>
    <s v="Male"/>
    <n v="5"/>
    <n v="1176.48"/>
    <n v="4326.6499999999996"/>
    <x v="7"/>
    <s v="Q3"/>
    <n v="2022"/>
    <s v="Debit Card"/>
  </r>
  <r>
    <x v="340"/>
    <x v="2"/>
    <x v="0"/>
    <x v="13"/>
    <n v="40"/>
    <n v="13807.58"/>
    <s v="Male"/>
    <n v="2"/>
    <n v="3375.88"/>
    <n v="10431.700000000001"/>
    <x v="5"/>
    <s v="Q1"/>
    <n v="2022"/>
    <s v="Debit Card"/>
  </r>
  <r>
    <x v="341"/>
    <x v="3"/>
    <x v="1"/>
    <x v="3"/>
    <n v="7"/>
    <n v="767.65"/>
    <s v="Female"/>
    <n v="4"/>
    <n v="311.29000000000002"/>
    <n v="456.36"/>
    <x v="5"/>
    <s v="Q1"/>
    <n v="2023"/>
    <s v="COD"/>
  </r>
  <r>
    <x v="342"/>
    <x v="0"/>
    <x v="0"/>
    <x v="0"/>
    <n v="45"/>
    <n v="11830.81"/>
    <s v="Female"/>
    <n v="5"/>
    <n v="8881.5"/>
    <n v="2949.31"/>
    <x v="7"/>
    <s v="Q3"/>
    <n v="2022"/>
    <s v="UPI"/>
  </r>
  <r>
    <x v="343"/>
    <x v="3"/>
    <x v="3"/>
    <x v="11"/>
    <n v="24"/>
    <n v="5008.9399999999996"/>
    <s v="Male"/>
    <n v="3"/>
    <n v="5836.38"/>
    <n v="-827.44"/>
    <x v="3"/>
    <s v="Q2"/>
    <n v="2022"/>
    <s v="UPI"/>
  </r>
  <r>
    <x v="344"/>
    <x v="0"/>
    <x v="2"/>
    <x v="2"/>
    <n v="5"/>
    <n v="722.63"/>
    <s v="Female"/>
    <n v="4"/>
    <n v="524.29"/>
    <n v="198.34"/>
    <x v="7"/>
    <s v="Q3"/>
    <n v="2023"/>
    <s v="COD"/>
  </r>
  <r>
    <x v="345"/>
    <x v="3"/>
    <x v="2"/>
    <x v="16"/>
    <n v="17"/>
    <n v="2334.44"/>
    <s v="Female"/>
    <n v="1"/>
    <n v="4246.01"/>
    <n v="-1911.57"/>
    <x v="4"/>
    <s v="Q2"/>
    <n v="2023"/>
    <s v="Debit Card"/>
  </r>
  <r>
    <x v="315"/>
    <x v="0"/>
    <x v="4"/>
    <x v="18"/>
    <n v="10"/>
    <n v="2716.21"/>
    <s v="Female"/>
    <n v="2"/>
    <n v="1755.08"/>
    <n v="961.13"/>
    <x v="11"/>
    <s v="Q4"/>
    <n v="2023"/>
    <s v="COD"/>
  </r>
  <r>
    <x v="201"/>
    <x v="0"/>
    <x v="0"/>
    <x v="13"/>
    <n v="8"/>
    <n v="508.86"/>
    <s v="Male"/>
    <n v="2"/>
    <n v="547.76"/>
    <n v="-38.9"/>
    <x v="5"/>
    <s v="Q1"/>
    <n v="2023"/>
    <s v="UPI"/>
  </r>
  <r>
    <x v="346"/>
    <x v="4"/>
    <x v="4"/>
    <x v="18"/>
    <n v="32"/>
    <n v="10133.14"/>
    <s v="Female"/>
    <n v="5"/>
    <n v="3991.78"/>
    <n v="6141.36"/>
    <x v="9"/>
    <s v="Q3"/>
    <n v="2023"/>
    <s v="COD"/>
  </r>
  <r>
    <x v="204"/>
    <x v="0"/>
    <x v="4"/>
    <x v="18"/>
    <n v="34"/>
    <n v="11349.27"/>
    <s v="Male"/>
    <n v="2"/>
    <n v="6944.08"/>
    <n v="4405.1899999999996"/>
    <x v="8"/>
    <s v="Q4"/>
    <n v="2022"/>
    <s v="Debit Card"/>
  </r>
  <r>
    <x v="32"/>
    <x v="2"/>
    <x v="4"/>
    <x v="10"/>
    <n v="11"/>
    <n v="1611.29"/>
    <s v="Female"/>
    <n v="2"/>
    <n v="2495.19"/>
    <n v="-883.9"/>
    <x v="4"/>
    <s v="Q2"/>
    <n v="2023"/>
    <s v="Debit Card"/>
  </r>
  <r>
    <x v="12"/>
    <x v="3"/>
    <x v="3"/>
    <x v="4"/>
    <n v="48"/>
    <n v="12956.18"/>
    <s v="Female"/>
    <n v="2"/>
    <n v="4388.87"/>
    <n v="8567.31"/>
    <x v="4"/>
    <s v="Q2"/>
    <n v="2023"/>
    <s v="UPI"/>
  </r>
  <r>
    <x v="6"/>
    <x v="0"/>
    <x v="3"/>
    <x v="11"/>
    <n v="44"/>
    <n v="14710.25"/>
    <s v="Female"/>
    <n v="3"/>
    <n v="10431.969999999999"/>
    <n v="4278.28"/>
    <x v="1"/>
    <s v="Q1"/>
    <n v="2022"/>
    <s v="UPI"/>
  </r>
  <r>
    <x v="336"/>
    <x v="0"/>
    <x v="0"/>
    <x v="13"/>
    <n v="20"/>
    <n v="6120.62"/>
    <s v="Female"/>
    <n v="5"/>
    <n v="4938.21"/>
    <n v="1182.4100000000001"/>
    <x v="3"/>
    <s v="Q2"/>
    <n v="2023"/>
    <s v="COD"/>
  </r>
  <r>
    <x v="347"/>
    <x v="4"/>
    <x v="2"/>
    <x v="7"/>
    <n v="30"/>
    <n v="12238.16"/>
    <s v="Male"/>
    <n v="3"/>
    <n v="5166.46"/>
    <n v="7071.7"/>
    <x v="3"/>
    <s v="Q2"/>
    <n v="2022"/>
    <s v="Debit Card"/>
  </r>
  <r>
    <x v="127"/>
    <x v="2"/>
    <x v="1"/>
    <x v="19"/>
    <n v="39"/>
    <n v="15878.38"/>
    <s v="Female"/>
    <n v="5"/>
    <n v="8700.1299999999992"/>
    <n v="7178.25"/>
    <x v="8"/>
    <s v="Q4"/>
    <n v="2023"/>
    <s v="UPI"/>
  </r>
  <r>
    <x v="348"/>
    <x v="2"/>
    <x v="4"/>
    <x v="17"/>
    <n v="48"/>
    <n v="11575.7"/>
    <s v="Female"/>
    <n v="2"/>
    <n v="2800.13"/>
    <n v="8775.57"/>
    <x v="6"/>
    <s v="Q4"/>
    <n v="2022"/>
    <s v="COD"/>
  </r>
  <r>
    <x v="41"/>
    <x v="0"/>
    <x v="4"/>
    <x v="17"/>
    <n v="11"/>
    <n v="5056.49"/>
    <s v="Male"/>
    <n v="2"/>
    <n v="2258.36"/>
    <n v="2798.13"/>
    <x v="9"/>
    <s v="Q3"/>
    <n v="2022"/>
    <s v="COD"/>
  </r>
  <r>
    <x v="59"/>
    <x v="1"/>
    <x v="1"/>
    <x v="9"/>
    <n v="50"/>
    <n v="5122.82"/>
    <s v="Male"/>
    <n v="5"/>
    <n v="3850.83"/>
    <n v="1271.99"/>
    <x v="7"/>
    <s v="Q3"/>
    <n v="2023"/>
    <s v="UPI"/>
  </r>
  <r>
    <x v="72"/>
    <x v="3"/>
    <x v="4"/>
    <x v="17"/>
    <n v="34"/>
    <n v="3010.29"/>
    <s v="Female"/>
    <n v="5"/>
    <n v="249.44"/>
    <n v="2760.85"/>
    <x v="1"/>
    <s v="Q1"/>
    <n v="2022"/>
    <s v="UPI"/>
  </r>
  <r>
    <x v="349"/>
    <x v="2"/>
    <x v="1"/>
    <x v="9"/>
    <n v="49"/>
    <n v="21035.38"/>
    <s v="Female"/>
    <n v="4"/>
    <n v="5436.16"/>
    <n v="15599.22"/>
    <x v="2"/>
    <s v="Q1"/>
    <n v="2022"/>
    <s v="COD"/>
  </r>
  <r>
    <x v="350"/>
    <x v="1"/>
    <x v="2"/>
    <x v="7"/>
    <n v="45"/>
    <n v="9868.15"/>
    <s v="Male"/>
    <n v="1"/>
    <n v="6419.07"/>
    <n v="3449.08"/>
    <x v="6"/>
    <s v="Q4"/>
    <n v="2023"/>
    <s v="COD"/>
  </r>
  <r>
    <x v="351"/>
    <x v="0"/>
    <x v="1"/>
    <x v="3"/>
    <n v="26"/>
    <n v="2426.27"/>
    <s v="Male"/>
    <n v="5"/>
    <n v="5669.15"/>
    <n v="-3242.88"/>
    <x v="11"/>
    <s v="Q4"/>
    <n v="2022"/>
    <s v="COD"/>
  </r>
  <r>
    <x v="352"/>
    <x v="1"/>
    <x v="0"/>
    <x v="13"/>
    <n v="29"/>
    <n v="12382.87"/>
    <s v="Male"/>
    <n v="2"/>
    <n v="6027.94"/>
    <n v="6354.93"/>
    <x v="9"/>
    <s v="Q3"/>
    <n v="2023"/>
    <s v="COD"/>
  </r>
  <r>
    <x v="353"/>
    <x v="0"/>
    <x v="4"/>
    <x v="18"/>
    <n v="34"/>
    <n v="3304.56"/>
    <s v="Male"/>
    <n v="1"/>
    <n v="7604.14"/>
    <n v="-4299.58"/>
    <x v="10"/>
    <s v="Q3"/>
    <n v="2022"/>
    <s v="COD"/>
  </r>
  <r>
    <x v="354"/>
    <x v="3"/>
    <x v="4"/>
    <x v="18"/>
    <n v="2"/>
    <n v="660.58"/>
    <s v="Female"/>
    <n v="4"/>
    <n v="370.75"/>
    <n v="289.83"/>
    <x v="8"/>
    <s v="Q4"/>
    <n v="2023"/>
    <s v="UPI"/>
  </r>
  <r>
    <x v="355"/>
    <x v="0"/>
    <x v="4"/>
    <x v="6"/>
    <n v="34"/>
    <n v="14957.83"/>
    <s v="Female"/>
    <n v="5"/>
    <n v="4162.54"/>
    <n v="10795.29"/>
    <x v="8"/>
    <s v="Q4"/>
    <n v="2023"/>
    <s v="EMI"/>
  </r>
  <r>
    <x v="51"/>
    <x v="4"/>
    <x v="2"/>
    <x v="16"/>
    <n v="9"/>
    <n v="3427.58"/>
    <s v="Male"/>
    <n v="1"/>
    <n v="1400"/>
    <n v="2027.58"/>
    <x v="0"/>
    <s v="Q2"/>
    <n v="2022"/>
    <s v="EMI"/>
  </r>
  <r>
    <x v="10"/>
    <x v="0"/>
    <x v="1"/>
    <x v="1"/>
    <n v="18"/>
    <n v="2339.94"/>
    <s v="Female"/>
    <n v="2"/>
    <n v="1324.64"/>
    <n v="1015.3"/>
    <x v="0"/>
    <s v="Q2"/>
    <n v="2022"/>
    <s v="UPI"/>
  </r>
  <r>
    <x v="356"/>
    <x v="0"/>
    <x v="0"/>
    <x v="13"/>
    <n v="28"/>
    <n v="3609.29"/>
    <s v="Male"/>
    <n v="4"/>
    <n v="5920.39"/>
    <n v="-2311.1"/>
    <x v="5"/>
    <s v="Q1"/>
    <n v="2022"/>
    <s v="Debit Card"/>
  </r>
  <r>
    <x v="357"/>
    <x v="3"/>
    <x v="1"/>
    <x v="9"/>
    <n v="1"/>
    <n v="86.89"/>
    <s v="Male"/>
    <n v="5"/>
    <n v="228.07"/>
    <n v="-141.18"/>
    <x v="4"/>
    <s v="Q2"/>
    <n v="2023"/>
    <s v="UPI"/>
  </r>
  <r>
    <x v="358"/>
    <x v="1"/>
    <x v="1"/>
    <x v="3"/>
    <n v="27"/>
    <n v="9781.9599999999991"/>
    <s v="Male"/>
    <n v="3"/>
    <n v="1293.32"/>
    <n v="8488.64"/>
    <x v="7"/>
    <s v="Q3"/>
    <n v="2023"/>
    <s v="UPI"/>
  </r>
  <r>
    <x v="235"/>
    <x v="2"/>
    <x v="0"/>
    <x v="0"/>
    <n v="30"/>
    <n v="4713.5200000000004"/>
    <s v="Male"/>
    <n v="5"/>
    <n v="310.70999999999998"/>
    <n v="4402.8100000000004"/>
    <x v="10"/>
    <s v="Q3"/>
    <n v="2023"/>
    <s v="Debit Card"/>
  </r>
  <r>
    <x v="301"/>
    <x v="2"/>
    <x v="2"/>
    <x v="5"/>
    <n v="12"/>
    <n v="5965.05"/>
    <s v="Female"/>
    <n v="3"/>
    <n v="2284.89"/>
    <n v="3680.16"/>
    <x v="5"/>
    <s v="Q1"/>
    <n v="2023"/>
    <s v="EMI"/>
  </r>
  <r>
    <x v="209"/>
    <x v="1"/>
    <x v="1"/>
    <x v="3"/>
    <n v="49"/>
    <n v="18009"/>
    <s v="Male"/>
    <n v="3"/>
    <n v="4702.1899999999996"/>
    <n v="13306.81"/>
    <x v="10"/>
    <s v="Q3"/>
    <n v="2022"/>
    <s v="Debit Card"/>
  </r>
  <r>
    <x v="359"/>
    <x v="2"/>
    <x v="3"/>
    <x v="4"/>
    <n v="29"/>
    <n v="13085.25"/>
    <s v="Female"/>
    <n v="2"/>
    <n v="6460.21"/>
    <n v="6625.04"/>
    <x v="10"/>
    <s v="Q3"/>
    <n v="2023"/>
    <s v="COD"/>
  </r>
  <r>
    <x v="184"/>
    <x v="2"/>
    <x v="2"/>
    <x v="2"/>
    <n v="11"/>
    <n v="2771.56"/>
    <s v="Male"/>
    <n v="4"/>
    <n v="1598.38"/>
    <n v="1173.18"/>
    <x v="1"/>
    <s v="Q1"/>
    <n v="2023"/>
    <s v="COD"/>
  </r>
  <r>
    <x v="276"/>
    <x v="3"/>
    <x v="0"/>
    <x v="13"/>
    <n v="15"/>
    <n v="7290.65"/>
    <s v="Female"/>
    <n v="4"/>
    <n v="2499.88"/>
    <n v="4790.7700000000004"/>
    <x v="0"/>
    <s v="Q2"/>
    <n v="2023"/>
    <s v="UPI"/>
  </r>
  <r>
    <x v="360"/>
    <x v="4"/>
    <x v="4"/>
    <x v="6"/>
    <n v="40"/>
    <n v="3993.48"/>
    <s v="Female"/>
    <n v="4"/>
    <n v="6377.09"/>
    <n v="-2383.61"/>
    <x v="9"/>
    <s v="Q3"/>
    <n v="2022"/>
    <s v="UPI"/>
  </r>
  <r>
    <x v="361"/>
    <x v="3"/>
    <x v="2"/>
    <x v="2"/>
    <n v="17"/>
    <n v="6336.95"/>
    <s v="Male"/>
    <n v="4"/>
    <n v="434.83"/>
    <n v="5902.12"/>
    <x v="8"/>
    <s v="Q4"/>
    <n v="2023"/>
    <s v="EMI"/>
  </r>
  <r>
    <x v="362"/>
    <x v="3"/>
    <x v="3"/>
    <x v="4"/>
    <n v="25"/>
    <n v="6257.77"/>
    <s v="Male"/>
    <n v="2"/>
    <n v="5119.9399999999996"/>
    <n v="1137.83"/>
    <x v="3"/>
    <s v="Q2"/>
    <n v="2023"/>
    <s v="COD"/>
  </r>
  <r>
    <x v="340"/>
    <x v="0"/>
    <x v="2"/>
    <x v="16"/>
    <n v="36"/>
    <n v="16891.71"/>
    <s v="Female"/>
    <n v="4"/>
    <n v="8124.85"/>
    <n v="8766.86"/>
    <x v="5"/>
    <s v="Q1"/>
    <n v="2022"/>
    <s v="EMI"/>
  </r>
  <r>
    <x v="363"/>
    <x v="3"/>
    <x v="1"/>
    <x v="9"/>
    <n v="16"/>
    <n v="3439.33"/>
    <s v="Female"/>
    <n v="3"/>
    <n v="2797.05"/>
    <n v="642.28"/>
    <x v="0"/>
    <s v="Q2"/>
    <n v="2023"/>
    <s v="COD"/>
  </r>
  <r>
    <x v="270"/>
    <x v="3"/>
    <x v="0"/>
    <x v="8"/>
    <n v="47"/>
    <n v="1981"/>
    <s v="Male"/>
    <n v="5"/>
    <n v="9354.83"/>
    <n v="-7373.83"/>
    <x v="11"/>
    <s v="Q4"/>
    <n v="2022"/>
    <s v="Credit Card"/>
  </r>
  <r>
    <x v="364"/>
    <x v="1"/>
    <x v="3"/>
    <x v="12"/>
    <n v="41"/>
    <n v="6554.41"/>
    <s v="Female"/>
    <n v="5"/>
    <n v="8826.39"/>
    <n v="-2271.98"/>
    <x v="0"/>
    <s v="Q2"/>
    <n v="2023"/>
    <s v="UPI"/>
  </r>
  <r>
    <x v="365"/>
    <x v="0"/>
    <x v="1"/>
    <x v="9"/>
    <n v="2"/>
    <n v="402.02"/>
    <s v="Female"/>
    <n v="5"/>
    <n v="484.28"/>
    <n v="-82.26"/>
    <x v="5"/>
    <s v="Q1"/>
    <n v="2023"/>
    <s v="UPI"/>
  </r>
  <r>
    <x v="366"/>
    <x v="3"/>
    <x v="4"/>
    <x v="18"/>
    <n v="2"/>
    <n v="509.77"/>
    <s v="Male"/>
    <n v="3"/>
    <n v="104.74"/>
    <n v="405.03"/>
    <x v="1"/>
    <s v="Q1"/>
    <n v="2022"/>
    <s v="COD"/>
  </r>
  <r>
    <x v="367"/>
    <x v="3"/>
    <x v="1"/>
    <x v="9"/>
    <n v="18"/>
    <n v="393.56"/>
    <s v="Male"/>
    <n v="1"/>
    <n v="3229.27"/>
    <n v="-2835.71"/>
    <x v="10"/>
    <s v="Q3"/>
    <n v="2022"/>
    <s v="Credit Card"/>
  </r>
  <r>
    <x v="368"/>
    <x v="3"/>
    <x v="2"/>
    <x v="16"/>
    <n v="44"/>
    <n v="13597.97"/>
    <s v="Female"/>
    <n v="1"/>
    <n v="8891.6200000000008"/>
    <n v="4706.3500000000004"/>
    <x v="2"/>
    <s v="Q1"/>
    <n v="2022"/>
    <s v="Credit Card"/>
  </r>
  <r>
    <x v="184"/>
    <x v="0"/>
    <x v="0"/>
    <x v="13"/>
    <n v="30"/>
    <n v="2729.07"/>
    <s v="Male"/>
    <n v="5"/>
    <n v="662.28"/>
    <n v="2066.79"/>
    <x v="1"/>
    <s v="Q1"/>
    <n v="2023"/>
    <s v="Credit Card"/>
  </r>
  <r>
    <x v="334"/>
    <x v="3"/>
    <x v="2"/>
    <x v="16"/>
    <n v="7"/>
    <n v="988.2"/>
    <s v="Female"/>
    <n v="3"/>
    <n v="429.77"/>
    <n v="558.42999999999995"/>
    <x v="7"/>
    <s v="Q3"/>
    <n v="2023"/>
    <s v="EMI"/>
  </r>
  <r>
    <x v="216"/>
    <x v="3"/>
    <x v="1"/>
    <x v="19"/>
    <n v="23"/>
    <n v="9326.5499999999993"/>
    <s v="Male"/>
    <n v="4"/>
    <n v="2122.83"/>
    <n v="7203.72"/>
    <x v="0"/>
    <s v="Q2"/>
    <n v="2023"/>
    <s v="EMI"/>
  </r>
  <r>
    <x v="369"/>
    <x v="3"/>
    <x v="3"/>
    <x v="4"/>
    <n v="43"/>
    <n v="13323.15"/>
    <s v="Female"/>
    <n v="3"/>
    <n v="4080.38"/>
    <n v="9242.77"/>
    <x v="1"/>
    <s v="Q1"/>
    <n v="2023"/>
    <s v="EMI"/>
  </r>
  <r>
    <x v="370"/>
    <x v="0"/>
    <x v="3"/>
    <x v="11"/>
    <n v="34"/>
    <n v="11267.92"/>
    <s v="Female"/>
    <n v="1"/>
    <n v="3942.07"/>
    <n v="7325.85"/>
    <x v="4"/>
    <s v="Q2"/>
    <n v="2022"/>
    <s v="COD"/>
  </r>
  <r>
    <x v="209"/>
    <x v="0"/>
    <x v="4"/>
    <x v="18"/>
    <n v="49"/>
    <n v="10022.74"/>
    <s v="Male"/>
    <n v="2"/>
    <n v="3612.23"/>
    <n v="6410.51"/>
    <x v="10"/>
    <s v="Q3"/>
    <n v="2022"/>
    <s v="UPI"/>
  </r>
  <r>
    <x v="74"/>
    <x v="1"/>
    <x v="3"/>
    <x v="15"/>
    <n v="44"/>
    <n v="20710.12"/>
    <s v="Female"/>
    <n v="5"/>
    <n v="5785.26"/>
    <n v="14924.86"/>
    <x v="9"/>
    <s v="Q3"/>
    <n v="2022"/>
    <s v="EMI"/>
  </r>
  <r>
    <x v="371"/>
    <x v="1"/>
    <x v="2"/>
    <x v="7"/>
    <n v="26"/>
    <n v="11061.31"/>
    <s v="Female"/>
    <n v="1"/>
    <n v="2224.39"/>
    <n v="8836.92"/>
    <x v="6"/>
    <s v="Q4"/>
    <n v="2023"/>
    <s v="COD"/>
  </r>
  <r>
    <x v="85"/>
    <x v="4"/>
    <x v="0"/>
    <x v="8"/>
    <n v="25"/>
    <n v="1332.45"/>
    <s v="Female"/>
    <n v="2"/>
    <n v="3465.83"/>
    <n v="-2133.38"/>
    <x v="2"/>
    <s v="Q1"/>
    <n v="2022"/>
    <s v="COD"/>
  </r>
  <r>
    <x v="372"/>
    <x v="1"/>
    <x v="4"/>
    <x v="6"/>
    <n v="32"/>
    <n v="9886.06"/>
    <s v="Female"/>
    <n v="4"/>
    <n v="4713.2299999999996"/>
    <n v="5172.83"/>
    <x v="11"/>
    <s v="Q4"/>
    <n v="2023"/>
    <s v="UPI"/>
  </r>
  <r>
    <x v="180"/>
    <x v="4"/>
    <x v="3"/>
    <x v="4"/>
    <n v="14"/>
    <n v="5358.84"/>
    <s v="Female"/>
    <n v="1"/>
    <n v="1531.83"/>
    <n v="3827.01"/>
    <x v="8"/>
    <s v="Q4"/>
    <n v="2023"/>
    <s v="COD"/>
  </r>
  <r>
    <x v="235"/>
    <x v="4"/>
    <x v="4"/>
    <x v="17"/>
    <n v="28"/>
    <n v="2609.33"/>
    <s v="Female"/>
    <n v="5"/>
    <n v="6198.92"/>
    <n v="-3589.59"/>
    <x v="10"/>
    <s v="Q3"/>
    <n v="2023"/>
    <s v="UPI"/>
  </r>
  <r>
    <x v="373"/>
    <x v="3"/>
    <x v="4"/>
    <x v="10"/>
    <n v="44"/>
    <n v="7038.29"/>
    <s v="Female"/>
    <n v="5"/>
    <n v="3465.96"/>
    <n v="3572.33"/>
    <x v="0"/>
    <s v="Q2"/>
    <n v="2023"/>
    <s v="Debit Card"/>
  </r>
  <r>
    <x v="288"/>
    <x v="0"/>
    <x v="1"/>
    <x v="9"/>
    <n v="25"/>
    <n v="4071.63"/>
    <s v="Male"/>
    <n v="3"/>
    <n v="2900.33"/>
    <n v="1171.3"/>
    <x v="11"/>
    <s v="Q4"/>
    <n v="2022"/>
    <s v="UPI"/>
  </r>
  <r>
    <x v="167"/>
    <x v="1"/>
    <x v="3"/>
    <x v="15"/>
    <n v="50"/>
    <n v="13462.43"/>
    <s v="Female"/>
    <n v="3"/>
    <n v="6515.57"/>
    <n v="6946.86"/>
    <x v="7"/>
    <s v="Q3"/>
    <n v="2022"/>
    <s v="Debit Card"/>
  </r>
  <r>
    <x v="374"/>
    <x v="3"/>
    <x v="2"/>
    <x v="5"/>
    <n v="11"/>
    <n v="2435.17"/>
    <s v="Female"/>
    <n v="1"/>
    <n v="2392.9299999999998"/>
    <n v="42.24"/>
    <x v="8"/>
    <s v="Q4"/>
    <n v="2022"/>
    <s v="COD"/>
  </r>
  <r>
    <x v="375"/>
    <x v="2"/>
    <x v="2"/>
    <x v="2"/>
    <n v="6"/>
    <n v="566.14"/>
    <s v="Male"/>
    <n v="2"/>
    <n v="327.48"/>
    <n v="238.66"/>
    <x v="1"/>
    <s v="Q1"/>
    <n v="2022"/>
    <s v="UPI"/>
  </r>
  <r>
    <x v="240"/>
    <x v="0"/>
    <x v="1"/>
    <x v="1"/>
    <n v="37"/>
    <n v="14806.1"/>
    <s v="Male"/>
    <n v="1"/>
    <n v="5570.69"/>
    <n v="9235.41"/>
    <x v="3"/>
    <s v="Q2"/>
    <n v="2022"/>
    <s v="Credit Card"/>
  </r>
  <r>
    <x v="169"/>
    <x v="2"/>
    <x v="0"/>
    <x v="13"/>
    <n v="24"/>
    <n v="711.95"/>
    <s v="Female"/>
    <n v="5"/>
    <n v="1291.8499999999999"/>
    <n v="-579.9"/>
    <x v="7"/>
    <s v="Q3"/>
    <n v="2022"/>
    <s v="COD"/>
  </r>
  <r>
    <x v="376"/>
    <x v="4"/>
    <x v="4"/>
    <x v="17"/>
    <n v="30"/>
    <n v="14643.54"/>
    <s v="Female"/>
    <n v="1"/>
    <n v="5143.3"/>
    <n v="9500.24"/>
    <x v="4"/>
    <s v="Q2"/>
    <n v="2022"/>
    <s v="UPI"/>
  </r>
  <r>
    <x v="58"/>
    <x v="1"/>
    <x v="4"/>
    <x v="6"/>
    <n v="25"/>
    <n v="1508.22"/>
    <s v="Male"/>
    <n v="1"/>
    <n v="1935.13"/>
    <n v="-426.91"/>
    <x v="11"/>
    <s v="Q4"/>
    <n v="2023"/>
    <s v="Credit Card"/>
  </r>
  <r>
    <x v="377"/>
    <x v="0"/>
    <x v="3"/>
    <x v="4"/>
    <n v="14"/>
    <n v="3571.33"/>
    <s v="Male"/>
    <n v="4"/>
    <n v="2843.1"/>
    <n v="728.23"/>
    <x v="8"/>
    <s v="Q4"/>
    <n v="2022"/>
    <s v="UPI"/>
  </r>
  <r>
    <x v="378"/>
    <x v="0"/>
    <x v="2"/>
    <x v="7"/>
    <n v="38"/>
    <n v="13702.55"/>
    <s v="Female"/>
    <n v="1"/>
    <n v="3028.47"/>
    <n v="10674.08"/>
    <x v="5"/>
    <s v="Q1"/>
    <n v="2023"/>
    <s v="UPI"/>
  </r>
  <r>
    <x v="379"/>
    <x v="4"/>
    <x v="4"/>
    <x v="18"/>
    <n v="16"/>
    <n v="356.27"/>
    <s v="Male"/>
    <n v="1"/>
    <n v="222.6"/>
    <n v="133.66999999999999"/>
    <x v="10"/>
    <s v="Q3"/>
    <n v="2023"/>
    <s v="COD"/>
  </r>
  <r>
    <x v="380"/>
    <x v="2"/>
    <x v="3"/>
    <x v="4"/>
    <n v="27"/>
    <n v="12255.57"/>
    <s v="Female"/>
    <n v="5"/>
    <n v="3317.29"/>
    <n v="8938.2800000000007"/>
    <x v="10"/>
    <s v="Q3"/>
    <n v="2023"/>
    <s v="COD"/>
  </r>
  <r>
    <x v="381"/>
    <x v="3"/>
    <x v="4"/>
    <x v="10"/>
    <n v="5"/>
    <n v="1624.64"/>
    <s v="Female"/>
    <n v="5"/>
    <n v="929.23"/>
    <n v="695.41"/>
    <x v="1"/>
    <s v="Q1"/>
    <n v="2023"/>
    <s v="Debit Card"/>
  </r>
  <r>
    <x v="307"/>
    <x v="3"/>
    <x v="0"/>
    <x v="14"/>
    <n v="20"/>
    <n v="4984.17"/>
    <s v="Female"/>
    <n v="5"/>
    <n v="1282.44"/>
    <n v="3701.73"/>
    <x v="8"/>
    <s v="Q4"/>
    <n v="2023"/>
    <s v="COD"/>
  </r>
  <r>
    <x v="153"/>
    <x v="3"/>
    <x v="2"/>
    <x v="5"/>
    <n v="44"/>
    <n v="9728.39"/>
    <s v="Male"/>
    <n v="5"/>
    <n v="3524.92"/>
    <n v="6203.47"/>
    <x v="0"/>
    <s v="Q2"/>
    <n v="2023"/>
    <s v="Debit Card"/>
  </r>
  <r>
    <x v="277"/>
    <x v="1"/>
    <x v="1"/>
    <x v="19"/>
    <n v="22"/>
    <n v="7863.48"/>
    <s v="Female"/>
    <n v="5"/>
    <n v="5176.87"/>
    <n v="2686.61"/>
    <x v="1"/>
    <s v="Q1"/>
    <n v="2023"/>
    <s v="COD"/>
  </r>
  <r>
    <x v="50"/>
    <x v="4"/>
    <x v="1"/>
    <x v="1"/>
    <n v="17"/>
    <n v="6103.41"/>
    <s v="Male"/>
    <n v="3"/>
    <n v="4059.81"/>
    <n v="2043.6"/>
    <x v="1"/>
    <s v="Q1"/>
    <n v="2022"/>
    <s v="UPI"/>
  </r>
  <r>
    <x v="65"/>
    <x v="2"/>
    <x v="3"/>
    <x v="11"/>
    <n v="45"/>
    <n v="987.45"/>
    <s v="Female"/>
    <n v="1"/>
    <n v="4150.16"/>
    <n v="-3162.71"/>
    <x v="11"/>
    <s v="Q4"/>
    <n v="2022"/>
    <s v="COD"/>
  </r>
  <r>
    <x v="382"/>
    <x v="3"/>
    <x v="0"/>
    <x v="14"/>
    <n v="23"/>
    <n v="9730.5400000000009"/>
    <s v="Male"/>
    <n v="5"/>
    <n v="5530.56"/>
    <n v="4199.9799999999996"/>
    <x v="9"/>
    <s v="Q3"/>
    <n v="2023"/>
    <s v="Credit Card"/>
  </r>
  <r>
    <x v="192"/>
    <x v="2"/>
    <x v="4"/>
    <x v="18"/>
    <n v="5"/>
    <n v="971.15"/>
    <s v="Female"/>
    <n v="1"/>
    <n v="724.91"/>
    <n v="246.24"/>
    <x v="0"/>
    <s v="Q2"/>
    <n v="2022"/>
    <s v="Debit Card"/>
  </r>
  <r>
    <x v="383"/>
    <x v="4"/>
    <x v="4"/>
    <x v="18"/>
    <n v="44"/>
    <n v="21862.26"/>
    <s v="Male"/>
    <n v="1"/>
    <n v="585.84"/>
    <n v="21276.42"/>
    <x v="8"/>
    <s v="Q4"/>
    <n v="2022"/>
    <s v="Credit Card"/>
  </r>
  <r>
    <x v="18"/>
    <x v="2"/>
    <x v="2"/>
    <x v="7"/>
    <n v="18"/>
    <n v="2700.56"/>
    <s v="Female"/>
    <n v="5"/>
    <n v="1054.21"/>
    <n v="1646.35"/>
    <x v="7"/>
    <s v="Q3"/>
    <n v="2022"/>
    <s v="UPI"/>
  </r>
  <r>
    <x v="323"/>
    <x v="3"/>
    <x v="4"/>
    <x v="6"/>
    <n v="22"/>
    <n v="9881.43"/>
    <s v="Female"/>
    <n v="3"/>
    <n v="4616.08"/>
    <n v="5265.35"/>
    <x v="7"/>
    <s v="Q3"/>
    <n v="2023"/>
    <s v="COD"/>
  </r>
  <r>
    <x v="84"/>
    <x v="1"/>
    <x v="0"/>
    <x v="0"/>
    <n v="6"/>
    <n v="1197.3499999999999"/>
    <s v="Female"/>
    <n v="2"/>
    <n v="1161.17"/>
    <n v="36.18"/>
    <x v="8"/>
    <s v="Q4"/>
    <n v="2022"/>
    <s v="COD"/>
  </r>
  <r>
    <x v="384"/>
    <x v="4"/>
    <x v="3"/>
    <x v="4"/>
    <n v="14"/>
    <n v="3757.52"/>
    <s v="Female"/>
    <n v="3"/>
    <n v="3062.72"/>
    <n v="694.8"/>
    <x v="9"/>
    <s v="Q3"/>
    <n v="2022"/>
    <s v="Debit Card"/>
  </r>
  <r>
    <x v="385"/>
    <x v="0"/>
    <x v="2"/>
    <x v="16"/>
    <n v="9"/>
    <n v="2298.7399999999998"/>
    <s v="Male"/>
    <n v="4"/>
    <n v="1839.67"/>
    <n v="459.07"/>
    <x v="0"/>
    <s v="Q2"/>
    <n v="2023"/>
    <s v="Credit Card"/>
  </r>
  <r>
    <x v="95"/>
    <x v="2"/>
    <x v="1"/>
    <x v="9"/>
    <n v="3"/>
    <n v="330.77"/>
    <s v="Male"/>
    <n v="5"/>
    <n v="673.43"/>
    <n v="-342.66"/>
    <x v="4"/>
    <s v="Q2"/>
    <n v="2022"/>
    <s v="COD"/>
  </r>
  <r>
    <x v="386"/>
    <x v="0"/>
    <x v="2"/>
    <x v="2"/>
    <n v="27"/>
    <n v="4050.84"/>
    <s v="Male"/>
    <n v="1"/>
    <n v="5158.87"/>
    <n v="-1108.03"/>
    <x v="5"/>
    <s v="Q1"/>
    <n v="2022"/>
    <s v="Debit Card"/>
  </r>
  <r>
    <x v="387"/>
    <x v="4"/>
    <x v="3"/>
    <x v="11"/>
    <n v="37"/>
    <n v="11784.37"/>
    <s v="Male"/>
    <n v="4"/>
    <n v="7448.69"/>
    <n v="4335.68"/>
    <x v="2"/>
    <s v="Q1"/>
    <n v="2022"/>
    <s v="COD"/>
  </r>
  <r>
    <x v="388"/>
    <x v="0"/>
    <x v="3"/>
    <x v="4"/>
    <n v="50"/>
    <n v="22208.65"/>
    <s v="Male"/>
    <n v="4"/>
    <n v="2235.31"/>
    <n v="19973.34"/>
    <x v="4"/>
    <s v="Q2"/>
    <n v="2023"/>
    <s v="COD"/>
  </r>
  <r>
    <x v="231"/>
    <x v="2"/>
    <x v="4"/>
    <x v="18"/>
    <n v="16"/>
    <n v="7823.09"/>
    <s v="Female"/>
    <n v="5"/>
    <n v="1841.1"/>
    <n v="5981.99"/>
    <x v="9"/>
    <s v="Q3"/>
    <n v="2022"/>
    <s v="COD"/>
  </r>
  <r>
    <x v="219"/>
    <x v="4"/>
    <x v="0"/>
    <x v="8"/>
    <n v="21"/>
    <n v="4917.9399999999996"/>
    <s v="Male"/>
    <n v="2"/>
    <n v="997.68"/>
    <n v="3920.26"/>
    <x v="6"/>
    <s v="Q4"/>
    <n v="2023"/>
    <s v="Credit Card"/>
  </r>
  <r>
    <x v="389"/>
    <x v="1"/>
    <x v="0"/>
    <x v="0"/>
    <n v="6"/>
    <n v="2941.29"/>
    <s v="Male"/>
    <n v="4"/>
    <n v="228.99"/>
    <n v="2712.3"/>
    <x v="2"/>
    <s v="Q1"/>
    <n v="2023"/>
    <s v="Credit Card"/>
  </r>
  <r>
    <x v="213"/>
    <x v="3"/>
    <x v="2"/>
    <x v="7"/>
    <n v="42"/>
    <n v="20284.099999999999"/>
    <s v="Male"/>
    <n v="5"/>
    <n v="1043.05"/>
    <n v="19241.05"/>
    <x v="8"/>
    <s v="Q4"/>
    <n v="2022"/>
    <s v="UPI"/>
  </r>
  <r>
    <x v="390"/>
    <x v="0"/>
    <x v="4"/>
    <x v="10"/>
    <n v="19"/>
    <n v="849.73"/>
    <s v="Male"/>
    <n v="3"/>
    <n v="3724.59"/>
    <n v="-2874.86"/>
    <x v="9"/>
    <s v="Q3"/>
    <n v="2023"/>
    <s v="Credit Card"/>
  </r>
  <r>
    <x v="144"/>
    <x v="1"/>
    <x v="1"/>
    <x v="19"/>
    <n v="8"/>
    <n v="2037.82"/>
    <s v="Male"/>
    <n v="5"/>
    <n v="1048.6300000000001"/>
    <n v="989.19"/>
    <x v="0"/>
    <s v="Q2"/>
    <n v="2022"/>
    <s v="Credit Card"/>
  </r>
  <r>
    <x v="391"/>
    <x v="4"/>
    <x v="4"/>
    <x v="17"/>
    <n v="9"/>
    <n v="3121.03"/>
    <s v="Female"/>
    <n v="3"/>
    <n v="805.45"/>
    <n v="2315.58"/>
    <x v="11"/>
    <s v="Q4"/>
    <n v="2022"/>
    <s v="COD"/>
  </r>
  <r>
    <x v="392"/>
    <x v="3"/>
    <x v="1"/>
    <x v="19"/>
    <n v="5"/>
    <n v="1664.36"/>
    <s v="Male"/>
    <n v="5"/>
    <n v="799.22"/>
    <n v="865.14"/>
    <x v="4"/>
    <s v="Q2"/>
    <n v="2023"/>
    <s v="UPI"/>
  </r>
  <r>
    <x v="393"/>
    <x v="1"/>
    <x v="3"/>
    <x v="11"/>
    <n v="31"/>
    <n v="5694.37"/>
    <s v="Male"/>
    <n v="2"/>
    <n v="6482.92"/>
    <n v="-788.55"/>
    <x v="10"/>
    <s v="Q3"/>
    <n v="2023"/>
    <s v="COD"/>
  </r>
  <r>
    <x v="394"/>
    <x v="4"/>
    <x v="0"/>
    <x v="0"/>
    <n v="8"/>
    <n v="930.38"/>
    <s v="Male"/>
    <n v="2"/>
    <n v="1324.41"/>
    <n v="-394.03"/>
    <x v="11"/>
    <s v="Q4"/>
    <n v="2022"/>
    <s v="EMI"/>
  </r>
  <r>
    <x v="277"/>
    <x v="1"/>
    <x v="0"/>
    <x v="8"/>
    <n v="33"/>
    <n v="4160.54"/>
    <s v="Male"/>
    <n v="3"/>
    <n v="788.61"/>
    <n v="3371.93"/>
    <x v="1"/>
    <s v="Q1"/>
    <n v="2023"/>
    <s v="EMI"/>
  </r>
  <r>
    <x v="303"/>
    <x v="3"/>
    <x v="3"/>
    <x v="4"/>
    <n v="11"/>
    <n v="5093.3100000000004"/>
    <s v="Male"/>
    <n v="4"/>
    <n v="321.51"/>
    <n v="4771.8"/>
    <x v="3"/>
    <s v="Q2"/>
    <n v="2022"/>
    <s v="EMI"/>
  </r>
  <r>
    <x v="33"/>
    <x v="2"/>
    <x v="0"/>
    <x v="14"/>
    <n v="44"/>
    <n v="18112.36"/>
    <s v="Female"/>
    <n v="3"/>
    <n v="3283.42"/>
    <n v="14828.94"/>
    <x v="6"/>
    <s v="Q4"/>
    <n v="2023"/>
    <s v="COD"/>
  </r>
  <r>
    <x v="206"/>
    <x v="1"/>
    <x v="4"/>
    <x v="17"/>
    <n v="3"/>
    <n v="971.88"/>
    <s v="Male"/>
    <n v="2"/>
    <n v="75.31"/>
    <n v="896.57"/>
    <x v="9"/>
    <s v="Q3"/>
    <n v="2023"/>
    <s v="COD"/>
  </r>
  <r>
    <x v="395"/>
    <x v="1"/>
    <x v="4"/>
    <x v="10"/>
    <n v="27"/>
    <n v="5562.07"/>
    <s v="Male"/>
    <n v="2"/>
    <n v="6236.09"/>
    <n v="-674.02"/>
    <x v="11"/>
    <s v="Q4"/>
    <n v="2023"/>
    <s v="EMI"/>
  </r>
  <r>
    <x v="46"/>
    <x v="4"/>
    <x v="3"/>
    <x v="12"/>
    <n v="18"/>
    <n v="5972.55"/>
    <s v="Male"/>
    <n v="2"/>
    <n v="1488.77"/>
    <n v="4483.78"/>
    <x v="2"/>
    <s v="Q1"/>
    <n v="2023"/>
    <s v="COD"/>
  </r>
  <r>
    <x v="211"/>
    <x v="0"/>
    <x v="1"/>
    <x v="19"/>
    <n v="48"/>
    <n v="11662.84"/>
    <s v="Female"/>
    <n v="5"/>
    <n v="4307.4799999999996"/>
    <n v="7355.36"/>
    <x v="10"/>
    <s v="Q3"/>
    <n v="2022"/>
    <s v="Credit Card"/>
  </r>
  <r>
    <x v="384"/>
    <x v="4"/>
    <x v="2"/>
    <x v="5"/>
    <n v="40"/>
    <n v="11796.11"/>
    <s v="Male"/>
    <n v="5"/>
    <n v="551.89"/>
    <n v="11244.22"/>
    <x v="9"/>
    <s v="Q3"/>
    <n v="2022"/>
    <s v="COD"/>
  </r>
  <r>
    <x v="205"/>
    <x v="1"/>
    <x v="4"/>
    <x v="10"/>
    <n v="26"/>
    <n v="3443.25"/>
    <s v="Female"/>
    <n v="5"/>
    <n v="874.16"/>
    <n v="2569.09"/>
    <x v="3"/>
    <s v="Q2"/>
    <n v="2023"/>
    <s v="Credit Card"/>
  </r>
  <r>
    <x v="396"/>
    <x v="0"/>
    <x v="0"/>
    <x v="8"/>
    <n v="15"/>
    <n v="4165.67"/>
    <s v="Female"/>
    <n v="4"/>
    <n v="1497.88"/>
    <n v="2667.79"/>
    <x v="11"/>
    <s v="Q4"/>
    <n v="2022"/>
    <s v="Credit Card"/>
  </r>
  <r>
    <x v="397"/>
    <x v="3"/>
    <x v="3"/>
    <x v="15"/>
    <n v="24"/>
    <n v="10085.26"/>
    <s v="Male"/>
    <n v="3"/>
    <n v="2719.09"/>
    <n v="7366.17"/>
    <x v="1"/>
    <s v="Q1"/>
    <n v="2022"/>
    <s v="Credit Card"/>
  </r>
  <r>
    <x v="398"/>
    <x v="0"/>
    <x v="2"/>
    <x v="7"/>
    <n v="29"/>
    <n v="1873.73"/>
    <s v="Female"/>
    <n v="3"/>
    <n v="2370.1"/>
    <n v="-496.37"/>
    <x v="3"/>
    <s v="Q2"/>
    <n v="2023"/>
    <s v="Credit Card"/>
  </r>
  <r>
    <x v="399"/>
    <x v="2"/>
    <x v="1"/>
    <x v="3"/>
    <n v="44"/>
    <n v="1538.52"/>
    <s v="Female"/>
    <n v="1"/>
    <n v="3035.13"/>
    <n v="-1496.61"/>
    <x v="3"/>
    <s v="Q2"/>
    <n v="2022"/>
    <s v="COD"/>
  </r>
  <r>
    <x v="232"/>
    <x v="0"/>
    <x v="3"/>
    <x v="11"/>
    <n v="19"/>
    <n v="232.48"/>
    <s v="Male"/>
    <n v="4"/>
    <n v="3749.57"/>
    <n v="-3517.09"/>
    <x v="11"/>
    <s v="Q4"/>
    <n v="2023"/>
    <s v="Credit Card"/>
  </r>
  <r>
    <x v="400"/>
    <x v="3"/>
    <x v="2"/>
    <x v="2"/>
    <n v="3"/>
    <n v="230.84"/>
    <s v="Male"/>
    <n v="3"/>
    <n v="318.62"/>
    <n v="-87.78"/>
    <x v="0"/>
    <s v="Q2"/>
    <n v="2022"/>
    <s v="Credit Card"/>
  </r>
  <r>
    <x v="401"/>
    <x v="0"/>
    <x v="2"/>
    <x v="16"/>
    <n v="22"/>
    <n v="5054.42"/>
    <s v="Female"/>
    <n v="5"/>
    <n v="1672.84"/>
    <n v="3381.58"/>
    <x v="1"/>
    <s v="Q1"/>
    <n v="2022"/>
    <s v="Credit Card"/>
  </r>
  <r>
    <x v="368"/>
    <x v="3"/>
    <x v="1"/>
    <x v="1"/>
    <n v="12"/>
    <n v="4662.7700000000004"/>
    <s v="Male"/>
    <n v="2"/>
    <n v="2744.4"/>
    <n v="1918.37"/>
    <x v="2"/>
    <s v="Q1"/>
    <n v="2022"/>
    <s v="COD"/>
  </r>
  <r>
    <x v="402"/>
    <x v="3"/>
    <x v="0"/>
    <x v="0"/>
    <n v="24"/>
    <n v="624.41"/>
    <s v="Female"/>
    <n v="4"/>
    <n v="2733.08"/>
    <n v="-2108.67"/>
    <x v="3"/>
    <s v="Q2"/>
    <n v="2022"/>
    <s v="COD"/>
  </r>
  <r>
    <x v="403"/>
    <x v="4"/>
    <x v="0"/>
    <x v="14"/>
    <n v="45"/>
    <n v="14749.72"/>
    <s v="Male"/>
    <n v="2"/>
    <n v="6947.97"/>
    <n v="7801.75"/>
    <x v="0"/>
    <s v="Q2"/>
    <n v="2022"/>
    <s v="COD"/>
  </r>
  <r>
    <x v="404"/>
    <x v="0"/>
    <x v="3"/>
    <x v="12"/>
    <n v="47"/>
    <n v="13098.96"/>
    <s v="Female"/>
    <n v="5"/>
    <n v="10613.33"/>
    <n v="2485.63"/>
    <x v="4"/>
    <s v="Q2"/>
    <n v="2022"/>
    <s v="Credit Card"/>
  </r>
  <r>
    <x v="331"/>
    <x v="4"/>
    <x v="3"/>
    <x v="15"/>
    <n v="11"/>
    <n v="3283.24"/>
    <s v="Male"/>
    <n v="1"/>
    <n v="1846.25"/>
    <n v="1436.99"/>
    <x v="8"/>
    <s v="Q4"/>
    <n v="2022"/>
    <s v="Debit Card"/>
  </r>
  <r>
    <x v="405"/>
    <x v="1"/>
    <x v="4"/>
    <x v="17"/>
    <n v="8"/>
    <n v="1034.99"/>
    <s v="Male"/>
    <n v="5"/>
    <n v="1510.43"/>
    <n v="-475.44"/>
    <x v="11"/>
    <s v="Q4"/>
    <n v="2022"/>
    <s v="UPI"/>
  </r>
  <r>
    <x v="132"/>
    <x v="3"/>
    <x v="1"/>
    <x v="9"/>
    <n v="38"/>
    <n v="1645.74"/>
    <s v="Female"/>
    <n v="4"/>
    <n v="2630.16"/>
    <n v="-984.42"/>
    <x v="2"/>
    <s v="Q1"/>
    <n v="2023"/>
    <s v="Debit Card"/>
  </r>
  <r>
    <x v="406"/>
    <x v="2"/>
    <x v="0"/>
    <x v="14"/>
    <n v="33"/>
    <n v="13465.91"/>
    <s v="Male"/>
    <n v="2"/>
    <n v="7255.85"/>
    <n v="6210.06"/>
    <x v="6"/>
    <s v="Q4"/>
    <n v="2022"/>
    <s v="COD"/>
  </r>
  <r>
    <x v="248"/>
    <x v="1"/>
    <x v="4"/>
    <x v="18"/>
    <n v="16"/>
    <n v="1462.89"/>
    <s v="Male"/>
    <n v="4"/>
    <n v="991.24"/>
    <n v="471.65"/>
    <x v="9"/>
    <s v="Q3"/>
    <n v="2022"/>
    <s v="Credit Card"/>
  </r>
  <r>
    <x v="96"/>
    <x v="0"/>
    <x v="4"/>
    <x v="10"/>
    <n v="19"/>
    <n v="1487.91"/>
    <s v="Male"/>
    <n v="1"/>
    <n v="4063.34"/>
    <n v="-2575.4299999999998"/>
    <x v="11"/>
    <s v="Q4"/>
    <n v="2023"/>
    <s v="UPI"/>
  </r>
  <r>
    <x v="407"/>
    <x v="2"/>
    <x v="0"/>
    <x v="14"/>
    <n v="29"/>
    <n v="6338.53"/>
    <s v="Male"/>
    <n v="2"/>
    <n v="2869.25"/>
    <n v="3469.28"/>
    <x v="5"/>
    <s v="Q1"/>
    <n v="2022"/>
    <s v="Credit Card"/>
  </r>
  <r>
    <x v="408"/>
    <x v="3"/>
    <x v="3"/>
    <x v="11"/>
    <n v="21"/>
    <n v="8583.2800000000007"/>
    <s v="Male"/>
    <n v="2"/>
    <n v="4980.34"/>
    <n v="3602.94"/>
    <x v="4"/>
    <s v="Q2"/>
    <n v="2022"/>
    <s v="UPI"/>
  </r>
  <r>
    <x v="323"/>
    <x v="4"/>
    <x v="3"/>
    <x v="11"/>
    <n v="36"/>
    <n v="4432.3"/>
    <s v="Male"/>
    <n v="2"/>
    <n v="2329.0100000000002"/>
    <n v="2103.29"/>
    <x v="7"/>
    <s v="Q3"/>
    <n v="2023"/>
    <s v="Credit Card"/>
  </r>
  <r>
    <x v="179"/>
    <x v="0"/>
    <x v="4"/>
    <x v="18"/>
    <n v="18"/>
    <n v="3066.27"/>
    <s v="Male"/>
    <n v="1"/>
    <n v="3094.28"/>
    <n v="-28.01"/>
    <x v="3"/>
    <s v="Q2"/>
    <n v="2022"/>
    <s v="UPI"/>
  </r>
  <r>
    <x v="409"/>
    <x v="4"/>
    <x v="2"/>
    <x v="5"/>
    <n v="32"/>
    <n v="8979.24"/>
    <s v="Male"/>
    <n v="3"/>
    <n v="4108.24"/>
    <n v="4871"/>
    <x v="2"/>
    <s v="Q1"/>
    <n v="2022"/>
    <s v="UPI"/>
  </r>
  <r>
    <x v="410"/>
    <x v="2"/>
    <x v="3"/>
    <x v="12"/>
    <n v="33"/>
    <n v="13901.74"/>
    <s v="Male"/>
    <n v="4"/>
    <n v="3080.71"/>
    <n v="10821.03"/>
    <x v="7"/>
    <s v="Q3"/>
    <n v="2023"/>
    <s v="UPI"/>
  </r>
  <r>
    <x v="411"/>
    <x v="1"/>
    <x v="0"/>
    <x v="13"/>
    <n v="18"/>
    <n v="8886.74"/>
    <s v="Male"/>
    <n v="5"/>
    <n v="150.71"/>
    <n v="8736.0300000000007"/>
    <x v="5"/>
    <s v="Q1"/>
    <n v="2022"/>
    <s v="UPI"/>
  </r>
  <r>
    <x v="412"/>
    <x v="0"/>
    <x v="4"/>
    <x v="18"/>
    <n v="44"/>
    <n v="16606.25"/>
    <s v="Female"/>
    <n v="2"/>
    <n v="5384.56"/>
    <n v="11221.69"/>
    <x v="5"/>
    <s v="Q1"/>
    <n v="2022"/>
    <s v="UPI"/>
  </r>
  <r>
    <x v="150"/>
    <x v="3"/>
    <x v="2"/>
    <x v="2"/>
    <n v="25"/>
    <n v="2090.17"/>
    <s v="Female"/>
    <n v="1"/>
    <n v="6146.21"/>
    <n v="-4056.04"/>
    <x v="7"/>
    <s v="Q3"/>
    <n v="2023"/>
    <s v="COD"/>
  </r>
  <r>
    <x v="410"/>
    <x v="2"/>
    <x v="2"/>
    <x v="7"/>
    <n v="40"/>
    <n v="15182.68"/>
    <s v="Female"/>
    <n v="2"/>
    <n v="7612.41"/>
    <n v="7570.27"/>
    <x v="7"/>
    <s v="Q3"/>
    <n v="2023"/>
    <s v="UPI"/>
  </r>
  <r>
    <x v="165"/>
    <x v="2"/>
    <x v="4"/>
    <x v="10"/>
    <n v="15"/>
    <n v="6592"/>
    <s v="Male"/>
    <n v="1"/>
    <n v="2103.9299999999998"/>
    <n v="4488.07"/>
    <x v="0"/>
    <s v="Q2"/>
    <n v="2022"/>
    <s v="UPI"/>
  </r>
  <r>
    <x v="413"/>
    <x v="2"/>
    <x v="1"/>
    <x v="1"/>
    <n v="29"/>
    <n v="6649.41"/>
    <s v="Female"/>
    <n v="2"/>
    <n v="3343.44"/>
    <n v="3305.97"/>
    <x v="5"/>
    <s v="Q1"/>
    <n v="2023"/>
    <s v="COD"/>
  </r>
  <r>
    <x v="414"/>
    <x v="1"/>
    <x v="4"/>
    <x v="17"/>
    <n v="40"/>
    <n v="12095.54"/>
    <s v="Female"/>
    <n v="2"/>
    <n v="7155.74"/>
    <n v="4939.8"/>
    <x v="6"/>
    <s v="Q4"/>
    <n v="2022"/>
    <s v="Debit Card"/>
  </r>
  <r>
    <x v="415"/>
    <x v="4"/>
    <x v="0"/>
    <x v="8"/>
    <n v="33"/>
    <n v="3183.44"/>
    <s v="Female"/>
    <n v="3"/>
    <n v="3682.59"/>
    <n v="-499.15"/>
    <x v="6"/>
    <s v="Q4"/>
    <n v="2022"/>
    <s v="COD"/>
  </r>
  <r>
    <x v="416"/>
    <x v="4"/>
    <x v="1"/>
    <x v="19"/>
    <n v="36"/>
    <n v="4646.59"/>
    <s v="Female"/>
    <n v="5"/>
    <n v="5945.21"/>
    <n v="-1298.6199999999999"/>
    <x v="2"/>
    <s v="Q1"/>
    <n v="2022"/>
    <s v="COD"/>
  </r>
  <r>
    <x v="74"/>
    <x v="1"/>
    <x v="4"/>
    <x v="6"/>
    <n v="6"/>
    <n v="616.47"/>
    <s v="Male"/>
    <n v="3"/>
    <n v="1205.5999999999999"/>
    <n v="-589.13"/>
    <x v="9"/>
    <s v="Q3"/>
    <n v="2022"/>
    <s v="COD"/>
  </r>
  <r>
    <x v="417"/>
    <x v="4"/>
    <x v="2"/>
    <x v="16"/>
    <n v="18"/>
    <n v="6951.06"/>
    <s v="Female"/>
    <n v="2"/>
    <n v="2441.6"/>
    <n v="4509.46"/>
    <x v="10"/>
    <s v="Q3"/>
    <n v="2022"/>
    <s v="COD"/>
  </r>
  <r>
    <x v="72"/>
    <x v="3"/>
    <x v="0"/>
    <x v="8"/>
    <n v="42"/>
    <n v="8140.37"/>
    <s v="Male"/>
    <n v="3"/>
    <n v="6468.06"/>
    <n v="1672.31"/>
    <x v="1"/>
    <s v="Q1"/>
    <n v="2022"/>
    <s v="COD"/>
  </r>
  <r>
    <x v="214"/>
    <x v="4"/>
    <x v="0"/>
    <x v="13"/>
    <n v="4"/>
    <n v="1813.18"/>
    <s v="Female"/>
    <n v="3"/>
    <n v="730.13"/>
    <n v="1083.05"/>
    <x v="10"/>
    <s v="Q3"/>
    <n v="2022"/>
    <s v="COD"/>
  </r>
  <r>
    <x v="225"/>
    <x v="3"/>
    <x v="1"/>
    <x v="3"/>
    <n v="5"/>
    <n v="327.7"/>
    <s v="Male"/>
    <n v="1"/>
    <n v="39.950000000000003"/>
    <n v="287.75"/>
    <x v="9"/>
    <s v="Q3"/>
    <n v="2023"/>
    <s v="COD"/>
  </r>
  <r>
    <x v="410"/>
    <x v="1"/>
    <x v="4"/>
    <x v="6"/>
    <n v="22"/>
    <n v="4104.29"/>
    <s v="Female"/>
    <n v="5"/>
    <n v="1184.5899999999999"/>
    <n v="2919.7"/>
    <x v="7"/>
    <s v="Q3"/>
    <n v="2023"/>
    <s v="COD"/>
  </r>
  <r>
    <x v="418"/>
    <x v="1"/>
    <x v="2"/>
    <x v="16"/>
    <n v="8"/>
    <n v="2365.9499999999998"/>
    <s v="Female"/>
    <n v="2"/>
    <n v="1739.93"/>
    <n v="626.02"/>
    <x v="6"/>
    <s v="Q4"/>
    <n v="2022"/>
    <s v="Credit Card"/>
  </r>
  <r>
    <x v="419"/>
    <x v="3"/>
    <x v="1"/>
    <x v="9"/>
    <n v="24"/>
    <n v="6960.25"/>
    <s v="Female"/>
    <n v="5"/>
    <n v="4632.0200000000004"/>
    <n v="2328.23"/>
    <x v="6"/>
    <s v="Q4"/>
    <n v="2023"/>
    <s v="UPI"/>
  </r>
  <r>
    <x v="420"/>
    <x v="0"/>
    <x v="0"/>
    <x v="8"/>
    <n v="26"/>
    <n v="3721.09"/>
    <s v="Female"/>
    <n v="1"/>
    <n v="2638.74"/>
    <n v="1082.3499999999999"/>
    <x v="4"/>
    <s v="Q2"/>
    <n v="2023"/>
    <s v="COD"/>
  </r>
  <r>
    <x v="421"/>
    <x v="2"/>
    <x v="1"/>
    <x v="3"/>
    <n v="35"/>
    <n v="14277.75"/>
    <s v="Female"/>
    <n v="2"/>
    <n v="1603.43"/>
    <n v="12674.32"/>
    <x v="11"/>
    <s v="Q4"/>
    <n v="2022"/>
    <s v="Debit Card"/>
  </r>
  <r>
    <x v="69"/>
    <x v="4"/>
    <x v="4"/>
    <x v="18"/>
    <n v="45"/>
    <n v="14800.23"/>
    <s v="Female"/>
    <n v="4"/>
    <n v="8782.17"/>
    <n v="6018.06"/>
    <x v="3"/>
    <s v="Q2"/>
    <n v="2023"/>
    <s v="UPI"/>
  </r>
  <r>
    <x v="311"/>
    <x v="3"/>
    <x v="3"/>
    <x v="15"/>
    <n v="17"/>
    <n v="8227.52"/>
    <s v="Female"/>
    <n v="2"/>
    <n v="489.44"/>
    <n v="7738.08"/>
    <x v="10"/>
    <s v="Q3"/>
    <n v="2023"/>
    <s v="UPI"/>
  </r>
  <r>
    <x v="300"/>
    <x v="0"/>
    <x v="2"/>
    <x v="2"/>
    <n v="26"/>
    <n v="8690.7099999999991"/>
    <s v="Female"/>
    <n v="5"/>
    <n v="3710.38"/>
    <n v="4980.33"/>
    <x v="0"/>
    <s v="Q2"/>
    <n v="2023"/>
    <s v="Debit Card"/>
  </r>
  <r>
    <x v="422"/>
    <x v="0"/>
    <x v="3"/>
    <x v="4"/>
    <n v="45"/>
    <n v="10391.02"/>
    <s v="Male"/>
    <n v="4"/>
    <n v="9272.49"/>
    <n v="1118.53"/>
    <x v="4"/>
    <s v="Q2"/>
    <n v="2022"/>
    <s v="Debit Card"/>
  </r>
  <r>
    <x v="423"/>
    <x v="4"/>
    <x v="3"/>
    <x v="11"/>
    <n v="19"/>
    <n v="1883.04"/>
    <s v="Male"/>
    <n v="4"/>
    <n v="2386.37"/>
    <n v="-503.33"/>
    <x v="7"/>
    <s v="Q3"/>
    <n v="2023"/>
    <s v="COD"/>
  </r>
  <r>
    <x v="424"/>
    <x v="4"/>
    <x v="0"/>
    <x v="14"/>
    <n v="30"/>
    <n v="12799.01"/>
    <s v="Female"/>
    <n v="1"/>
    <n v="4359.5"/>
    <n v="8439.51"/>
    <x v="2"/>
    <s v="Q1"/>
    <n v="2022"/>
    <s v="COD"/>
  </r>
  <r>
    <x v="143"/>
    <x v="4"/>
    <x v="2"/>
    <x v="2"/>
    <n v="10"/>
    <n v="2931"/>
    <s v="Male"/>
    <n v="5"/>
    <n v="1330.81"/>
    <n v="1600.19"/>
    <x v="9"/>
    <s v="Q3"/>
    <n v="2023"/>
    <s v="COD"/>
  </r>
  <r>
    <x v="392"/>
    <x v="3"/>
    <x v="3"/>
    <x v="15"/>
    <n v="43"/>
    <n v="6064.36"/>
    <s v="Female"/>
    <n v="4"/>
    <n v="3978.53"/>
    <n v="2085.83"/>
    <x v="4"/>
    <s v="Q2"/>
    <n v="2023"/>
    <s v="EMI"/>
  </r>
  <r>
    <x v="383"/>
    <x v="3"/>
    <x v="3"/>
    <x v="11"/>
    <n v="14"/>
    <n v="2804.74"/>
    <s v="Female"/>
    <n v="2"/>
    <n v="1820.7"/>
    <n v="984.04"/>
    <x v="8"/>
    <s v="Q4"/>
    <n v="2022"/>
    <s v="COD"/>
  </r>
  <r>
    <x v="425"/>
    <x v="3"/>
    <x v="0"/>
    <x v="8"/>
    <n v="27"/>
    <n v="8737.6299999999992"/>
    <s v="Female"/>
    <n v="2"/>
    <n v="2167.3000000000002"/>
    <n v="6570.33"/>
    <x v="11"/>
    <s v="Q4"/>
    <n v="2022"/>
    <s v="COD"/>
  </r>
  <r>
    <x v="426"/>
    <x v="1"/>
    <x v="0"/>
    <x v="13"/>
    <n v="21"/>
    <n v="341.82"/>
    <s v="Female"/>
    <n v="2"/>
    <n v="4636.8"/>
    <n v="-4294.9799999999996"/>
    <x v="3"/>
    <s v="Q2"/>
    <n v="2023"/>
    <s v="COD"/>
  </r>
  <r>
    <x v="419"/>
    <x v="2"/>
    <x v="2"/>
    <x v="16"/>
    <n v="42"/>
    <n v="10196.1"/>
    <s v="Female"/>
    <n v="4"/>
    <n v="10490.24"/>
    <n v="-294.14"/>
    <x v="6"/>
    <s v="Q4"/>
    <n v="2023"/>
    <s v="EMI"/>
  </r>
  <r>
    <x v="272"/>
    <x v="2"/>
    <x v="3"/>
    <x v="15"/>
    <n v="15"/>
    <n v="5410.28"/>
    <s v="Male"/>
    <n v="4"/>
    <n v="2815.63"/>
    <n v="2594.65"/>
    <x v="10"/>
    <s v="Q3"/>
    <n v="2023"/>
    <s v="COD"/>
  </r>
  <r>
    <x v="219"/>
    <x v="3"/>
    <x v="0"/>
    <x v="13"/>
    <n v="28"/>
    <n v="13548.86"/>
    <s v="Male"/>
    <n v="4"/>
    <n v="6007.64"/>
    <n v="7541.22"/>
    <x v="6"/>
    <s v="Q4"/>
    <n v="2023"/>
    <s v="COD"/>
  </r>
  <r>
    <x v="427"/>
    <x v="0"/>
    <x v="3"/>
    <x v="12"/>
    <n v="38"/>
    <n v="9334.93"/>
    <s v="Male"/>
    <n v="4"/>
    <n v="8589.1299999999992"/>
    <n v="745.8"/>
    <x v="5"/>
    <s v="Q1"/>
    <n v="2022"/>
    <s v="COD"/>
  </r>
  <r>
    <x v="221"/>
    <x v="2"/>
    <x v="3"/>
    <x v="4"/>
    <n v="41"/>
    <n v="6805.98"/>
    <s v="Male"/>
    <n v="2"/>
    <n v="5379.16"/>
    <n v="1426.82"/>
    <x v="3"/>
    <s v="Q2"/>
    <n v="2023"/>
    <s v="EMI"/>
  </r>
  <r>
    <x v="428"/>
    <x v="2"/>
    <x v="1"/>
    <x v="9"/>
    <n v="39"/>
    <n v="14974.48"/>
    <s v="Female"/>
    <n v="5"/>
    <n v="6765.98"/>
    <n v="8208.5"/>
    <x v="4"/>
    <s v="Q2"/>
    <n v="2022"/>
    <s v="COD"/>
  </r>
  <r>
    <x v="361"/>
    <x v="4"/>
    <x v="4"/>
    <x v="10"/>
    <n v="47"/>
    <n v="473.22"/>
    <s v="Male"/>
    <n v="4"/>
    <n v="594.80999999999995"/>
    <n v="-121.59"/>
    <x v="8"/>
    <s v="Q4"/>
    <n v="2023"/>
    <s v="COD"/>
  </r>
  <r>
    <x v="370"/>
    <x v="4"/>
    <x v="3"/>
    <x v="15"/>
    <n v="15"/>
    <n v="6254.53"/>
    <s v="Male"/>
    <n v="1"/>
    <n v="2068.39"/>
    <n v="4186.1400000000003"/>
    <x v="4"/>
    <s v="Q2"/>
    <n v="2022"/>
    <s v="UPI"/>
  </r>
  <r>
    <x v="429"/>
    <x v="2"/>
    <x v="1"/>
    <x v="1"/>
    <n v="16"/>
    <n v="5208.91"/>
    <s v="Male"/>
    <n v="5"/>
    <n v="2330.1999999999998"/>
    <n v="2878.71"/>
    <x v="0"/>
    <s v="Q2"/>
    <n v="2022"/>
    <s v="COD"/>
  </r>
  <r>
    <x v="45"/>
    <x v="2"/>
    <x v="3"/>
    <x v="15"/>
    <n v="13"/>
    <n v="5152.55"/>
    <s v="Female"/>
    <n v="5"/>
    <n v="1101.3599999999999"/>
    <n v="4051.19"/>
    <x v="10"/>
    <s v="Q3"/>
    <n v="2023"/>
    <s v="COD"/>
  </r>
  <r>
    <x v="200"/>
    <x v="0"/>
    <x v="3"/>
    <x v="15"/>
    <n v="36"/>
    <n v="2404.2399999999998"/>
    <s v="Female"/>
    <n v="2"/>
    <n v="4255.17"/>
    <n v="-1850.93"/>
    <x v="5"/>
    <s v="Q1"/>
    <n v="2022"/>
    <s v="COD"/>
  </r>
  <r>
    <x v="163"/>
    <x v="0"/>
    <x v="2"/>
    <x v="2"/>
    <n v="34"/>
    <n v="5325.46"/>
    <s v="Female"/>
    <n v="4"/>
    <n v="3004.23"/>
    <n v="2321.23"/>
    <x v="1"/>
    <s v="Q1"/>
    <n v="2022"/>
    <s v="COD"/>
  </r>
  <r>
    <x v="363"/>
    <x v="3"/>
    <x v="0"/>
    <x v="8"/>
    <n v="33"/>
    <n v="5030.46"/>
    <s v="Male"/>
    <n v="4"/>
    <n v="5347.83"/>
    <n v="-317.37"/>
    <x v="0"/>
    <s v="Q2"/>
    <n v="2023"/>
    <s v="EMI"/>
  </r>
  <r>
    <x v="430"/>
    <x v="3"/>
    <x v="3"/>
    <x v="15"/>
    <n v="42"/>
    <n v="20321.02"/>
    <s v="Male"/>
    <n v="3"/>
    <n v="9698.5"/>
    <n v="10622.52"/>
    <x v="5"/>
    <s v="Q1"/>
    <n v="2023"/>
    <s v="EMI"/>
  </r>
  <r>
    <x v="223"/>
    <x v="2"/>
    <x v="0"/>
    <x v="13"/>
    <n v="41"/>
    <n v="7358.74"/>
    <s v="Female"/>
    <n v="4"/>
    <n v="8420.2099999999991"/>
    <n v="-1061.47"/>
    <x v="8"/>
    <s v="Q4"/>
    <n v="2022"/>
    <s v="COD"/>
  </r>
  <r>
    <x v="431"/>
    <x v="2"/>
    <x v="1"/>
    <x v="19"/>
    <n v="20"/>
    <n v="4518.74"/>
    <s v="Male"/>
    <n v="1"/>
    <n v="1024.73"/>
    <n v="3494.01"/>
    <x v="6"/>
    <s v="Q4"/>
    <n v="2022"/>
    <s v="COD"/>
  </r>
  <r>
    <x v="268"/>
    <x v="2"/>
    <x v="2"/>
    <x v="16"/>
    <n v="18"/>
    <n v="7501.52"/>
    <s v="Male"/>
    <n v="4"/>
    <n v="2235.9499999999998"/>
    <n v="5265.57"/>
    <x v="11"/>
    <s v="Q4"/>
    <n v="2022"/>
    <s v="UPI"/>
  </r>
  <r>
    <x v="89"/>
    <x v="3"/>
    <x v="3"/>
    <x v="12"/>
    <n v="25"/>
    <n v="5224"/>
    <s v="Male"/>
    <n v="3"/>
    <n v="3009.3"/>
    <n v="2214.6999999999998"/>
    <x v="8"/>
    <s v="Q4"/>
    <n v="2022"/>
    <s v="COD"/>
  </r>
  <r>
    <x v="422"/>
    <x v="1"/>
    <x v="4"/>
    <x v="18"/>
    <n v="24"/>
    <n v="10605.65"/>
    <s v="Male"/>
    <n v="4"/>
    <n v="1236.1400000000001"/>
    <n v="9369.51"/>
    <x v="4"/>
    <s v="Q2"/>
    <n v="2022"/>
    <s v="COD"/>
  </r>
  <r>
    <x v="379"/>
    <x v="2"/>
    <x v="3"/>
    <x v="12"/>
    <n v="22"/>
    <n v="2817.42"/>
    <s v="Male"/>
    <n v="4"/>
    <n v="5256.7"/>
    <n v="-2439.2800000000002"/>
    <x v="10"/>
    <s v="Q3"/>
    <n v="2023"/>
    <s v="EMI"/>
  </r>
  <r>
    <x v="169"/>
    <x v="1"/>
    <x v="2"/>
    <x v="16"/>
    <n v="18"/>
    <n v="3574.96"/>
    <s v="Female"/>
    <n v="2"/>
    <n v="2159.59"/>
    <n v="1415.37"/>
    <x v="7"/>
    <s v="Q3"/>
    <n v="2022"/>
    <s v="COD"/>
  </r>
  <r>
    <x v="432"/>
    <x v="4"/>
    <x v="1"/>
    <x v="19"/>
    <n v="24"/>
    <n v="8149.93"/>
    <s v="Female"/>
    <n v="2"/>
    <n v="598.85"/>
    <n v="7551.08"/>
    <x v="7"/>
    <s v="Q3"/>
    <n v="2023"/>
    <s v="COD"/>
  </r>
  <r>
    <x v="433"/>
    <x v="3"/>
    <x v="4"/>
    <x v="17"/>
    <n v="27"/>
    <n v="12207.23"/>
    <s v="Male"/>
    <n v="2"/>
    <n v="6726.36"/>
    <n v="5480.87"/>
    <x v="5"/>
    <s v="Q1"/>
    <n v="2022"/>
    <s v="UPI"/>
  </r>
  <r>
    <x v="352"/>
    <x v="4"/>
    <x v="0"/>
    <x v="8"/>
    <n v="32"/>
    <n v="7062.28"/>
    <s v="Male"/>
    <n v="2"/>
    <n v="5450.48"/>
    <n v="1611.8"/>
    <x v="9"/>
    <s v="Q3"/>
    <n v="2023"/>
    <s v="EMI"/>
  </r>
  <r>
    <x v="434"/>
    <x v="2"/>
    <x v="3"/>
    <x v="11"/>
    <n v="21"/>
    <n v="8169.97"/>
    <s v="Female"/>
    <n v="2"/>
    <n v="1156.96"/>
    <n v="7013.01"/>
    <x v="7"/>
    <s v="Q3"/>
    <n v="2023"/>
    <s v="EMI"/>
  </r>
  <r>
    <x v="434"/>
    <x v="3"/>
    <x v="3"/>
    <x v="11"/>
    <n v="45"/>
    <n v="22188.7"/>
    <s v="Male"/>
    <n v="4"/>
    <n v="8047.71"/>
    <n v="14140.99"/>
    <x v="7"/>
    <s v="Q3"/>
    <n v="2023"/>
    <s v="COD"/>
  </r>
  <r>
    <x v="14"/>
    <x v="4"/>
    <x v="4"/>
    <x v="17"/>
    <n v="4"/>
    <n v="1210.55"/>
    <s v="Female"/>
    <n v="3"/>
    <n v="88.78"/>
    <n v="1121.77"/>
    <x v="1"/>
    <s v="Q1"/>
    <n v="2023"/>
    <s v="EMI"/>
  </r>
  <r>
    <x v="357"/>
    <x v="0"/>
    <x v="4"/>
    <x v="18"/>
    <n v="32"/>
    <n v="14105.36"/>
    <s v="Female"/>
    <n v="2"/>
    <n v="2857.72"/>
    <n v="11247.64"/>
    <x v="4"/>
    <s v="Q2"/>
    <n v="2023"/>
    <s v="COD"/>
  </r>
  <r>
    <x v="435"/>
    <x v="3"/>
    <x v="3"/>
    <x v="11"/>
    <n v="7"/>
    <n v="3251.33"/>
    <s v="Female"/>
    <n v="3"/>
    <n v="1302.3499999999999"/>
    <n v="1948.98"/>
    <x v="8"/>
    <s v="Q4"/>
    <n v="2022"/>
    <s v="UPI"/>
  </r>
  <r>
    <x v="156"/>
    <x v="1"/>
    <x v="4"/>
    <x v="10"/>
    <n v="18"/>
    <n v="8870.85"/>
    <s v="Female"/>
    <n v="5"/>
    <n v="4022.1"/>
    <n v="4848.75"/>
    <x v="6"/>
    <s v="Q4"/>
    <n v="2023"/>
    <s v="COD"/>
  </r>
  <r>
    <x v="194"/>
    <x v="2"/>
    <x v="1"/>
    <x v="9"/>
    <n v="4"/>
    <n v="1118.33"/>
    <s v="Male"/>
    <n v="2"/>
    <n v="101.84"/>
    <n v="1016.49"/>
    <x v="6"/>
    <s v="Q4"/>
    <n v="2022"/>
    <s v="EMI"/>
  </r>
  <r>
    <x v="436"/>
    <x v="3"/>
    <x v="1"/>
    <x v="19"/>
    <n v="45"/>
    <n v="5584.11"/>
    <s v="Male"/>
    <n v="5"/>
    <n v="10181.040000000001"/>
    <n v="-4596.93"/>
    <x v="5"/>
    <s v="Q1"/>
    <n v="2024"/>
    <s v="COD"/>
  </r>
  <r>
    <x v="345"/>
    <x v="2"/>
    <x v="0"/>
    <x v="0"/>
    <n v="35"/>
    <n v="9292.0499999999993"/>
    <s v="Female"/>
    <n v="4"/>
    <n v="446.85"/>
    <n v="8845.2000000000007"/>
    <x v="4"/>
    <s v="Q2"/>
    <n v="2023"/>
    <s v="UPI"/>
  </r>
  <r>
    <x v="437"/>
    <x v="2"/>
    <x v="1"/>
    <x v="3"/>
    <n v="3"/>
    <n v="641.91999999999996"/>
    <s v="Male"/>
    <n v="1"/>
    <n v="20.059999999999999"/>
    <n v="621.86"/>
    <x v="3"/>
    <s v="Q2"/>
    <n v="2023"/>
    <s v="EMI"/>
  </r>
  <r>
    <x v="438"/>
    <x v="0"/>
    <x v="3"/>
    <x v="12"/>
    <n v="25"/>
    <n v="6475.4"/>
    <s v="Female"/>
    <n v="2"/>
    <n v="178.17"/>
    <n v="6297.23"/>
    <x v="5"/>
    <s v="Q1"/>
    <n v="2022"/>
    <s v="UPI"/>
  </r>
  <r>
    <x v="409"/>
    <x v="3"/>
    <x v="0"/>
    <x v="0"/>
    <n v="34"/>
    <n v="9075.7900000000009"/>
    <s v="Male"/>
    <n v="3"/>
    <n v="2561.06"/>
    <n v="6514.73"/>
    <x v="2"/>
    <s v="Q1"/>
    <n v="2022"/>
    <s v="EMI"/>
  </r>
  <r>
    <x v="439"/>
    <x v="1"/>
    <x v="4"/>
    <x v="10"/>
    <n v="30"/>
    <n v="3562.66"/>
    <s v="Female"/>
    <n v="1"/>
    <n v="1307.24"/>
    <n v="2255.42"/>
    <x v="2"/>
    <s v="Q1"/>
    <n v="2022"/>
    <s v="EMI"/>
  </r>
  <r>
    <x v="440"/>
    <x v="3"/>
    <x v="1"/>
    <x v="19"/>
    <n v="2"/>
    <n v="767.78"/>
    <s v="Male"/>
    <n v="3"/>
    <n v="211.93"/>
    <n v="555.85"/>
    <x v="11"/>
    <s v="Q4"/>
    <n v="2023"/>
    <s v="COD"/>
  </r>
  <r>
    <x v="441"/>
    <x v="2"/>
    <x v="4"/>
    <x v="10"/>
    <n v="3"/>
    <n v="197.66"/>
    <s v="Female"/>
    <n v="2"/>
    <n v="565.28"/>
    <n v="-367.62"/>
    <x v="8"/>
    <s v="Q4"/>
    <n v="2022"/>
    <s v="COD"/>
  </r>
  <r>
    <x v="333"/>
    <x v="2"/>
    <x v="2"/>
    <x v="16"/>
    <n v="47"/>
    <n v="16956.66"/>
    <s v="Male"/>
    <n v="3"/>
    <n v="6684.24"/>
    <n v="10272.42"/>
    <x v="0"/>
    <s v="Q2"/>
    <n v="2023"/>
    <s v="UPI"/>
  </r>
  <r>
    <x v="442"/>
    <x v="4"/>
    <x v="4"/>
    <x v="6"/>
    <n v="13"/>
    <n v="5315.32"/>
    <s v="Male"/>
    <n v="5"/>
    <n v="2149.5100000000002"/>
    <n v="3165.81"/>
    <x v="2"/>
    <s v="Q1"/>
    <n v="2023"/>
    <s v="EMI"/>
  </r>
  <r>
    <x v="393"/>
    <x v="4"/>
    <x v="1"/>
    <x v="9"/>
    <n v="49"/>
    <n v="14255.9"/>
    <s v="Female"/>
    <n v="4"/>
    <n v="10577.63"/>
    <n v="3678.27"/>
    <x v="10"/>
    <s v="Q3"/>
    <n v="2023"/>
    <s v="COD"/>
  </r>
  <r>
    <x v="443"/>
    <x v="0"/>
    <x v="2"/>
    <x v="7"/>
    <n v="40"/>
    <n v="8647.3799999999992"/>
    <s v="Female"/>
    <n v="3"/>
    <n v="1084.03"/>
    <n v="7563.35"/>
    <x v="6"/>
    <s v="Q4"/>
    <n v="2022"/>
    <s v="UPI"/>
  </r>
  <r>
    <x v="444"/>
    <x v="3"/>
    <x v="0"/>
    <x v="8"/>
    <n v="28"/>
    <n v="5526.46"/>
    <s v="Female"/>
    <n v="5"/>
    <n v="6618.43"/>
    <n v="-1091.97"/>
    <x v="7"/>
    <s v="Q3"/>
    <n v="2023"/>
    <s v="UPI"/>
  </r>
  <r>
    <x v="331"/>
    <x v="2"/>
    <x v="4"/>
    <x v="10"/>
    <n v="19"/>
    <n v="8623.44"/>
    <s v="Male"/>
    <n v="1"/>
    <n v="347.51"/>
    <n v="8275.93"/>
    <x v="8"/>
    <s v="Q4"/>
    <n v="2022"/>
    <s v="UPI"/>
  </r>
  <r>
    <x v="425"/>
    <x v="1"/>
    <x v="0"/>
    <x v="14"/>
    <n v="6"/>
    <n v="741.49"/>
    <s v="Female"/>
    <n v="3"/>
    <n v="993.34"/>
    <n v="-251.85"/>
    <x v="11"/>
    <s v="Q4"/>
    <n v="2022"/>
    <s v="Debit Card"/>
  </r>
  <r>
    <x v="304"/>
    <x v="4"/>
    <x v="4"/>
    <x v="10"/>
    <n v="40"/>
    <n v="10706.53"/>
    <s v="Male"/>
    <n v="4"/>
    <n v="4982.9399999999996"/>
    <n v="5723.59"/>
    <x v="6"/>
    <s v="Q4"/>
    <n v="2022"/>
    <s v="COD"/>
  </r>
  <r>
    <x v="445"/>
    <x v="3"/>
    <x v="1"/>
    <x v="3"/>
    <n v="28"/>
    <n v="13079.72"/>
    <s v="Female"/>
    <n v="2"/>
    <n v="3697.13"/>
    <n v="9382.59"/>
    <x v="4"/>
    <s v="Q2"/>
    <n v="2023"/>
    <s v="COD"/>
  </r>
  <r>
    <x v="107"/>
    <x v="1"/>
    <x v="1"/>
    <x v="1"/>
    <n v="29"/>
    <n v="8185.88"/>
    <s v="Female"/>
    <n v="5"/>
    <n v="3129.8"/>
    <n v="5056.08"/>
    <x v="11"/>
    <s v="Q4"/>
    <n v="2022"/>
    <s v="COD"/>
  </r>
  <r>
    <x v="385"/>
    <x v="2"/>
    <x v="4"/>
    <x v="10"/>
    <n v="27"/>
    <n v="5839.13"/>
    <s v="Female"/>
    <n v="4"/>
    <n v="1689.63"/>
    <n v="4149.5"/>
    <x v="0"/>
    <s v="Q2"/>
    <n v="2023"/>
    <s v="COD"/>
  </r>
  <r>
    <x v="446"/>
    <x v="4"/>
    <x v="0"/>
    <x v="8"/>
    <n v="14"/>
    <n v="212.26"/>
    <s v="Female"/>
    <n v="2"/>
    <n v="2354.11"/>
    <n v="-2141.85"/>
    <x v="3"/>
    <s v="Q2"/>
    <n v="2023"/>
    <s v="UPI"/>
  </r>
  <r>
    <x v="373"/>
    <x v="4"/>
    <x v="1"/>
    <x v="3"/>
    <n v="11"/>
    <n v="1665.39"/>
    <s v="Female"/>
    <n v="5"/>
    <n v="491.84"/>
    <n v="1173.55"/>
    <x v="0"/>
    <s v="Q2"/>
    <n v="2023"/>
    <s v="COD"/>
  </r>
  <r>
    <x v="447"/>
    <x v="4"/>
    <x v="1"/>
    <x v="3"/>
    <n v="26"/>
    <n v="7225.27"/>
    <s v="Female"/>
    <n v="2"/>
    <n v="2148.11"/>
    <n v="5077.16"/>
    <x v="0"/>
    <s v="Q2"/>
    <n v="2023"/>
    <s v="Debit Card"/>
  </r>
  <r>
    <x v="330"/>
    <x v="3"/>
    <x v="1"/>
    <x v="1"/>
    <n v="18"/>
    <n v="5765.24"/>
    <s v="Female"/>
    <n v="5"/>
    <n v="3269.84"/>
    <n v="2495.4"/>
    <x v="0"/>
    <s v="Q2"/>
    <n v="2022"/>
    <s v="UPI"/>
  </r>
  <r>
    <x v="448"/>
    <x v="0"/>
    <x v="0"/>
    <x v="0"/>
    <n v="29"/>
    <n v="2374.6799999999998"/>
    <s v="Female"/>
    <n v="4"/>
    <n v="7041.77"/>
    <n v="-4667.09"/>
    <x v="3"/>
    <s v="Q2"/>
    <n v="2022"/>
    <s v="COD"/>
  </r>
  <r>
    <x v="195"/>
    <x v="0"/>
    <x v="1"/>
    <x v="19"/>
    <n v="43"/>
    <n v="1490.92"/>
    <s v="Female"/>
    <n v="4"/>
    <n v="7103.22"/>
    <n v="-5612.3"/>
    <x v="3"/>
    <s v="Q2"/>
    <n v="2023"/>
    <s v="Debit Card"/>
  </r>
  <r>
    <x v="449"/>
    <x v="2"/>
    <x v="3"/>
    <x v="15"/>
    <n v="42"/>
    <n v="7199.97"/>
    <s v="Male"/>
    <n v="4"/>
    <n v="8864.5"/>
    <n v="-1664.53"/>
    <x v="6"/>
    <s v="Q4"/>
    <n v="2023"/>
    <s v="UPI"/>
  </r>
  <r>
    <x v="167"/>
    <x v="0"/>
    <x v="0"/>
    <x v="13"/>
    <n v="22"/>
    <n v="7856.15"/>
    <s v="Male"/>
    <n v="1"/>
    <n v="2179.4299999999998"/>
    <n v="5676.72"/>
    <x v="7"/>
    <s v="Q3"/>
    <n v="2022"/>
    <s v="COD"/>
  </r>
  <r>
    <x v="100"/>
    <x v="1"/>
    <x v="2"/>
    <x v="5"/>
    <n v="45"/>
    <n v="9964.4599999999991"/>
    <s v="Male"/>
    <n v="3"/>
    <n v="4105.8900000000003"/>
    <n v="5858.57"/>
    <x v="7"/>
    <s v="Q3"/>
    <n v="2022"/>
    <s v="COD"/>
  </r>
  <r>
    <x v="18"/>
    <x v="4"/>
    <x v="2"/>
    <x v="2"/>
    <n v="13"/>
    <n v="2496.0700000000002"/>
    <s v="Male"/>
    <n v="4"/>
    <n v="3213.42"/>
    <n v="-717.35"/>
    <x v="7"/>
    <s v="Q3"/>
    <n v="2022"/>
    <s v="Debit Card"/>
  </r>
  <r>
    <x v="114"/>
    <x v="0"/>
    <x v="2"/>
    <x v="7"/>
    <n v="12"/>
    <n v="2395.42"/>
    <s v="Female"/>
    <n v="1"/>
    <n v="2969.16"/>
    <n v="-573.74"/>
    <x v="11"/>
    <s v="Q4"/>
    <n v="2023"/>
    <s v="COD"/>
  </r>
  <r>
    <x v="450"/>
    <x v="2"/>
    <x v="1"/>
    <x v="9"/>
    <n v="29"/>
    <n v="13018.9"/>
    <s v="Female"/>
    <n v="4"/>
    <n v="5623.93"/>
    <n v="7394.97"/>
    <x v="0"/>
    <s v="Q2"/>
    <n v="2022"/>
    <s v="COD"/>
  </r>
  <r>
    <x v="451"/>
    <x v="2"/>
    <x v="4"/>
    <x v="10"/>
    <n v="37"/>
    <n v="10796.88"/>
    <s v="Female"/>
    <n v="1"/>
    <n v="4220.4799999999996"/>
    <n v="6576.4"/>
    <x v="4"/>
    <s v="Q2"/>
    <n v="2022"/>
    <s v="COD"/>
  </r>
  <r>
    <x v="125"/>
    <x v="1"/>
    <x v="2"/>
    <x v="2"/>
    <n v="47"/>
    <n v="8377.2099999999991"/>
    <s v="Male"/>
    <n v="4"/>
    <n v="1532.22"/>
    <n v="6844.99"/>
    <x v="1"/>
    <s v="Q1"/>
    <n v="2022"/>
    <s v="COD"/>
  </r>
  <r>
    <x v="452"/>
    <x v="0"/>
    <x v="4"/>
    <x v="6"/>
    <n v="41"/>
    <n v="19912.77"/>
    <s v="Male"/>
    <n v="5"/>
    <n v="8029.84"/>
    <n v="11882.93"/>
    <x v="0"/>
    <s v="Q2"/>
    <n v="2023"/>
    <s v="UPI"/>
  </r>
  <r>
    <x v="109"/>
    <x v="4"/>
    <x v="3"/>
    <x v="15"/>
    <n v="16"/>
    <n v="3572.08"/>
    <s v="Female"/>
    <n v="4"/>
    <n v="1244.05"/>
    <n v="2328.0300000000002"/>
    <x v="10"/>
    <s v="Q3"/>
    <n v="2022"/>
    <s v="UPI"/>
  </r>
  <r>
    <x v="91"/>
    <x v="2"/>
    <x v="2"/>
    <x v="2"/>
    <n v="11"/>
    <n v="4542.09"/>
    <s v="Female"/>
    <n v="1"/>
    <n v="1073.44"/>
    <n v="3468.65"/>
    <x v="8"/>
    <s v="Q4"/>
    <n v="2022"/>
    <s v="COD"/>
  </r>
  <r>
    <x v="430"/>
    <x v="2"/>
    <x v="4"/>
    <x v="10"/>
    <n v="12"/>
    <n v="4333.3"/>
    <s v="Female"/>
    <n v="5"/>
    <n v="2328.21"/>
    <n v="2005.09"/>
    <x v="5"/>
    <s v="Q1"/>
    <n v="2023"/>
    <s v="COD"/>
  </r>
  <r>
    <x v="185"/>
    <x v="3"/>
    <x v="3"/>
    <x v="12"/>
    <n v="9"/>
    <n v="3272.36"/>
    <s v="Female"/>
    <n v="1"/>
    <n v="2248.6"/>
    <n v="1023.76"/>
    <x v="4"/>
    <s v="Q2"/>
    <n v="2023"/>
    <s v="COD"/>
  </r>
  <r>
    <x v="204"/>
    <x v="1"/>
    <x v="1"/>
    <x v="3"/>
    <n v="35"/>
    <n v="17246.21"/>
    <s v="Female"/>
    <n v="2"/>
    <n v="5490.5"/>
    <n v="11755.71"/>
    <x v="8"/>
    <s v="Q4"/>
    <n v="2022"/>
    <s v="COD"/>
  </r>
  <r>
    <x v="453"/>
    <x v="4"/>
    <x v="3"/>
    <x v="4"/>
    <n v="20"/>
    <n v="6372.66"/>
    <s v="Female"/>
    <n v="2"/>
    <n v="4158.78"/>
    <n v="2213.88"/>
    <x v="9"/>
    <s v="Q3"/>
    <n v="2022"/>
    <s v="COD"/>
  </r>
  <r>
    <x v="305"/>
    <x v="4"/>
    <x v="2"/>
    <x v="16"/>
    <n v="49"/>
    <n v="23130.78"/>
    <s v="Female"/>
    <n v="2"/>
    <n v="6582.97"/>
    <n v="16547.810000000001"/>
    <x v="11"/>
    <s v="Q4"/>
    <n v="2022"/>
    <s v="Debit Card"/>
  </r>
  <r>
    <x v="377"/>
    <x v="4"/>
    <x v="2"/>
    <x v="2"/>
    <n v="17"/>
    <n v="6167.03"/>
    <s v="Female"/>
    <n v="5"/>
    <n v="3474.77"/>
    <n v="2692.26"/>
    <x v="8"/>
    <s v="Q4"/>
    <n v="2022"/>
    <s v="UPI"/>
  </r>
  <r>
    <x v="314"/>
    <x v="3"/>
    <x v="1"/>
    <x v="1"/>
    <n v="18"/>
    <n v="7384.05"/>
    <s v="Female"/>
    <n v="2"/>
    <n v="2723.95"/>
    <n v="4660.1000000000004"/>
    <x v="10"/>
    <s v="Q3"/>
    <n v="2022"/>
    <s v="COD"/>
  </r>
  <r>
    <x v="454"/>
    <x v="4"/>
    <x v="0"/>
    <x v="8"/>
    <n v="7"/>
    <n v="766.28"/>
    <s v="Male"/>
    <n v="5"/>
    <n v="50.56"/>
    <n v="715.72"/>
    <x v="3"/>
    <s v="Q2"/>
    <n v="2022"/>
    <s v="UPI"/>
  </r>
  <r>
    <x v="79"/>
    <x v="2"/>
    <x v="1"/>
    <x v="19"/>
    <n v="8"/>
    <n v="641.33000000000004"/>
    <s v="Male"/>
    <n v="1"/>
    <n v="1929.86"/>
    <n v="-1288.53"/>
    <x v="9"/>
    <s v="Q3"/>
    <n v="2022"/>
    <s v="COD"/>
  </r>
  <r>
    <x v="455"/>
    <x v="2"/>
    <x v="2"/>
    <x v="7"/>
    <n v="37"/>
    <n v="15698.68"/>
    <s v="Female"/>
    <n v="5"/>
    <n v="408.35"/>
    <n v="15290.33"/>
    <x v="1"/>
    <s v="Q1"/>
    <n v="2022"/>
    <s v="UPI"/>
  </r>
  <r>
    <x v="284"/>
    <x v="0"/>
    <x v="3"/>
    <x v="12"/>
    <n v="38"/>
    <n v="3417.2"/>
    <s v="Female"/>
    <n v="4"/>
    <n v="3805.12"/>
    <n v="-387.92"/>
    <x v="10"/>
    <s v="Q3"/>
    <n v="2023"/>
    <s v="COD"/>
  </r>
  <r>
    <x v="139"/>
    <x v="1"/>
    <x v="4"/>
    <x v="18"/>
    <n v="38"/>
    <n v="7911.73"/>
    <s v="Male"/>
    <n v="2"/>
    <n v="8214.58"/>
    <n v="-302.85000000000002"/>
    <x v="4"/>
    <s v="Q2"/>
    <n v="2023"/>
    <s v="Debit Card"/>
  </r>
  <r>
    <x v="456"/>
    <x v="0"/>
    <x v="1"/>
    <x v="3"/>
    <n v="33"/>
    <n v="2549.46"/>
    <s v="Male"/>
    <n v="1"/>
    <n v="6177.39"/>
    <n v="-3627.93"/>
    <x v="2"/>
    <s v="Q1"/>
    <n v="2023"/>
    <s v="Debit Card"/>
  </r>
  <r>
    <x v="457"/>
    <x v="0"/>
    <x v="3"/>
    <x v="15"/>
    <n v="36"/>
    <n v="9531.73"/>
    <s v="Female"/>
    <n v="1"/>
    <n v="7991.56"/>
    <n v="1540.17"/>
    <x v="0"/>
    <s v="Q2"/>
    <n v="2022"/>
    <s v="COD"/>
  </r>
  <r>
    <x v="56"/>
    <x v="3"/>
    <x v="4"/>
    <x v="17"/>
    <n v="5"/>
    <n v="1071.25"/>
    <s v="Male"/>
    <n v="1"/>
    <n v="1063.0999999999999"/>
    <n v="8.15"/>
    <x v="7"/>
    <s v="Q3"/>
    <n v="2022"/>
    <s v="UPI"/>
  </r>
  <r>
    <x v="183"/>
    <x v="0"/>
    <x v="2"/>
    <x v="2"/>
    <n v="30"/>
    <n v="6835.99"/>
    <s v="Male"/>
    <n v="4"/>
    <n v="5657.65"/>
    <n v="1178.3399999999999"/>
    <x v="3"/>
    <s v="Q2"/>
    <n v="2023"/>
    <s v="UPI"/>
  </r>
  <r>
    <x v="158"/>
    <x v="4"/>
    <x v="3"/>
    <x v="4"/>
    <n v="15"/>
    <n v="2921"/>
    <s v="Male"/>
    <n v="1"/>
    <n v="100.31"/>
    <n v="2820.69"/>
    <x v="4"/>
    <s v="Q2"/>
    <n v="2023"/>
    <s v="COD"/>
  </r>
  <r>
    <x v="458"/>
    <x v="2"/>
    <x v="4"/>
    <x v="6"/>
    <n v="20"/>
    <n v="4070.52"/>
    <s v="Male"/>
    <n v="2"/>
    <n v="939.07"/>
    <n v="3131.45"/>
    <x v="8"/>
    <s v="Q4"/>
    <n v="2022"/>
    <s v="COD"/>
  </r>
  <r>
    <x v="9"/>
    <x v="3"/>
    <x v="3"/>
    <x v="11"/>
    <n v="30"/>
    <n v="9780.7000000000007"/>
    <s v="Female"/>
    <n v="1"/>
    <n v="4621.88"/>
    <n v="5158.82"/>
    <x v="6"/>
    <s v="Q4"/>
    <n v="2023"/>
    <s v="UPI"/>
  </r>
  <r>
    <x v="178"/>
    <x v="0"/>
    <x v="2"/>
    <x v="2"/>
    <n v="20"/>
    <n v="3015.63"/>
    <s v="Female"/>
    <n v="4"/>
    <n v="1012.49"/>
    <n v="2003.14"/>
    <x v="0"/>
    <s v="Q2"/>
    <n v="2022"/>
    <s v="COD"/>
  </r>
  <r>
    <x v="372"/>
    <x v="3"/>
    <x v="0"/>
    <x v="14"/>
    <n v="23"/>
    <n v="560.33000000000004"/>
    <s v="Female"/>
    <n v="5"/>
    <n v="2523.94"/>
    <n v="-1963.61"/>
    <x v="11"/>
    <s v="Q4"/>
    <n v="2023"/>
    <s v="COD"/>
  </r>
  <r>
    <x v="410"/>
    <x v="3"/>
    <x v="0"/>
    <x v="13"/>
    <n v="43"/>
    <n v="21391.87"/>
    <s v="Female"/>
    <n v="4"/>
    <n v="3076.41"/>
    <n v="18315.46"/>
    <x v="7"/>
    <s v="Q3"/>
    <n v="2023"/>
    <s v="UPI"/>
  </r>
  <r>
    <x v="67"/>
    <x v="3"/>
    <x v="3"/>
    <x v="4"/>
    <n v="42"/>
    <n v="10033.91"/>
    <s v="Male"/>
    <n v="1"/>
    <n v="2375.9499999999998"/>
    <n v="7657.96"/>
    <x v="8"/>
    <s v="Q4"/>
    <n v="2022"/>
    <s v="UPI"/>
  </r>
  <r>
    <x v="28"/>
    <x v="0"/>
    <x v="1"/>
    <x v="19"/>
    <n v="38"/>
    <n v="18134.490000000002"/>
    <s v="Male"/>
    <n v="1"/>
    <n v="5214.59"/>
    <n v="12919.9"/>
    <x v="10"/>
    <s v="Q3"/>
    <n v="2022"/>
    <s v="UPI"/>
  </r>
  <r>
    <x v="27"/>
    <x v="4"/>
    <x v="2"/>
    <x v="5"/>
    <n v="6"/>
    <n v="514.03"/>
    <s v="Female"/>
    <n v="3"/>
    <n v="321.38"/>
    <n v="192.65"/>
    <x v="6"/>
    <s v="Q4"/>
    <n v="2023"/>
    <s v="COD"/>
  </r>
  <r>
    <x v="189"/>
    <x v="3"/>
    <x v="1"/>
    <x v="19"/>
    <n v="46"/>
    <n v="10885.92"/>
    <s v="Male"/>
    <n v="4"/>
    <n v="1273.3900000000001"/>
    <n v="9612.5300000000007"/>
    <x v="7"/>
    <s v="Q3"/>
    <n v="2022"/>
    <s v="Debit Card"/>
  </r>
  <r>
    <x v="447"/>
    <x v="2"/>
    <x v="4"/>
    <x v="18"/>
    <n v="49"/>
    <n v="13766.18"/>
    <s v="Male"/>
    <n v="4"/>
    <n v="5836.17"/>
    <n v="7930.01"/>
    <x v="0"/>
    <s v="Q2"/>
    <n v="2023"/>
    <s v="COD"/>
  </r>
  <r>
    <x v="459"/>
    <x v="0"/>
    <x v="0"/>
    <x v="8"/>
    <n v="7"/>
    <n v="2064.64"/>
    <s v="Male"/>
    <n v="4"/>
    <n v="507.33"/>
    <n v="1557.31"/>
    <x v="8"/>
    <s v="Q4"/>
    <n v="2022"/>
    <s v="COD"/>
  </r>
  <r>
    <x v="460"/>
    <x v="4"/>
    <x v="0"/>
    <x v="14"/>
    <n v="20"/>
    <n v="7465.54"/>
    <s v="Female"/>
    <n v="2"/>
    <n v="4515.5600000000004"/>
    <n v="2949.98"/>
    <x v="6"/>
    <s v="Q4"/>
    <n v="2022"/>
    <s v="COD"/>
  </r>
  <r>
    <x v="195"/>
    <x v="0"/>
    <x v="0"/>
    <x v="14"/>
    <n v="14"/>
    <n v="5370.02"/>
    <s v="Male"/>
    <n v="1"/>
    <n v="2017.13"/>
    <n v="3352.89"/>
    <x v="3"/>
    <s v="Q2"/>
    <n v="2023"/>
    <s v="Debit Card"/>
  </r>
  <r>
    <x v="189"/>
    <x v="1"/>
    <x v="1"/>
    <x v="3"/>
    <n v="2"/>
    <n v="418.36"/>
    <s v="Male"/>
    <n v="1"/>
    <n v="132.46"/>
    <n v="285.89999999999998"/>
    <x v="7"/>
    <s v="Q3"/>
    <n v="2022"/>
    <s v="UPI"/>
  </r>
  <r>
    <x v="461"/>
    <x v="0"/>
    <x v="4"/>
    <x v="10"/>
    <n v="11"/>
    <n v="1881.67"/>
    <s v="Male"/>
    <n v="4"/>
    <n v="1001.36"/>
    <n v="880.31"/>
    <x v="0"/>
    <s v="Q2"/>
    <n v="2023"/>
    <s v="Debit Card"/>
  </r>
  <r>
    <x v="462"/>
    <x v="2"/>
    <x v="3"/>
    <x v="12"/>
    <n v="43"/>
    <n v="17439.509999999998"/>
    <s v="Female"/>
    <n v="4"/>
    <n v="10505.51"/>
    <n v="6934"/>
    <x v="11"/>
    <s v="Q4"/>
    <n v="2023"/>
    <s v="UPI"/>
  </r>
  <r>
    <x v="330"/>
    <x v="4"/>
    <x v="0"/>
    <x v="14"/>
    <n v="2"/>
    <n v="293.22000000000003"/>
    <s v="Female"/>
    <n v="4"/>
    <n v="417.62"/>
    <n v="-124.4"/>
    <x v="0"/>
    <s v="Q2"/>
    <n v="2022"/>
    <s v="COD"/>
  </r>
  <r>
    <x v="116"/>
    <x v="4"/>
    <x v="0"/>
    <x v="0"/>
    <n v="38"/>
    <n v="12598.33"/>
    <s v="Female"/>
    <n v="4"/>
    <n v="6459.65"/>
    <n v="6138.68"/>
    <x v="9"/>
    <s v="Q3"/>
    <n v="2022"/>
    <s v="COD"/>
  </r>
  <r>
    <x v="267"/>
    <x v="4"/>
    <x v="3"/>
    <x v="12"/>
    <n v="3"/>
    <n v="805.36"/>
    <s v="Male"/>
    <n v="1"/>
    <n v="411.46"/>
    <n v="393.9"/>
    <x v="5"/>
    <s v="Q1"/>
    <n v="2023"/>
    <s v="Debit Card"/>
  </r>
  <r>
    <x v="463"/>
    <x v="3"/>
    <x v="4"/>
    <x v="6"/>
    <n v="43"/>
    <n v="6104.09"/>
    <s v="Male"/>
    <n v="4"/>
    <n v="6239.74"/>
    <n v="-135.65"/>
    <x v="5"/>
    <s v="Q1"/>
    <n v="2023"/>
    <s v="Debit Card"/>
  </r>
  <r>
    <x v="464"/>
    <x v="0"/>
    <x v="2"/>
    <x v="2"/>
    <n v="33"/>
    <n v="2748.76"/>
    <s v="Female"/>
    <n v="2"/>
    <n v="3428.72"/>
    <n v="-679.96"/>
    <x v="1"/>
    <s v="Q1"/>
    <n v="2022"/>
    <s v="COD"/>
  </r>
  <r>
    <x v="225"/>
    <x v="0"/>
    <x v="3"/>
    <x v="4"/>
    <n v="38"/>
    <n v="14911.37"/>
    <s v="Male"/>
    <n v="1"/>
    <n v="577.54"/>
    <n v="14333.83"/>
    <x v="9"/>
    <s v="Q3"/>
    <n v="2023"/>
    <s v="COD"/>
  </r>
  <r>
    <x v="465"/>
    <x v="0"/>
    <x v="2"/>
    <x v="2"/>
    <n v="1"/>
    <n v="118.91"/>
    <s v="Male"/>
    <n v="3"/>
    <n v="200.77"/>
    <n v="-81.86"/>
    <x v="2"/>
    <s v="Q1"/>
    <n v="2022"/>
    <s v="UPI"/>
  </r>
  <r>
    <x v="234"/>
    <x v="4"/>
    <x v="4"/>
    <x v="18"/>
    <n v="27"/>
    <n v="2336.66"/>
    <s v="Male"/>
    <n v="4"/>
    <n v="5504.1"/>
    <n v="-3167.44"/>
    <x v="3"/>
    <s v="Q2"/>
    <n v="2023"/>
    <s v="COD"/>
  </r>
  <r>
    <x v="301"/>
    <x v="4"/>
    <x v="2"/>
    <x v="2"/>
    <n v="40"/>
    <n v="1284.3499999999999"/>
    <s v="Male"/>
    <n v="2"/>
    <n v="7578.82"/>
    <n v="-6294.47"/>
    <x v="5"/>
    <s v="Q1"/>
    <n v="2023"/>
    <s v="EMI"/>
  </r>
  <r>
    <x v="91"/>
    <x v="1"/>
    <x v="4"/>
    <x v="6"/>
    <n v="8"/>
    <n v="1144.51"/>
    <s v="Male"/>
    <n v="3"/>
    <n v="1828.1"/>
    <n v="-683.59"/>
    <x v="8"/>
    <s v="Q4"/>
    <n v="2022"/>
    <s v="COD"/>
  </r>
  <r>
    <x v="295"/>
    <x v="0"/>
    <x v="1"/>
    <x v="3"/>
    <n v="40"/>
    <n v="16892.509999999998"/>
    <s v="Female"/>
    <n v="4"/>
    <n v="5666.23"/>
    <n v="11226.28"/>
    <x v="10"/>
    <s v="Q3"/>
    <n v="2023"/>
    <s v="COD"/>
  </r>
  <r>
    <x v="164"/>
    <x v="1"/>
    <x v="0"/>
    <x v="14"/>
    <n v="45"/>
    <n v="10946.02"/>
    <s v="Male"/>
    <n v="2"/>
    <n v="4866.58"/>
    <n v="6079.44"/>
    <x v="9"/>
    <s v="Q3"/>
    <n v="2022"/>
    <s v="EMI"/>
  </r>
  <r>
    <x v="277"/>
    <x v="1"/>
    <x v="3"/>
    <x v="4"/>
    <n v="24"/>
    <n v="7182.93"/>
    <s v="Male"/>
    <n v="1"/>
    <n v="825.5"/>
    <n v="6357.43"/>
    <x v="1"/>
    <s v="Q1"/>
    <n v="2023"/>
    <s v="COD"/>
  </r>
  <r>
    <x v="466"/>
    <x v="1"/>
    <x v="3"/>
    <x v="4"/>
    <n v="29"/>
    <n v="13023.01"/>
    <s v="Female"/>
    <n v="5"/>
    <n v="920.13"/>
    <n v="12102.88"/>
    <x v="0"/>
    <s v="Q2"/>
    <n v="2022"/>
    <s v="Debit Card"/>
  </r>
  <r>
    <x v="416"/>
    <x v="3"/>
    <x v="0"/>
    <x v="13"/>
    <n v="38"/>
    <n v="18064.490000000002"/>
    <s v="Male"/>
    <n v="5"/>
    <n v="722.35"/>
    <n v="17342.14"/>
    <x v="2"/>
    <s v="Q1"/>
    <n v="2022"/>
    <s v="COD"/>
  </r>
  <r>
    <x v="159"/>
    <x v="0"/>
    <x v="3"/>
    <x v="11"/>
    <n v="28"/>
    <n v="1255.78"/>
    <s v="Male"/>
    <n v="3"/>
    <n v="2895.64"/>
    <n v="-1639.86"/>
    <x v="3"/>
    <s v="Q2"/>
    <n v="2022"/>
    <s v="EMI"/>
  </r>
  <r>
    <x v="467"/>
    <x v="0"/>
    <x v="2"/>
    <x v="7"/>
    <n v="19"/>
    <n v="5955.63"/>
    <s v="Female"/>
    <n v="1"/>
    <n v="3582.68"/>
    <n v="2372.9499999999998"/>
    <x v="9"/>
    <s v="Q3"/>
    <n v="2022"/>
    <s v="COD"/>
  </r>
  <r>
    <x v="468"/>
    <x v="2"/>
    <x v="4"/>
    <x v="6"/>
    <n v="42"/>
    <n v="1518.41"/>
    <s v="Female"/>
    <n v="4"/>
    <n v="6083.85"/>
    <n v="-4565.4399999999996"/>
    <x v="7"/>
    <s v="Q3"/>
    <n v="2022"/>
    <s v="UPI"/>
  </r>
  <r>
    <x v="469"/>
    <x v="3"/>
    <x v="4"/>
    <x v="10"/>
    <n v="17"/>
    <n v="6876.35"/>
    <s v="Male"/>
    <n v="1"/>
    <n v="3104.81"/>
    <n v="3771.54"/>
    <x v="0"/>
    <s v="Q2"/>
    <n v="2023"/>
    <s v="COD"/>
  </r>
  <r>
    <x v="309"/>
    <x v="3"/>
    <x v="1"/>
    <x v="19"/>
    <n v="30"/>
    <n v="10964.35"/>
    <s v="Male"/>
    <n v="5"/>
    <n v="3922.96"/>
    <n v="7041.39"/>
    <x v="5"/>
    <s v="Q1"/>
    <n v="2022"/>
    <s v="COD"/>
  </r>
  <r>
    <x v="335"/>
    <x v="3"/>
    <x v="3"/>
    <x v="4"/>
    <n v="40"/>
    <n v="19933.34"/>
    <s v="Female"/>
    <n v="4"/>
    <n v="6505.43"/>
    <n v="13427.91"/>
    <x v="11"/>
    <s v="Q4"/>
    <n v="2022"/>
    <s v="COD"/>
  </r>
  <r>
    <x v="470"/>
    <x v="1"/>
    <x v="2"/>
    <x v="16"/>
    <n v="32"/>
    <n v="4450.3599999999997"/>
    <s v="Female"/>
    <n v="3"/>
    <n v="2534.54"/>
    <n v="1915.82"/>
    <x v="2"/>
    <s v="Q1"/>
    <n v="2023"/>
    <s v="EMI"/>
  </r>
  <r>
    <x v="374"/>
    <x v="0"/>
    <x v="1"/>
    <x v="1"/>
    <n v="15"/>
    <n v="7372.62"/>
    <s v="Male"/>
    <n v="2"/>
    <n v="1385.73"/>
    <n v="5986.89"/>
    <x v="8"/>
    <s v="Q4"/>
    <n v="2022"/>
    <s v="UPI"/>
  </r>
  <r>
    <x v="81"/>
    <x v="1"/>
    <x v="1"/>
    <x v="9"/>
    <n v="13"/>
    <n v="1800.46"/>
    <s v="Female"/>
    <n v="5"/>
    <n v="3073.05"/>
    <n v="-1272.5899999999999"/>
    <x v="3"/>
    <s v="Q2"/>
    <n v="2023"/>
    <s v="COD"/>
  </r>
  <r>
    <x v="355"/>
    <x v="4"/>
    <x v="3"/>
    <x v="4"/>
    <n v="41"/>
    <n v="9310.02"/>
    <s v="Male"/>
    <n v="5"/>
    <n v="2457.64"/>
    <n v="6852.38"/>
    <x v="8"/>
    <s v="Q4"/>
    <n v="2023"/>
    <s v="COD"/>
  </r>
  <r>
    <x v="308"/>
    <x v="3"/>
    <x v="1"/>
    <x v="1"/>
    <n v="26"/>
    <n v="10852.34"/>
    <s v="Male"/>
    <n v="1"/>
    <n v="5331.92"/>
    <n v="5520.42"/>
    <x v="5"/>
    <s v="Q1"/>
    <n v="2022"/>
    <s v="EMI"/>
  </r>
  <r>
    <x v="471"/>
    <x v="0"/>
    <x v="4"/>
    <x v="17"/>
    <n v="9"/>
    <n v="2341.34"/>
    <s v="Female"/>
    <n v="5"/>
    <n v="1668.96"/>
    <n v="672.38"/>
    <x v="7"/>
    <s v="Q3"/>
    <n v="2022"/>
    <s v="COD"/>
  </r>
  <r>
    <x v="249"/>
    <x v="3"/>
    <x v="2"/>
    <x v="5"/>
    <n v="48"/>
    <n v="17297.86"/>
    <s v="Male"/>
    <n v="5"/>
    <n v="10840.25"/>
    <n v="6457.61"/>
    <x v="3"/>
    <s v="Q2"/>
    <n v="2023"/>
    <s v="EMI"/>
  </r>
  <r>
    <x v="198"/>
    <x v="0"/>
    <x v="4"/>
    <x v="10"/>
    <n v="7"/>
    <n v="391.87"/>
    <s v="Male"/>
    <n v="4"/>
    <n v="812.74"/>
    <n v="-420.87"/>
    <x v="3"/>
    <s v="Q2"/>
    <n v="2022"/>
    <s v="EMI"/>
  </r>
  <r>
    <x v="80"/>
    <x v="3"/>
    <x v="2"/>
    <x v="7"/>
    <n v="24"/>
    <n v="11929.28"/>
    <s v="Male"/>
    <n v="1"/>
    <n v="2368.75"/>
    <n v="9560.5300000000007"/>
    <x v="4"/>
    <s v="Q2"/>
    <n v="2023"/>
    <s v="COD"/>
  </r>
  <r>
    <x v="214"/>
    <x v="0"/>
    <x v="3"/>
    <x v="11"/>
    <n v="19"/>
    <n v="5280.12"/>
    <s v="Male"/>
    <n v="4"/>
    <n v="3196.83"/>
    <n v="2083.29"/>
    <x v="10"/>
    <s v="Q3"/>
    <n v="2022"/>
    <s v="COD"/>
  </r>
  <r>
    <x v="468"/>
    <x v="4"/>
    <x v="2"/>
    <x v="16"/>
    <n v="21"/>
    <n v="3442.14"/>
    <s v="Female"/>
    <n v="5"/>
    <n v="3801.2"/>
    <n v="-359.06"/>
    <x v="7"/>
    <s v="Q3"/>
    <n v="2022"/>
    <s v="Credit Card"/>
  </r>
  <r>
    <x v="461"/>
    <x v="4"/>
    <x v="0"/>
    <x v="14"/>
    <n v="44"/>
    <n v="5426.86"/>
    <s v="Male"/>
    <n v="5"/>
    <n v="2864.85"/>
    <n v="2562.0100000000002"/>
    <x v="0"/>
    <s v="Q2"/>
    <n v="2023"/>
    <s v="COD"/>
  </r>
  <r>
    <x v="163"/>
    <x v="1"/>
    <x v="1"/>
    <x v="3"/>
    <n v="26"/>
    <n v="9215.7199999999993"/>
    <s v="Female"/>
    <n v="2"/>
    <n v="5495.99"/>
    <n v="3719.73"/>
    <x v="1"/>
    <s v="Q1"/>
    <n v="2022"/>
    <s v="COD"/>
  </r>
  <r>
    <x v="153"/>
    <x v="2"/>
    <x v="4"/>
    <x v="10"/>
    <n v="31"/>
    <n v="14183.1"/>
    <s v="Female"/>
    <n v="2"/>
    <n v="7326.73"/>
    <n v="6856.37"/>
    <x v="0"/>
    <s v="Q2"/>
    <n v="2023"/>
    <s v="COD"/>
  </r>
  <r>
    <x v="53"/>
    <x v="4"/>
    <x v="1"/>
    <x v="9"/>
    <n v="26"/>
    <n v="9608.2999999999993"/>
    <s v="Male"/>
    <n v="4"/>
    <n v="4903.8599999999997"/>
    <n v="4704.4399999999996"/>
    <x v="7"/>
    <s v="Q3"/>
    <n v="2022"/>
    <s v="Credit Card"/>
  </r>
  <r>
    <x v="249"/>
    <x v="4"/>
    <x v="4"/>
    <x v="6"/>
    <n v="43"/>
    <n v="14360.52"/>
    <s v="Male"/>
    <n v="3"/>
    <n v="7146.88"/>
    <n v="7213.64"/>
    <x v="3"/>
    <s v="Q2"/>
    <n v="2023"/>
    <s v="UPI"/>
  </r>
  <r>
    <x v="472"/>
    <x v="3"/>
    <x v="0"/>
    <x v="0"/>
    <n v="13"/>
    <n v="6037.45"/>
    <s v="Male"/>
    <n v="1"/>
    <n v="3113.79"/>
    <n v="2923.66"/>
    <x v="11"/>
    <s v="Q4"/>
    <n v="2023"/>
    <s v="Credit Card"/>
  </r>
  <r>
    <x v="473"/>
    <x v="4"/>
    <x v="2"/>
    <x v="16"/>
    <n v="31"/>
    <n v="4772.37"/>
    <s v="Female"/>
    <n v="1"/>
    <n v="4660.5"/>
    <n v="111.87"/>
    <x v="8"/>
    <s v="Q4"/>
    <n v="2023"/>
    <s v="COD"/>
  </r>
  <r>
    <x v="85"/>
    <x v="0"/>
    <x v="4"/>
    <x v="6"/>
    <n v="12"/>
    <n v="4239.01"/>
    <s v="Female"/>
    <n v="4"/>
    <n v="2857.51"/>
    <n v="1381.5"/>
    <x v="2"/>
    <s v="Q1"/>
    <n v="2022"/>
    <s v="COD"/>
  </r>
  <r>
    <x v="387"/>
    <x v="4"/>
    <x v="1"/>
    <x v="3"/>
    <n v="30"/>
    <n v="550.85"/>
    <s v="Female"/>
    <n v="3"/>
    <n v="1632.81"/>
    <n v="-1081.96"/>
    <x v="2"/>
    <s v="Q1"/>
    <n v="2022"/>
    <s v="Credit Card"/>
  </r>
  <r>
    <x v="262"/>
    <x v="0"/>
    <x v="1"/>
    <x v="9"/>
    <n v="27"/>
    <n v="1404.42"/>
    <s v="Male"/>
    <n v="1"/>
    <n v="3319.84"/>
    <n v="-1915.42"/>
    <x v="2"/>
    <s v="Q1"/>
    <n v="2022"/>
    <s v="COD"/>
  </r>
  <r>
    <x v="474"/>
    <x v="4"/>
    <x v="3"/>
    <x v="4"/>
    <n v="7"/>
    <n v="3084.47"/>
    <s v="Male"/>
    <n v="2"/>
    <n v="766.66"/>
    <n v="2317.81"/>
    <x v="0"/>
    <s v="Q2"/>
    <n v="2023"/>
    <s v="COD"/>
  </r>
  <r>
    <x v="475"/>
    <x v="0"/>
    <x v="0"/>
    <x v="13"/>
    <n v="14"/>
    <n v="2378.0700000000002"/>
    <s v="Female"/>
    <n v="2"/>
    <n v="734.72"/>
    <n v="1643.35"/>
    <x v="4"/>
    <s v="Q2"/>
    <n v="2023"/>
    <s v="COD"/>
  </r>
  <r>
    <x v="476"/>
    <x v="2"/>
    <x v="1"/>
    <x v="9"/>
    <n v="26"/>
    <n v="4842.26"/>
    <s v="Male"/>
    <n v="5"/>
    <n v="2266.4"/>
    <n v="2575.86"/>
    <x v="1"/>
    <s v="Q1"/>
    <n v="2023"/>
    <s v="UPI"/>
  </r>
  <r>
    <x v="320"/>
    <x v="2"/>
    <x v="3"/>
    <x v="12"/>
    <n v="24"/>
    <n v="11958.58"/>
    <s v="Female"/>
    <n v="2"/>
    <n v="378.11"/>
    <n v="11580.47"/>
    <x v="0"/>
    <s v="Q2"/>
    <n v="2022"/>
    <s v="COD"/>
  </r>
  <r>
    <x v="477"/>
    <x v="1"/>
    <x v="4"/>
    <x v="18"/>
    <n v="21"/>
    <n v="8406.23"/>
    <s v="Male"/>
    <n v="2"/>
    <n v="1662.05"/>
    <n v="6744.18"/>
    <x v="11"/>
    <s v="Q4"/>
    <n v="2022"/>
    <s v="COD"/>
  </r>
  <r>
    <x v="387"/>
    <x v="2"/>
    <x v="3"/>
    <x v="11"/>
    <n v="33"/>
    <n v="8110.77"/>
    <s v="Male"/>
    <n v="4"/>
    <n v="6955.27"/>
    <n v="1155.5"/>
    <x v="2"/>
    <s v="Q1"/>
    <n v="2022"/>
    <s v="Debit Card"/>
  </r>
  <r>
    <x v="192"/>
    <x v="0"/>
    <x v="0"/>
    <x v="14"/>
    <n v="28"/>
    <n v="6234.72"/>
    <s v="Female"/>
    <n v="2"/>
    <n v="2742.33"/>
    <n v="3492.39"/>
    <x v="0"/>
    <s v="Q2"/>
    <n v="2022"/>
    <s v="COD"/>
  </r>
  <r>
    <x v="170"/>
    <x v="1"/>
    <x v="2"/>
    <x v="16"/>
    <n v="23"/>
    <n v="1664.07"/>
    <s v="Female"/>
    <n v="5"/>
    <n v="4314.4399999999996"/>
    <n v="-2650.37"/>
    <x v="3"/>
    <s v="Q2"/>
    <n v="2022"/>
    <s v="COD"/>
  </r>
  <r>
    <x v="422"/>
    <x v="2"/>
    <x v="3"/>
    <x v="11"/>
    <n v="39"/>
    <n v="2953.35"/>
    <s v="Male"/>
    <n v="2"/>
    <n v="5702.95"/>
    <n v="-2749.6"/>
    <x v="4"/>
    <s v="Q2"/>
    <n v="2022"/>
    <s v="Credit Card"/>
  </r>
  <r>
    <x v="288"/>
    <x v="4"/>
    <x v="1"/>
    <x v="1"/>
    <n v="6"/>
    <n v="1490.56"/>
    <s v="Male"/>
    <n v="3"/>
    <n v="1091.6099999999999"/>
    <n v="398.95"/>
    <x v="11"/>
    <s v="Q4"/>
    <n v="2022"/>
    <s v="Debit Card"/>
  </r>
  <r>
    <x v="345"/>
    <x v="1"/>
    <x v="2"/>
    <x v="5"/>
    <n v="28"/>
    <n v="6481.44"/>
    <s v="Male"/>
    <n v="1"/>
    <n v="3202.63"/>
    <n v="3278.81"/>
    <x v="4"/>
    <s v="Q2"/>
    <n v="2023"/>
    <s v="COD"/>
  </r>
  <r>
    <x v="213"/>
    <x v="3"/>
    <x v="4"/>
    <x v="10"/>
    <n v="34"/>
    <n v="6245.45"/>
    <s v="Female"/>
    <n v="3"/>
    <n v="2014.93"/>
    <n v="4230.5200000000004"/>
    <x v="8"/>
    <s v="Q4"/>
    <n v="2022"/>
    <s v="UPI"/>
  </r>
  <r>
    <x v="215"/>
    <x v="0"/>
    <x v="2"/>
    <x v="16"/>
    <n v="27"/>
    <n v="8149.81"/>
    <s v="Female"/>
    <n v="4"/>
    <n v="2872.43"/>
    <n v="5277.38"/>
    <x v="4"/>
    <s v="Q2"/>
    <n v="2023"/>
    <s v="COD"/>
  </r>
  <r>
    <x v="107"/>
    <x v="4"/>
    <x v="4"/>
    <x v="6"/>
    <n v="12"/>
    <n v="5707.46"/>
    <s v="Male"/>
    <n v="3"/>
    <n v="1630.45"/>
    <n v="4077.01"/>
    <x v="11"/>
    <s v="Q4"/>
    <n v="2022"/>
    <s v="COD"/>
  </r>
  <r>
    <x v="478"/>
    <x v="2"/>
    <x v="0"/>
    <x v="0"/>
    <n v="16"/>
    <n v="5474.4"/>
    <s v="Female"/>
    <n v="4"/>
    <n v="2604.64"/>
    <n v="2869.76"/>
    <x v="6"/>
    <s v="Q4"/>
    <n v="2023"/>
    <s v="UPI"/>
  </r>
  <r>
    <x v="354"/>
    <x v="4"/>
    <x v="2"/>
    <x v="5"/>
    <n v="23"/>
    <n v="8853.9"/>
    <s v="Female"/>
    <n v="3"/>
    <n v="771.36"/>
    <n v="8082.54"/>
    <x v="8"/>
    <s v="Q4"/>
    <n v="2023"/>
    <s v="COD"/>
  </r>
  <r>
    <x v="413"/>
    <x v="1"/>
    <x v="4"/>
    <x v="17"/>
    <n v="5"/>
    <n v="2487.59"/>
    <s v="Female"/>
    <n v="1"/>
    <n v="1115.6600000000001"/>
    <n v="1371.93"/>
    <x v="5"/>
    <s v="Q1"/>
    <n v="2023"/>
    <s v="COD"/>
  </r>
  <r>
    <x v="448"/>
    <x v="3"/>
    <x v="3"/>
    <x v="15"/>
    <n v="43"/>
    <n v="9359.94"/>
    <s v="Female"/>
    <n v="4"/>
    <n v="6885.39"/>
    <n v="2474.5500000000002"/>
    <x v="3"/>
    <s v="Q2"/>
    <n v="2022"/>
    <s v="Credit Card"/>
  </r>
  <r>
    <x v="342"/>
    <x v="2"/>
    <x v="3"/>
    <x v="4"/>
    <n v="29"/>
    <n v="10604.72"/>
    <s v="Female"/>
    <n v="3"/>
    <n v="3225.86"/>
    <n v="7378.86"/>
    <x v="7"/>
    <s v="Q3"/>
    <n v="2022"/>
    <s v="UPI"/>
  </r>
  <r>
    <x v="479"/>
    <x v="3"/>
    <x v="2"/>
    <x v="5"/>
    <n v="15"/>
    <n v="7208.78"/>
    <s v="Male"/>
    <n v="3"/>
    <n v="145.63"/>
    <n v="7063.15"/>
    <x v="5"/>
    <s v="Q1"/>
    <n v="2023"/>
    <s v="COD"/>
  </r>
  <r>
    <x v="369"/>
    <x v="3"/>
    <x v="0"/>
    <x v="14"/>
    <n v="44"/>
    <n v="9383.07"/>
    <s v="Female"/>
    <n v="3"/>
    <n v="9123.2900000000009"/>
    <n v="259.77999999999997"/>
    <x v="1"/>
    <s v="Q1"/>
    <n v="2023"/>
    <s v="COD"/>
  </r>
  <r>
    <x v="459"/>
    <x v="4"/>
    <x v="4"/>
    <x v="18"/>
    <n v="29"/>
    <n v="2658.8"/>
    <s v="Female"/>
    <n v="4"/>
    <n v="4077.67"/>
    <n v="-1418.87"/>
    <x v="8"/>
    <s v="Q4"/>
    <n v="2022"/>
    <s v="Credit Card"/>
  </r>
  <r>
    <x v="467"/>
    <x v="3"/>
    <x v="0"/>
    <x v="14"/>
    <n v="5"/>
    <n v="2418.9499999999998"/>
    <s v="Male"/>
    <n v="5"/>
    <n v="164.59"/>
    <n v="2254.36"/>
    <x v="9"/>
    <s v="Q3"/>
    <n v="2022"/>
    <s v="COD"/>
  </r>
  <r>
    <x v="480"/>
    <x v="4"/>
    <x v="4"/>
    <x v="6"/>
    <n v="25"/>
    <n v="6024.93"/>
    <s v="Female"/>
    <n v="5"/>
    <n v="3967.36"/>
    <n v="2057.5700000000002"/>
    <x v="2"/>
    <s v="Q1"/>
    <n v="2023"/>
    <s v="UPI"/>
  </r>
  <r>
    <x v="481"/>
    <x v="2"/>
    <x v="3"/>
    <x v="4"/>
    <n v="37"/>
    <n v="16492.46"/>
    <s v="Male"/>
    <n v="1"/>
    <n v="3919.57"/>
    <n v="12572.89"/>
    <x v="5"/>
    <s v="Q1"/>
    <n v="2022"/>
    <s v="COD"/>
  </r>
  <r>
    <x v="42"/>
    <x v="3"/>
    <x v="3"/>
    <x v="15"/>
    <n v="36"/>
    <n v="12468.59"/>
    <s v="Female"/>
    <n v="2"/>
    <n v="7143.61"/>
    <n v="5324.98"/>
    <x v="0"/>
    <s v="Q2"/>
    <n v="2022"/>
    <s v="Credit Card"/>
  </r>
  <r>
    <x v="161"/>
    <x v="0"/>
    <x v="0"/>
    <x v="14"/>
    <n v="19"/>
    <n v="3252.39"/>
    <s v="Female"/>
    <n v="5"/>
    <n v="2376.9"/>
    <n v="875.49"/>
    <x v="11"/>
    <s v="Q4"/>
    <n v="2022"/>
    <s v="Credit Card"/>
  </r>
  <r>
    <x v="175"/>
    <x v="3"/>
    <x v="2"/>
    <x v="5"/>
    <n v="36"/>
    <n v="5704.6"/>
    <s v="Female"/>
    <n v="5"/>
    <n v="8100.04"/>
    <n v="-2395.44"/>
    <x v="2"/>
    <s v="Q1"/>
    <n v="2023"/>
    <s v="Debit Card"/>
  </r>
  <r>
    <x v="86"/>
    <x v="4"/>
    <x v="3"/>
    <x v="15"/>
    <n v="23"/>
    <n v="2836.6"/>
    <s v="Male"/>
    <n v="2"/>
    <n v="1397.02"/>
    <n v="1439.58"/>
    <x v="7"/>
    <s v="Q3"/>
    <n v="2022"/>
    <s v="COD"/>
  </r>
  <r>
    <x v="252"/>
    <x v="4"/>
    <x v="3"/>
    <x v="15"/>
    <n v="43"/>
    <n v="12805.84"/>
    <s v="Male"/>
    <n v="5"/>
    <n v="4027.2"/>
    <n v="8778.64"/>
    <x v="2"/>
    <s v="Q1"/>
    <n v="2022"/>
    <s v="UPI"/>
  </r>
  <r>
    <x v="482"/>
    <x v="3"/>
    <x v="4"/>
    <x v="10"/>
    <n v="5"/>
    <n v="1502.17"/>
    <s v="Female"/>
    <n v="3"/>
    <n v="50.25"/>
    <n v="1451.92"/>
    <x v="7"/>
    <s v="Q3"/>
    <n v="2022"/>
    <s v="Debit Card"/>
  </r>
  <r>
    <x v="483"/>
    <x v="1"/>
    <x v="3"/>
    <x v="4"/>
    <n v="38"/>
    <n v="14525.44"/>
    <s v="Female"/>
    <n v="2"/>
    <n v="7364.73"/>
    <n v="7160.71"/>
    <x v="0"/>
    <s v="Q2"/>
    <n v="2022"/>
    <s v="Debit Card"/>
  </r>
  <r>
    <x v="100"/>
    <x v="0"/>
    <x v="3"/>
    <x v="12"/>
    <n v="48"/>
    <n v="23697.95"/>
    <s v="Male"/>
    <n v="2"/>
    <n v="10676.93"/>
    <n v="13021.02"/>
    <x v="7"/>
    <s v="Q3"/>
    <n v="2022"/>
    <s v="COD"/>
  </r>
  <r>
    <x v="484"/>
    <x v="2"/>
    <x v="4"/>
    <x v="17"/>
    <n v="45"/>
    <n v="21568.99"/>
    <s v="Female"/>
    <n v="2"/>
    <n v="3615.5"/>
    <n v="17953.490000000002"/>
    <x v="6"/>
    <s v="Q4"/>
    <n v="2022"/>
    <s v="COD"/>
  </r>
  <r>
    <x v="441"/>
    <x v="2"/>
    <x v="1"/>
    <x v="9"/>
    <n v="41"/>
    <n v="11441.83"/>
    <s v="Female"/>
    <n v="3"/>
    <n v="6920.72"/>
    <n v="4521.1099999999997"/>
    <x v="8"/>
    <s v="Q4"/>
    <n v="2022"/>
    <s v="COD"/>
  </r>
  <r>
    <x v="485"/>
    <x v="0"/>
    <x v="1"/>
    <x v="9"/>
    <n v="30"/>
    <n v="10172.02"/>
    <s v="Female"/>
    <n v="5"/>
    <n v="1908.27"/>
    <n v="8263.75"/>
    <x v="2"/>
    <s v="Q1"/>
    <n v="2022"/>
    <s v="Credit Card"/>
  </r>
  <r>
    <x v="416"/>
    <x v="2"/>
    <x v="4"/>
    <x v="6"/>
    <n v="26"/>
    <n v="11596.06"/>
    <s v="Female"/>
    <n v="4"/>
    <n v="3643.44"/>
    <n v="7952.62"/>
    <x v="2"/>
    <s v="Q1"/>
    <n v="2022"/>
    <s v="COD"/>
  </r>
  <r>
    <x v="141"/>
    <x v="1"/>
    <x v="3"/>
    <x v="12"/>
    <n v="13"/>
    <n v="1822.46"/>
    <s v="Male"/>
    <n v="2"/>
    <n v="2294.59"/>
    <n v="-472.13"/>
    <x v="6"/>
    <s v="Q4"/>
    <n v="2022"/>
    <s v="COD"/>
  </r>
  <r>
    <x v="486"/>
    <x v="4"/>
    <x v="1"/>
    <x v="19"/>
    <n v="17"/>
    <n v="5387.8"/>
    <s v="Female"/>
    <n v="3"/>
    <n v="979.96"/>
    <n v="4407.84"/>
    <x v="6"/>
    <s v="Q4"/>
    <n v="2023"/>
    <s v="COD"/>
  </r>
  <r>
    <x v="101"/>
    <x v="3"/>
    <x v="1"/>
    <x v="9"/>
    <n v="34"/>
    <n v="5257.08"/>
    <s v="Female"/>
    <n v="1"/>
    <n v="7185.23"/>
    <n v="-1928.15"/>
    <x v="10"/>
    <s v="Q3"/>
    <n v="2022"/>
    <s v="COD"/>
  </r>
  <r>
    <x v="375"/>
    <x v="3"/>
    <x v="1"/>
    <x v="9"/>
    <n v="41"/>
    <n v="16296.06"/>
    <s v="Female"/>
    <n v="1"/>
    <n v="3817.42"/>
    <n v="12478.64"/>
    <x v="1"/>
    <s v="Q1"/>
    <n v="2022"/>
    <s v="COD"/>
  </r>
  <r>
    <x v="261"/>
    <x v="0"/>
    <x v="2"/>
    <x v="16"/>
    <n v="43"/>
    <n v="803.24"/>
    <s v="Female"/>
    <n v="1"/>
    <n v="8134.38"/>
    <n v="-7331.14"/>
    <x v="6"/>
    <s v="Q4"/>
    <n v="2022"/>
    <s v="Credit Card"/>
  </r>
  <r>
    <x v="77"/>
    <x v="3"/>
    <x v="0"/>
    <x v="13"/>
    <n v="1"/>
    <n v="41.69"/>
    <s v="Female"/>
    <n v="3"/>
    <n v="229.44"/>
    <n v="-187.75"/>
    <x v="1"/>
    <s v="Q1"/>
    <n v="2023"/>
    <s v="UPI"/>
  </r>
  <r>
    <x v="487"/>
    <x v="4"/>
    <x v="1"/>
    <x v="1"/>
    <n v="41"/>
    <n v="13332.51"/>
    <s v="Male"/>
    <n v="2"/>
    <n v="4143.88"/>
    <n v="9188.6299999999992"/>
    <x v="2"/>
    <s v="Q1"/>
    <n v="2023"/>
    <s v="COD"/>
  </r>
  <r>
    <x v="488"/>
    <x v="3"/>
    <x v="4"/>
    <x v="10"/>
    <n v="36"/>
    <n v="4072.45"/>
    <s v="Male"/>
    <n v="3"/>
    <n v="4832.3999999999996"/>
    <n v="-759.95"/>
    <x v="3"/>
    <s v="Q2"/>
    <n v="2022"/>
    <s v="COD"/>
  </r>
  <r>
    <x v="372"/>
    <x v="0"/>
    <x v="3"/>
    <x v="15"/>
    <n v="13"/>
    <n v="5288.36"/>
    <s v="Male"/>
    <n v="2"/>
    <n v="460"/>
    <n v="4828.3599999999997"/>
    <x v="11"/>
    <s v="Q4"/>
    <n v="2023"/>
    <s v="Credit Card"/>
  </r>
  <r>
    <x v="29"/>
    <x v="4"/>
    <x v="1"/>
    <x v="19"/>
    <n v="41"/>
    <n v="714.65"/>
    <s v="Male"/>
    <n v="2"/>
    <n v="6946.88"/>
    <n v="-6232.23"/>
    <x v="9"/>
    <s v="Q3"/>
    <n v="2023"/>
    <s v="COD"/>
  </r>
  <r>
    <x v="116"/>
    <x v="3"/>
    <x v="0"/>
    <x v="14"/>
    <n v="45"/>
    <n v="1956.97"/>
    <s v="Male"/>
    <n v="4"/>
    <n v="1218.83"/>
    <n v="738.14"/>
    <x v="9"/>
    <s v="Q3"/>
    <n v="2022"/>
    <s v="COD"/>
  </r>
  <r>
    <x v="18"/>
    <x v="1"/>
    <x v="1"/>
    <x v="19"/>
    <n v="12"/>
    <n v="881.56"/>
    <s v="Male"/>
    <n v="5"/>
    <n v="1431.98"/>
    <n v="-550.41999999999996"/>
    <x v="7"/>
    <s v="Q3"/>
    <n v="2022"/>
    <s v="COD"/>
  </r>
  <r>
    <x v="289"/>
    <x v="4"/>
    <x v="3"/>
    <x v="12"/>
    <n v="29"/>
    <n v="437.17"/>
    <s v="Female"/>
    <n v="2"/>
    <n v="2587.4499999999998"/>
    <n v="-2150.2800000000002"/>
    <x v="9"/>
    <s v="Q3"/>
    <n v="2023"/>
    <s v="Debit Card"/>
  </r>
  <r>
    <x v="368"/>
    <x v="0"/>
    <x v="3"/>
    <x v="12"/>
    <n v="32"/>
    <n v="1027"/>
    <s v="Female"/>
    <n v="2"/>
    <n v="5536.74"/>
    <n v="-4509.74"/>
    <x v="2"/>
    <s v="Q1"/>
    <n v="2022"/>
    <s v="COD"/>
  </r>
  <r>
    <x v="482"/>
    <x v="2"/>
    <x v="2"/>
    <x v="16"/>
    <n v="24"/>
    <n v="4118.1499999999996"/>
    <s v="Male"/>
    <n v="5"/>
    <n v="2576.39"/>
    <n v="1541.76"/>
    <x v="7"/>
    <s v="Q3"/>
    <n v="2022"/>
    <s v="COD"/>
  </r>
  <r>
    <x v="94"/>
    <x v="1"/>
    <x v="2"/>
    <x v="16"/>
    <n v="50"/>
    <n v="17485.32"/>
    <s v="Female"/>
    <n v="5"/>
    <n v="6887.79"/>
    <n v="10597.53"/>
    <x v="11"/>
    <s v="Q4"/>
    <n v="2023"/>
    <s v="UPI"/>
  </r>
  <r>
    <x v="381"/>
    <x v="1"/>
    <x v="3"/>
    <x v="11"/>
    <n v="27"/>
    <n v="4916.0200000000004"/>
    <s v="Male"/>
    <n v="3"/>
    <n v="1711.04"/>
    <n v="3204.98"/>
    <x v="1"/>
    <s v="Q1"/>
    <n v="2023"/>
    <s v="COD"/>
  </r>
  <r>
    <x v="297"/>
    <x v="2"/>
    <x v="2"/>
    <x v="5"/>
    <n v="33"/>
    <n v="12396.69"/>
    <s v="Male"/>
    <n v="5"/>
    <n v="7446.26"/>
    <n v="4950.43"/>
    <x v="2"/>
    <s v="Q1"/>
    <n v="2022"/>
    <s v="COD"/>
  </r>
  <r>
    <x v="489"/>
    <x v="3"/>
    <x v="2"/>
    <x v="16"/>
    <n v="6"/>
    <n v="60.2"/>
    <s v="Male"/>
    <n v="2"/>
    <n v="379.68"/>
    <n v="-319.48"/>
    <x v="4"/>
    <s v="Q2"/>
    <n v="2022"/>
    <s v="COD"/>
  </r>
  <r>
    <x v="309"/>
    <x v="4"/>
    <x v="4"/>
    <x v="10"/>
    <n v="25"/>
    <n v="4254.0200000000004"/>
    <s v="Female"/>
    <n v="4"/>
    <n v="301.98"/>
    <n v="3952.04"/>
    <x v="5"/>
    <s v="Q1"/>
    <n v="2022"/>
    <s v="UPI"/>
  </r>
  <r>
    <x v="490"/>
    <x v="2"/>
    <x v="3"/>
    <x v="15"/>
    <n v="23"/>
    <n v="3836.59"/>
    <s v="Female"/>
    <n v="1"/>
    <n v="3449.11"/>
    <n v="387.48"/>
    <x v="6"/>
    <s v="Q4"/>
    <n v="2022"/>
    <s v="COD"/>
  </r>
  <r>
    <x v="491"/>
    <x v="1"/>
    <x v="1"/>
    <x v="9"/>
    <n v="6"/>
    <n v="1169.3699999999999"/>
    <s v="Female"/>
    <n v="2"/>
    <n v="529.91999999999996"/>
    <n v="639.45000000000005"/>
    <x v="5"/>
    <s v="Q1"/>
    <n v="2022"/>
    <s v="COD"/>
  </r>
  <r>
    <x v="492"/>
    <x v="2"/>
    <x v="0"/>
    <x v="8"/>
    <n v="40"/>
    <n v="15782.09"/>
    <s v="Male"/>
    <n v="2"/>
    <n v="2175.12"/>
    <n v="13606.97"/>
    <x v="9"/>
    <s v="Q3"/>
    <n v="2022"/>
    <s v="COD"/>
  </r>
  <r>
    <x v="317"/>
    <x v="4"/>
    <x v="0"/>
    <x v="8"/>
    <n v="7"/>
    <n v="691.09"/>
    <s v="Male"/>
    <n v="1"/>
    <n v="1186.26"/>
    <n v="-495.17"/>
    <x v="4"/>
    <s v="Q2"/>
    <n v="2022"/>
    <s v="COD"/>
  </r>
  <r>
    <x v="493"/>
    <x v="4"/>
    <x v="2"/>
    <x v="16"/>
    <n v="43"/>
    <n v="6988.41"/>
    <s v="Female"/>
    <n v="2"/>
    <n v="5706.93"/>
    <n v="1281.48"/>
    <x v="6"/>
    <s v="Q4"/>
    <n v="2022"/>
    <s v="Credit Card"/>
  </r>
  <r>
    <x v="171"/>
    <x v="2"/>
    <x v="3"/>
    <x v="11"/>
    <n v="37"/>
    <n v="16500.599999999999"/>
    <s v="Male"/>
    <n v="4"/>
    <n v="7142.47"/>
    <n v="9358.1299999999992"/>
    <x v="7"/>
    <s v="Q3"/>
    <n v="2023"/>
    <s v="UPI"/>
  </r>
  <r>
    <x v="472"/>
    <x v="0"/>
    <x v="0"/>
    <x v="8"/>
    <n v="23"/>
    <n v="10902.31"/>
    <s v="Male"/>
    <n v="5"/>
    <n v="3721.27"/>
    <n v="7181.04"/>
    <x v="11"/>
    <s v="Q4"/>
    <n v="2023"/>
    <s v="UPI"/>
  </r>
  <r>
    <x v="100"/>
    <x v="4"/>
    <x v="4"/>
    <x v="18"/>
    <n v="4"/>
    <n v="1473.57"/>
    <s v="Female"/>
    <n v="3"/>
    <n v="151.29"/>
    <n v="1322.28"/>
    <x v="7"/>
    <s v="Q3"/>
    <n v="2022"/>
    <s v="UPI"/>
  </r>
  <r>
    <x v="494"/>
    <x v="1"/>
    <x v="1"/>
    <x v="9"/>
    <n v="17"/>
    <n v="3639.02"/>
    <s v="Female"/>
    <n v="3"/>
    <n v="2833.57"/>
    <n v="805.45"/>
    <x v="10"/>
    <s v="Q3"/>
    <n v="2023"/>
    <s v="UPI"/>
  </r>
  <r>
    <x v="495"/>
    <x v="1"/>
    <x v="2"/>
    <x v="5"/>
    <n v="21"/>
    <n v="6110.42"/>
    <s v="Male"/>
    <n v="1"/>
    <n v="4512.8500000000004"/>
    <n v="1597.57"/>
    <x v="1"/>
    <s v="Q1"/>
    <n v="2023"/>
    <s v="UPI"/>
  </r>
  <r>
    <x v="496"/>
    <x v="4"/>
    <x v="4"/>
    <x v="17"/>
    <n v="49"/>
    <n v="23388.31"/>
    <s v="Male"/>
    <n v="5"/>
    <n v="316.95"/>
    <n v="23071.360000000001"/>
    <x v="11"/>
    <s v="Q4"/>
    <n v="2022"/>
    <s v="COD"/>
  </r>
  <r>
    <x v="38"/>
    <x v="0"/>
    <x v="2"/>
    <x v="2"/>
    <n v="38"/>
    <n v="17189.72"/>
    <s v="Female"/>
    <n v="2"/>
    <n v="4320.3100000000004"/>
    <n v="12869.41"/>
    <x v="7"/>
    <s v="Q3"/>
    <n v="2022"/>
    <s v="UPI"/>
  </r>
  <r>
    <x v="210"/>
    <x v="2"/>
    <x v="1"/>
    <x v="3"/>
    <n v="40"/>
    <n v="12711.29"/>
    <s v="Male"/>
    <n v="4"/>
    <n v="470.44"/>
    <n v="12240.85"/>
    <x v="1"/>
    <s v="Q1"/>
    <n v="2023"/>
    <s v="UPI"/>
  </r>
  <r>
    <x v="459"/>
    <x v="0"/>
    <x v="4"/>
    <x v="10"/>
    <n v="24"/>
    <n v="10663.3"/>
    <s v="Male"/>
    <n v="2"/>
    <n v="481.57"/>
    <n v="10181.73"/>
    <x v="8"/>
    <s v="Q4"/>
    <n v="2022"/>
    <s v="UPI"/>
  </r>
  <r>
    <x v="497"/>
    <x v="4"/>
    <x v="0"/>
    <x v="14"/>
    <n v="44"/>
    <n v="15587.57"/>
    <s v="Male"/>
    <n v="3"/>
    <n v="2566.66"/>
    <n v="13020.91"/>
    <x v="5"/>
    <s v="Q1"/>
    <n v="2023"/>
    <s v="COD"/>
  </r>
  <r>
    <x v="239"/>
    <x v="1"/>
    <x v="1"/>
    <x v="1"/>
    <n v="41"/>
    <n v="12143.34"/>
    <s v="Female"/>
    <n v="5"/>
    <n v="3323.69"/>
    <n v="8819.65"/>
    <x v="6"/>
    <s v="Q4"/>
    <n v="2023"/>
    <s v="COD"/>
  </r>
  <r>
    <x v="50"/>
    <x v="3"/>
    <x v="0"/>
    <x v="14"/>
    <n v="20"/>
    <n v="3383.9"/>
    <s v="Female"/>
    <n v="1"/>
    <n v="3682.91"/>
    <n v="-299.01"/>
    <x v="1"/>
    <s v="Q1"/>
    <n v="2022"/>
    <s v="COD"/>
  </r>
  <r>
    <x v="233"/>
    <x v="0"/>
    <x v="1"/>
    <x v="3"/>
    <n v="49"/>
    <n v="963.63"/>
    <s v="Male"/>
    <n v="2"/>
    <n v="6381.31"/>
    <n v="-5417.68"/>
    <x v="3"/>
    <s v="Q2"/>
    <n v="2023"/>
    <s v="UPI"/>
  </r>
  <r>
    <x v="455"/>
    <x v="4"/>
    <x v="3"/>
    <x v="12"/>
    <n v="37"/>
    <n v="7509.05"/>
    <s v="Male"/>
    <n v="2"/>
    <n v="3120.24"/>
    <n v="4388.8100000000004"/>
    <x v="1"/>
    <s v="Q1"/>
    <n v="2022"/>
    <s v="COD"/>
  </r>
  <r>
    <x v="498"/>
    <x v="3"/>
    <x v="0"/>
    <x v="13"/>
    <n v="35"/>
    <n v="15697.03"/>
    <s v="Female"/>
    <n v="1"/>
    <n v="3815.12"/>
    <n v="11881.91"/>
    <x v="5"/>
    <s v="Q1"/>
    <n v="2022"/>
    <s v="COD"/>
  </r>
  <r>
    <x v="499"/>
    <x v="2"/>
    <x v="2"/>
    <x v="7"/>
    <n v="11"/>
    <n v="5179.43"/>
    <s v="Male"/>
    <n v="4"/>
    <n v="2673.67"/>
    <n v="2505.7600000000002"/>
    <x v="2"/>
    <s v="Q1"/>
    <n v="2022"/>
    <s v="UPI"/>
  </r>
  <r>
    <x v="500"/>
    <x v="3"/>
    <x v="1"/>
    <x v="3"/>
    <n v="38"/>
    <n v="5996.68"/>
    <s v="Male"/>
    <n v="1"/>
    <n v="2864.44"/>
    <n v="3132.24"/>
    <x v="7"/>
    <s v="Q3"/>
    <n v="2023"/>
    <s v="COD"/>
  </r>
  <r>
    <x v="169"/>
    <x v="1"/>
    <x v="4"/>
    <x v="17"/>
    <n v="44"/>
    <n v="6963.89"/>
    <s v="Male"/>
    <n v="3"/>
    <n v="2053.09"/>
    <n v="4910.8"/>
    <x v="7"/>
    <s v="Q3"/>
    <n v="2022"/>
    <s v="Debit Card"/>
  </r>
  <r>
    <x v="167"/>
    <x v="2"/>
    <x v="1"/>
    <x v="19"/>
    <n v="20"/>
    <n v="1325.04"/>
    <s v="Male"/>
    <n v="5"/>
    <n v="2022.14"/>
    <n v="-697.1"/>
    <x v="7"/>
    <s v="Q3"/>
    <n v="2022"/>
    <s v="COD"/>
  </r>
  <r>
    <x v="78"/>
    <x v="4"/>
    <x v="2"/>
    <x v="16"/>
    <n v="22"/>
    <n v="10838.8"/>
    <s v="Female"/>
    <n v="2"/>
    <n v="1427.5"/>
    <n v="9411.2999999999993"/>
    <x v="3"/>
    <s v="Q2"/>
    <n v="2022"/>
    <s v="COD"/>
  </r>
  <r>
    <x v="41"/>
    <x v="1"/>
    <x v="0"/>
    <x v="13"/>
    <n v="11"/>
    <n v="2616.3000000000002"/>
    <s v="Female"/>
    <n v="5"/>
    <n v="287.27"/>
    <n v="2329.0300000000002"/>
    <x v="9"/>
    <s v="Q3"/>
    <n v="2022"/>
    <s v="UPI"/>
  </r>
  <r>
    <x v="65"/>
    <x v="4"/>
    <x v="1"/>
    <x v="3"/>
    <n v="33"/>
    <n v="14356.85"/>
    <s v="Male"/>
    <n v="1"/>
    <n v="3877.44"/>
    <n v="10479.41"/>
    <x v="11"/>
    <s v="Q4"/>
    <n v="2022"/>
    <s v="COD"/>
  </r>
  <r>
    <x v="501"/>
    <x v="1"/>
    <x v="4"/>
    <x v="17"/>
    <n v="49"/>
    <n v="18716.36"/>
    <s v="Female"/>
    <n v="2"/>
    <n v="7073.52"/>
    <n v="11642.84"/>
    <x v="2"/>
    <s v="Q1"/>
    <n v="2022"/>
    <s v="COD"/>
  </r>
  <r>
    <x v="245"/>
    <x v="2"/>
    <x v="2"/>
    <x v="2"/>
    <n v="4"/>
    <n v="1873.16"/>
    <s v="Female"/>
    <n v="2"/>
    <n v="601.27"/>
    <n v="1271.8900000000001"/>
    <x v="2"/>
    <s v="Q1"/>
    <n v="2023"/>
    <s v="UPI"/>
  </r>
  <r>
    <x v="395"/>
    <x v="4"/>
    <x v="4"/>
    <x v="6"/>
    <n v="10"/>
    <n v="351.15"/>
    <s v="Male"/>
    <n v="5"/>
    <n v="2407.0500000000002"/>
    <n v="-2055.9"/>
    <x v="11"/>
    <s v="Q4"/>
    <n v="2023"/>
    <s v="UPI"/>
  </r>
  <r>
    <x v="175"/>
    <x v="0"/>
    <x v="1"/>
    <x v="19"/>
    <n v="26"/>
    <n v="12296.44"/>
    <s v="Male"/>
    <n v="4"/>
    <n v="2555.48"/>
    <n v="9740.9599999999991"/>
    <x v="2"/>
    <s v="Q1"/>
    <n v="2023"/>
    <s v="COD"/>
  </r>
  <r>
    <x v="502"/>
    <x v="2"/>
    <x v="1"/>
    <x v="3"/>
    <n v="49"/>
    <n v="17471.28"/>
    <s v="Female"/>
    <n v="3"/>
    <n v="10785.32"/>
    <n v="6685.96"/>
    <x v="7"/>
    <s v="Q3"/>
    <n v="2022"/>
    <s v="COD"/>
  </r>
  <r>
    <x v="110"/>
    <x v="1"/>
    <x v="2"/>
    <x v="7"/>
    <n v="1"/>
    <n v="58"/>
    <s v="Female"/>
    <n v="1"/>
    <n v="120.96"/>
    <n v="-62.96"/>
    <x v="4"/>
    <s v="Q2"/>
    <n v="2022"/>
    <s v="COD"/>
  </r>
  <r>
    <x v="428"/>
    <x v="2"/>
    <x v="2"/>
    <x v="5"/>
    <n v="9"/>
    <n v="3848.35"/>
    <s v="Male"/>
    <n v="4"/>
    <n v="366.06"/>
    <n v="3482.29"/>
    <x v="4"/>
    <s v="Q2"/>
    <n v="2022"/>
    <s v="COD"/>
  </r>
  <r>
    <x v="503"/>
    <x v="0"/>
    <x v="4"/>
    <x v="10"/>
    <n v="29"/>
    <n v="3003.7"/>
    <s v="Female"/>
    <n v="5"/>
    <n v="5454.1"/>
    <n v="-2450.4"/>
    <x v="10"/>
    <s v="Q3"/>
    <n v="2023"/>
    <s v="COD"/>
  </r>
  <r>
    <x v="208"/>
    <x v="0"/>
    <x v="0"/>
    <x v="13"/>
    <n v="48"/>
    <n v="17001.62"/>
    <s v="Male"/>
    <n v="4"/>
    <n v="9478.16"/>
    <n v="7523.46"/>
    <x v="5"/>
    <s v="Q1"/>
    <n v="2023"/>
    <s v="COD"/>
  </r>
  <r>
    <x v="504"/>
    <x v="0"/>
    <x v="4"/>
    <x v="10"/>
    <n v="34"/>
    <n v="16038.24"/>
    <s v="Male"/>
    <n v="4"/>
    <n v="4186.97"/>
    <n v="11851.27"/>
    <x v="2"/>
    <s v="Q1"/>
    <n v="2022"/>
    <s v="Credit Card"/>
  </r>
  <r>
    <x v="505"/>
    <x v="2"/>
    <x v="4"/>
    <x v="6"/>
    <n v="1"/>
    <n v="237.25"/>
    <s v="Male"/>
    <n v="5"/>
    <n v="148.32"/>
    <n v="88.93"/>
    <x v="2"/>
    <s v="Q1"/>
    <n v="2023"/>
    <s v="Credit Card"/>
  </r>
  <r>
    <x v="406"/>
    <x v="3"/>
    <x v="2"/>
    <x v="7"/>
    <n v="39"/>
    <n v="3116.14"/>
    <s v="Female"/>
    <n v="1"/>
    <n v="2359.98"/>
    <n v="756.16"/>
    <x v="6"/>
    <s v="Q4"/>
    <n v="2022"/>
    <s v="UPI"/>
  </r>
  <r>
    <x v="30"/>
    <x v="3"/>
    <x v="1"/>
    <x v="1"/>
    <n v="7"/>
    <n v="828.68"/>
    <s v="Female"/>
    <n v="3"/>
    <n v="946.02"/>
    <n v="-117.34"/>
    <x v="4"/>
    <s v="Q2"/>
    <n v="2023"/>
    <s v="UPI"/>
  </r>
  <r>
    <x v="128"/>
    <x v="3"/>
    <x v="0"/>
    <x v="0"/>
    <n v="45"/>
    <n v="13493.16"/>
    <s v="Male"/>
    <n v="5"/>
    <n v="7580.81"/>
    <n v="5912.35"/>
    <x v="8"/>
    <s v="Q4"/>
    <n v="2023"/>
    <s v="COD"/>
  </r>
  <r>
    <x v="506"/>
    <x v="3"/>
    <x v="4"/>
    <x v="10"/>
    <n v="11"/>
    <n v="4538.43"/>
    <s v="Male"/>
    <n v="3"/>
    <n v="1809.47"/>
    <n v="2728.96"/>
    <x v="3"/>
    <s v="Q2"/>
    <n v="2022"/>
    <s v="Credit Card"/>
  </r>
  <r>
    <x v="46"/>
    <x v="2"/>
    <x v="1"/>
    <x v="9"/>
    <n v="27"/>
    <n v="12880.26"/>
    <s v="Male"/>
    <n v="5"/>
    <n v="4183.8900000000003"/>
    <n v="8696.3700000000008"/>
    <x v="2"/>
    <s v="Q1"/>
    <n v="2023"/>
    <s v="COD"/>
  </r>
  <r>
    <x v="176"/>
    <x v="1"/>
    <x v="1"/>
    <x v="19"/>
    <n v="33"/>
    <n v="12804.71"/>
    <s v="Female"/>
    <n v="2"/>
    <n v="3415.83"/>
    <n v="9388.8799999999992"/>
    <x v="11"/>
    <s v="Q4"/>
    <n v="2022"/>
    <s v="Credit Card"/>
  </r>
  <r>
    <x v="507"/>
    <x v="2"/>
    <x v="0"/>
    <x v="14"/>
    <n v="37"/>
    <n v="11870.68"/>
    <s v="Male"/>
    <n v="2"/>
    <n v="1357.52"/>
    <n v="10513.16"/>
    <x v="2"/>
    <s v="Q1"/>
    <n v="2023"/>
    <s v="Credit Card"/>
  </r>
  <r>
    <x v="200"/>
    <x v="1"/>
    <x v="1"/>
    <x v="1"/>
    <n v="41"/>
    <n v="16697.86"/>
    <s v="Male"/>
    <n v="5"/>
    <n v="3471.48"/>
    <n v="13226.38"/>
    <x v="5"/>
    <s v="Q1"/>
    <n v="2022"/>
    <s v="Credit Card"/>
  </r>
  <r>
    <x v="421"/>
    <x v="3"/>
    <x v="2"/>
    <x v="7"/>
    <n v="32"/>
    <n v="12716.96"/>
    <s v="Female"/>
    <n v="3"/>
    <n v="6576.09"/>
    <n v="6140.87"/>
    <x v="11"/>
    <s v="Q4"/>
    <n v="2022"/>
    <s v="COD"/>
  </r>
  <r>
    <x v="473"/>
    <x v="2"/>
    <x v="1"/>
    <x v="9"/>
    <n v="50"/>
    <n v="8424.09"/>
    <s v="Male"/>
    <n v="5"/>
    <n v="9688.82"/>
    <n v="-1264.73"/>
    <x v="8"/>
    <s v="Q4"/>
    <n v="2023"/>
    <s v="COD"/>
  </r>
  <r>
    <x v="118"/>
    <x v="1"/>
    <x v="1"/>
    <x v="19"/>
    <n v="50"/>
    <n v="18616.48"/>
    <s v="Female"/>
    <n v="1"/>
    <n v="763.99"/>
    <n v="17852.490000000002"/>
    <x v="1"/>
    <s v="Q1"/>
    <n v="2023"/>
    <s v="COD"/>
  </r>
  <r>
    <x v="52"/>
    <x v="4"/>
    <x v="0"/>
    <x v="0"/>
    <n v="23"/>
    <n v="2380.92"/>
    <s v="Male"/>
    <n v="4"/>
    <n v="3413.75"/>
    <n v="-1032.83"/>
    <x v="6"/>
    <s v="Q4"/>
    <n v="2023"/>
    <s v="COD"/>
  </r>
  <r>
    <x v="508"/>
    <x v="4"/>
    <x v="4"/>
    <x v="18"/>
    <n v="6"/>
    <n v="838.25"/>
    <s v="Male"/>
    <n v="3"/>
    <n v="668.54"/>
    <n v="169.71"/>
    <x v="10"/>
    <s v="Q3"/>
    <n v="2022"/>
    <s v="COD"/>
  </r>
  <r>
    <x v="445"/>
    <x v="1"/>
    <x v="0"/>
    <x v="13"/>
    <n v="46"/>
    <n v="10163.61"/>
    <s v="Female"/>
    <n v="3"/>
    <n v="674.58"/>
    <n v="9489.0300000000007"/>
    <x v="4"/>
    <s v="Q2"/>
    <n v="2023"/>
    <s v="COD"/>
  </r>
  <r>
    <x v="509"/>
    <x v="1"/>
    <x v="0"/>
    <x v="8"/>
    <n v="37"/>
    <n v="14640.5"/>
    <s v="Male"/>
    <n v="2"/>
    <n v="650.99"/>
    <n v="13989.51"/>
    <x v="6"/>
    <s v="Q4"/>
    <n v="2022"/>
    <s v="EMI"/>
  </r>
  <r>
    <x v="415"/>
    <x v="1"/>
    <x v="1"/>
    <x v="1"/>
    <n v="28"/>
    <n v="8062.7"/>
    <s v="Male"/>
    <n v="5"/>
    <n v="2513.64"/>
    <n v="5549.06"/>
    <x v="6"/>
    <s v="Q4"/>
    <n v="2022"/>
    <s v="Credit Card"/>
  </r>
  <r>
    <x v="330"/>
    <x v="2"/>
    <x v="3"/>
    <x v="15"/>
    <n v="4"/>
    <n v="916.38"/>
    <s v="Male"/>
    <n v="5"/>
    <n v="893.69"/>
    <n v="22.69"/>
    <x v="0"/>
    <s v="Q2"/>
    <n v="2022"/>
    <s v="COD"/>
  </r>
  <r>
    <x v="510"/>
    <x v="2"/>
    <x v="0"/>
    <x v="8"/>
    <n v="48"/>
    <n v="16533.09"/>
    <s v="Male"/>
    <n v="5"/>
    <n v="9902.07"/>
    <n v="6631.02"/>
    <x v="7"/>
    <s v="Q3"/>
    <n v="2022"/>
    <s v="COD"/>
  </r>
  <r>
    <x v="362"/>
    <x v="1"/>
    <x v="0"/>
    <x v="0"/>
    <n v="29"/>
    <n v="8745.2199999999993"/>
    <s v="Male"/>
    <n v="1"/>
    <n v="6049.52"/>
    <n v="2695.7"/>
    <x v="3"/>
    <s v="Q2"/>
    <n v="2023"/>
    <s v="Credit Card"/>
  </r>
  <r>
    <x v="356"/>
    <x v="3"/>
    <x v="1"/>
    <x v="19"/>
    <n v="31"/>
    <n v="13260.85"/>
    <s v="Female"/>
    <n v="3"/>
    <n v="7589.66"/>
    <n v="5671.19"/>
    <x v="5"/>
    <s v="Q1"/>
    <n v="2022"/>
    <s v="COD"/>
  </r>
  <r>
    <x v="477"/>
    <x v="0"/>
    <x v="0"/>
    <x v="0"/>
    <n v="31"/>
    <n v="12957.12"/>
    <s v="Male"/>
    <n v="2"/>
    <n v="4378.6499999999996"/>
    <n v="8578.4699999999993"/>
    <x v="11"/>
    <s v="Q4"/>
    <n v="2022"/>
    <s v="COD"/>
  </r>
  <r>
    <x v="511"/>
    <x v="0"/>
    <x v="3"/>
    <x v="11"/>
    <n v="6"/>
    <n v="2036.86"/>
    <s v="Male"/>
    <n v="5"/>
    <n v="1251.3599999999999"/>
    <n v="785.5"/>
    <x v="3"/>
    <s v="Q2"/>
    <n v="2023"/>
    <s v="Credit Card"/>
  </r>
  <r>
    <x v="48"/>
    <x v="4"/>
    <x v="0"/>
    <x v="0"/>
    <n v="35"/>
    <n v="13564.36"/>
    <s v="Female"/>
    <n v="1"/>
    <n v="5206.9399999999996"/>
    <n v="8357.42"/>
    <x v="8"/>
    <s v="Q4"/>
    <n v="2023"/>
    <s v="COD"/>
  </r>
  <r>
    <x v="115"/>
    <x v="2"/>
    <x v="0"/>
    <x v="8"/>
    <n v="8"/>
    <n v="3788.2"/>
    <s v="Female"/>
    <n v="2"/>
    <n v="1180.99"/>
    <n v="2607.21"/>
    <x v="0"/>
    <s v="Q2"/>
    <n v="2022"/>
    <s v="UPI"/>
  </r>
  <r>
    <x v="322"/>
    <x v="2"/>
    <x v="3"/>
    <x v="4"/>
    <n v="23"/>
    <n v="8435.67"/>
    <s v="Female"/>
    <n v="5"/>
    <n v="3834.35"/>
    <n v="4601.32"/>
    <x v="11"/>
    <s v="Q4"/>
    <n v="2022"/>
    <s v="COD"/>
  </r>
  <r>
    <x v="113"/>
    <x v="3"/>
    <x v="1"/>
    <x v="1"/>
    <n v="47"/>
    <n v="14152.35"/>
    <s v="Female"/>
    <n v="1"/>
    <n v="10568.13"/>
    <n v="3584.22"/>
    <x v="5"/>
    <s v="Q1"/>
    <n v="2023"/>
    <s v="COD"/>
  </r>
  <r>
    <x v="128"/>
    <x v="2"/>
    <x v="1"/>
    <x v="1"/>
    <n v="20"/>
    <n v="4672.4399999999996"/>
    <s v="Female"/>
    <n v="1"/>
    <n v="3902.08"/>
    <n v="770.36"/>
    <x v="8"/>
    <s v="Q4"/>
    <n v="2023"/>
    <s v="COD"/>
  </r>
  <r>
    <x v="212"/>
    <x v="0"/>
    <x v="2"/>
    <x v="2"/>
    <n v="3"/>
    <n v="209.72"/>
    <s v="Male"/>
    <n v="3"/>
    <n v="350.38"/>
    <n v="-140.66"/>
    <x v="1"/>
    <s v="Q1"/>
    <n v="2022"/>
    <s v="COD"/>
  </r>
  <r>
    <x v="458"/>
    <x v="2"/>
    <x v="4"/>
    <x v="17"/>
    <n v="50"/>
    <n v="10342.56"/>
    <s v="Female"/>
    <n v="4"/>
    <n v="7029.18"/>
    <n v="3313.38"/>
    <x v="8"/>
    <s v="Q4"/>
    <n v="2022"/>
    <s v="COD"/>
  </r>
  <r>
    <x v="293"/>
    <x v="3"/>
    <x v="0"/>
    <x v="14"/>
    <n v="25"/>
    <n v="10630.78"/>
    <s v="Female"/>
    <n v="3"/>
    <n v="1285.3399999999999"/>
    <n v="9345.44"/>
    <x v="2"/>
    <s v="Q1"/>
    <n v="2022"/>
    <s v="COD"/>
  </r>
  <r>
    <x v="512"/>
    <x v="1"/>
    <x v="2"/>
    <x v="2"/>
    <n v="26"/>
    <n v="8635.42"/>
    <s v="Female"/>
    <n v="4"/>
    <n v="5972.97"/>
    <n v="2662.45"/>
    <x v="1"/>
    <s v="Q1"/>
    <n v="2022"/>
    <s v="Credit Card"/>
  </r>
  <r>
    <x v="96"/>
    <x v="0"/>
    <x v="3"/>
    <x v="4"/>
    <n v="22"/>
    <n v="6690.67"/>
    <s v="Male"/>
    <n v="4"/>
    <n v="1808.93"/>
    <n v="4881.74"/>
    <x v="11"/>
    <s v="Q4"/>
    <n v="2023"/>
    <s v="COD"/>
  </r>
  <r>
    <x v="237"/>
    <x v="4"/>
    <x v="2"/>
    <x v="16"/>
    <n v="21"/>
    <n v="502.68"/>
    <s v="Female"/>
    <n v="1"/>
    <n v="3893.2"/>
    <n v="-3390.52"/>
    <x v="7"/>
    <s v="Q3"/>
    <n v="2023"/>
    <s v="COD"/>
  </r>
  <r>
    <x v="513"/>
    <x v="0"/>
    <x v="0"/>
    <x v="0"/>
    <n v="49"/>
    <n v="22687.119999999999"/>
    <s v="Male"/>
    <n v="2"/>
    <n v="1755.17"/>
    <n v="20931.95"/>
    <x v="5"/>
    <s v="Q1"/>
    <n v="2023"/>
    <s v="COD"/>
  </r>
  <r>
    <x v="501"/>
    <x v="2"/>
    <x v="4"/>
    <x v="6"/>
    <n v="19"/>
    <n v="9266.41"/>
    <s v="Male"/>
    <n v="2"/>
    <n v="3218.8"/>
    <n v="6047.61"/>
    <x v="2"/>
    <s v="Q1"/>
    <n v="2022"/>
    <s v="UPI"/>
  </r>
  <r>
    <x v="87"/>
    <x v="3"/>
    <x v="4"/>
    <x v="10"/>
    <n v="41"/>
    <n v="9528.52"/>
    <s v="Female"/>
    <n v="3"/>
    <n v="2709.71"/>
    <n v="6818.81"/>
    <x v="9"/>
    <s v="Q3"/>
    <n v="2023"/>
    <s v="COD"/>
  </r>
  <r>
    <x v="514"/>
    <x v="1"/>
    <x v="0"/>
    <x v="14"/>
    <n v="3"/>
    <n v="1135.6400000000001"/>
    <s v="Male"/>
    <n v="4"/>
    <n v="284.95999999999998"/>
    <n v="850.68"/>
    <x v="11"/>
    <s v="Q4"/>
    <n v="2022"/>
    <s v="COD"/>
  </r>
  <r>
    <x v="515"/>
    <x v="1"/>
    <x v="2"/>
    <x v="7"/>
    <n v="49"/>
    <n v="11861.21"/>
    <s v="Male"/>
    <n v="2"/>
    <n v="7832.78"/>
    <n v="4028.43"/>
    <x v="0"/>
    <s v="Q2"/>
    <n v="2023"/>
    <s v="EMI"/>
  </r>
  <r>
    <x v="516"/>
    <x v="3"/>
    <x v="3"/>
    <x v="12"/>
    <n v="33"/>
    <n v="3557.57"/>
    <s v="Male"/>
    <n v="1"/>
    <n v="2198.34"/>
    <n v="1359.23"/>
    <x v="9"/>
    <s v="Q3"/>
    <n v="2023"/>
    <s v="UPI"/>
  </r>
  <r>
    <x v="109"/>
    <x v="2"/>
    <x v="4"/>
    <x v="10"/>
    <n v="9"/>
    <n v="3294.2"/>
    <s v="Male"/>
    <n v="1"/>
    <n v="1298.1400000000001"/>
    <n v="1996.06"/>
    <x v="10"/>
    <s v="Q3"/>
    <n v="2022"/>
    <s v="UPI"/>
  </r>
  <r>
    <x v="48"/>
    <x v="3"/>
    <x v="4"/>
    <x v="17"/>
    <n v="4"/>
    <n v="1451.26"/>
    <s v="Female"/>
    <n v="1"/>
    <n v="268.72000000000003"/>
    <n v="1182.54"/>
    <x v="8"/>
    <s v="Q4"/>
    <n v="2023"/>
    <s v="UPI"/>
  </r>
  <r>
    <x v="143"/>
    <x v="0"/>
    <x v="2"/>
    <x v="16"/>
    <n v="9"/>
    <n v="2402.13"/>
    <s v="Male"/>
    <n v="4"/>
    <n v="1102.45"/>
    <n v="1299.68"/>
    <x v="9"/>
    <s v="Q3"/>
    <n v="2023"/>
    <s v="COD"/>
  </r>
  <r>
    <x v="498"/>
    <x v="4"/>
    <x v="2"/>
    <x v="2"/>
    <n v="47"/>
    <n v="22271.31"/>
    <s v="Male"/>
    <n v="4"/>
    <n v="9758.34"/>
    <n v="12512.97"/>
    <x v="5"/>
    <s v="Q1"/>
    <n v="2022"/>
    <s v="COD"/>
  </r>
  <r>
    <x v="111"/>
    <x v="3"/>
    <x v="2"/>
    <x v="5"/>
    <n v="40"/>
    <n v="15984.63"/>
    <s v="Female"/>
    <n v="2"/>
    <n v="9929.2900000000009"/>
    <n v="6055.34"/>
    <x v="3"/>
    <s v="Q2"/>
    <n v="2022"/>
    <s v="EMI"/>
  </r>
  <r>
    <x v="517"/>
    <x v="3"/>
    <x v="2"/>
    <x v="2"/>
    <n v="20"/>
    <n v="8645.9"/>
    <s v="Male"/>
    <n v="3"/>
    <n v="4474.5"/>
    <n v="4171.3999999999996"/>
    <x v="2"/>
    <s v="Q1"/>
    <n v="2023"/>
    <s v="COD"/>
  </r>
  <r>
    <x v="518"/>
    <x v="4"/>
    <x v="0"/>
    <x v="8"/>
    <n v="18"/>
    <n v="609.76"/>
    <s v="Female"/>
    <n v="1"/>
    <n v="2746.66"/>
    <n v="-2136.9"/>
    <x v="5"/>
    <s v="Q1"/>
    <n v="2022"/>
    <s v="COD"/>
  </r>
  <r>
    <x v="275"/>
    <x v="3"/>
    <x v="4"/>
    <x v="10"/>
    <n v="48"/>
    <n v="18454.88"/>
    <s v="Female"/>
    <n v="4"/>
    <n v="4384.67"/>
    <n v="14070.21"/>
    <x v="9"/>
    <s v="Q3"/>
    <n v="2022"/>
    <s v="COD"/>
  </r>
  <r>
    <x v="519"/>
    <x v="3"/>
    <x v="0"/>
    <x v="8"/>
    <n v="15"/>
    <n v="3153.43"/>
    <s v="Male"/>
    <n v="2"/>
    <n v="3433.46"/>
    <n v="-280.02999999999997"/>
    <x v="10"/>
    <s v="Q3"/>
    <n v="2023"/>
    <s v="EMI"/>
  </r>
  <r>
    <x v="196"/>
    <x v="1"/>
    <x v="2"/>
    <x v="7"/>
    <n v="46"/>
    <n v="11280.76"/>
    <s v="Female"/>
    <n v="5"/>
    <n v="7734.22"/>
    <n v="3546.54"/>
    <x v="1"/>
    <s v="Q1"/>
    <n v="2022"/>
    <s v="UPI"/>
  </r>
  <r>
    <x v="495"/>
    <x v="4"/>
    <x v="0"/>
    <x v="14"/>
    <n v="43"/>
    <n v="2894.24"/>
    <s v="Male"/>
    <n v="5"/>
    <n v="5478.36"/>
    <n v="-2584.12"/>
    <x v="1"/>
    <s v="Q1"/>
    <n v="2023"/>
    <s v="COD"/>
  </r>
  <r>
    <x v="254"/>
    <x v="4"/>
    <x v="3"/>
    <x v="4"/>
    <n v="32"/>
    <n v="2986.36"/>
    <s v="Female"/>
    <n v="1"/>
    <n v="784.48"/>
    <n v="2201.88"/>
    <x v="1"/>
    <s v="Q1"/>
    <n v="2022"/>
    <s v="COD"/>
  </r>
  <r>
    <x v="520"/>
    <x v="3"/>
    <x v="4"/>
    <x v="10"/>
    <n v="12"/>
    <n v="5278.83"/>
    <s v="Female"/>
    <n v="4"/>
    <n v="2897.28"/>
    <n v="2381.5500000000002"/>
    <x v="10"/>
    <s v="Q3"/>
    <n v="2023"/>
    <s v="UPI"/>
  </r>
  <r>
    <x v="259"/>
    <x v="1"/>
    <x v="0"/>
    <x v="13"/>
    <n v="49"/>
    <n v="12558.43"/>
    <s v="Male"/>
    <n v="2"/>
    <n v="7293.51"/>
    <n v="5264.92"/>
    <x v="11"/>
    <s v="Q4"/>
    <n v="2023"/>
    <s v="COD"/>
  </r>
  <r>
    <x v="69"/>
    <x v="2"/>
    <x v="2"/>
    <x v="16"/>
    <n v="35"/>
    <n v="3511.5"/>
    <s v="Female"/>
    <n v="5"/>
    <n v="398.52"/>
    <n v="3112.98"/>
    <x v="3"/>
    <s v="Q2"/>
    <n v="2023"/>
    <s v="UPI"/>
  </r>
  <r>
    <x v="521"/>
    <x v="4"/>
    <x v="4"/>
    <x v="10"/>
    <n v="22"/>
    <n v="1300.31"/>
    <s v="Male"/>
    <n v="2"/>
    <n v="2067.5100000000002"/>
    <n v="-767.2"/>
    <x v="1"/>
    <s v="Q1"/>
    <n v="2023"/>
    <s v="COD"/>
  </r>
  <r>
    <x v="237"/>
    <x v="2"/>
    <x v="1"/>
    <x v="9"/>
    <n v="43"/>
    <n v="10203.01"/>
    <s v="Male"/>
    <n v="1"/>
    <n v="10636.64"/>
    <n v="-433.63"/>
    <x v="7"/>
    <s v="Q3"/>
    <n v="2023"/>
    <s v="COD"/>
  </r>
  <r>
    <x v="460"/>
    <x v="1"/>
    <x v="3"/>
    <x v="15"/>
    <n v="21"/>
    <n v="9472.16"/>
    <s v="Male"/>
    <n v="2"/>
    <n v="892.63"/>
    <n v="8579.5300000000007"/>
    <x v="6"/>
    <s v="Q4"/>
    <n v="2022"/>
    <s v="EMI"/>
  </r>
  <r>
    <x v="153"/>
    <x v="1"/>
    <x v="4"/>
    <x v="10"/>
    <n v="23"/>
    <n v="1690.93"/>
    <s v="Female"/>
    <n v="2"/>
    <n v="787.28"/>
    <n v="903.65"/>
    <x v="0"/>
    <s v="Q2"/>
    <n v="2023"/>
    <s v="COD"/>
  </r>
  <r>
    <x v="522"/>
    <x v="4"/>
    <x v="3"/>
    <x v="12"/>
    <n v="26"/>
    <n v="2351.42"/>
    <s v="Female"/>
    <n v="5"/>
    <n v="1395.9"/>
    <n v="955.52"/>
    <x v="3"/>
    <s v="Q2"/>
    <n v="2023"/>
    <s v="UPI"/>
  </r>
  <r>
    <x v="469"/>
    <x v="3"/>
    <x v="3"/>
    <x v="12"/>
    <n v="47"/>
    <n v="10218.36"/>
    <s v="Female"/>
    <n v="4"/>
    <n v="11740.58"/>
    <n v="-1522.22"/>
    <x v="0"/>
    <s v="Q2"/>
    <n v="2023"/>
    <s v="UPI"/>
  </r>
  <r>
    <x v="247"/>
    <x v="0"/>
    <x v="0"/>
    <x v="13"/>
    <n v="36"/>
    <n v="13717.5"/>
    <s v="Male"/>
    <n v="4"/>
    <n v="7014.74"/>
    <n v="6702.76"/>
    <x v="1"/>
    <s v="Q1"/>
    <n v="2023"/>
    <s v="UPI"/>
  </r>
  <r>
    <x v="465"/>
    <x v="4"/>
    <x v="1"/>
    <x v="19"/>
    <n v="26"/>
    <n v="7040.83"/>
    <s v="Female"/>
    <n v="4"/>
    <n v="1547.08"/>
    <n v="5493.75"/>
    <x v="2"/>
    <s v="Q1"/>
    <n v="2022"/>
    <s v="COD"/>
  </r>
  <r>
    <x v="269"/>
    <x v="2"/>
    <x v="0"/>
    <x v="13"/>
    <n v="17"/>
    <n v="1227.6600000000001"/>
    <s v="Female"/>
    <n v="1"/>
    <n v="2899.13"/>
    <n v="-1671.47"/>
    <x v="3"/>
    <s v="Q2"/>
    <n v="2022"/>
    <s v="COD"/>
  </r>
  <r>
    <x v="364"/>
    <x v="2"/>
    <x v="4"/>
    <x v="18"/>
    <n v="22"/>
    <n v="5123.91"/>
    <s v="Female"/>
    <n v="4"/>
    <n v="3126.56"/>
    <n v="1997.35"/>
    <x v="0"/>
    <s v="Q2"/>
    <n v="2023"/>
    <s v="COD"/>
  </r>
  <r>
    <x v="205"/>
    <x v="0"/>
    <x v="2"/>
    <x v="2"/>
    <n v="44"/>
    <n v="4967.92"/>
    <s v="Male"/>
    <n v="2"/>
    <n v="5834.46"/>
    <n v="-866.54"/>
    <x v="3"/>
    <s v="Q2"/>
    <n v="2023"/>
    <s v="COD"/>
  </r>
  <r>
    <x v="324"/>
    <x v="1"/>
    <x v="2"/>
    <x v="7"/>
    <n v="31"/>
    <n v="14582.35"/>
    <s v="Female"/>
    <n v="3"/>
    <n v="832.68"/>
    <n v="13749.67"/>
    <x v="4"/>
    <s v="Q2"/>
    <n v="2023"/>
    <s v="UPI"/>
  </r>
  <r>
    <x v="59"/>
    <x v="1"/>
    <x v="4"/>
    <x v="17"/>
    <n v="42"/>
    <n v="16144.75"/>
    <s v="Female"/>
    <n v="2"/>
    <n v="3155.08"/>
    <n v="12989.67"/>
    <x v="7"/>
    <s v="Q3"/>
    <n v="2023"/>
    <s v="COD"/>
  </r>
  <r>
    <x v="306"/>
    <x v="3"/>
    <x v="4"/>
    <x v="17"/>
    <n v="48"/>
    <n v="16227.88"/>
    <s v="Male"/>
    <n v="4"/>
    <n v="8999.23"/>
    <n v="7228.65"/>
    <x v="1"/>
    <s v="Q1"/>
    <n v="2022"/>
    <s v="Credit Card"/>
  </r>
  <r>
    <x v="193"/>
    <x v="2"/>
    <x v="3"/>
    <x v="15"/>
    <n v="50"/>
    <n v="18531.939999999999"/>
    <s v="Male"/>
    <n v="3"/>
    <n v="10529.39"/>
    <n v="8002.55"/>
    <x v="3"/>
    <s v="Q2"/>
    <n v="2023"/>
    <s v="Credit Card"/>
  </r>
  <r>
    <x v="387"/>
    <x v="4"/>
    <x v="3"/>
    <x v="4"/>
    <n v="2"/>
    <n v="289.76"/>
    <s v="Female"/>
    <n v="1"/>
    <n v="236.38"/>
    <n v="53.38"/>
    <x v="2"/>
    <s v="Q1"/>
    <n v="2022"/>
    <s v="COD"/>
  </r>
  <r>
    <x v="523"/>
    <x v="4"/>
    <x v="0"/>
    <x v="8"/>
    <n v="24"/>
    <n v="3500.77"/>
    <s v="Female"/>
    <n v="3"/>
    <n v="1485.09"/>
    <n v="2015.68"/>
    <x v="1"/>
    <s v="Q1"/>
    <n v="2023"/>
    <s v="Credit Card"/>
  </r>
  <r>
    <x v="524"/>
    <x v="2"/>
    <x v="4"/>
    <x v="18"/>
    <n v="30"/>
    <n v="11838.27"/>
    <s v="Male"/>
    <n v="5"/>
    <n v="3283.25"/>
    <n v="8555.02"/>
    <x v="9"/>
    <s v="Q3"/>
    <n v="2023"/>
    <s v="Credit Card"/>
  </r>
  <r>
    <x v="525"/>
    <x v="0"/>
    <x v="0"/>
    <x v="13"/>
    <n v="37"/>
    <n v="10984.7"/>
    <s v="Male"/>
    <n v="5"/>
    <n v="3288.73"/>
    <n v="7695.97"/>
    <x v="1"/>
    <s v="Q1"/>
    <n v="2023"/>
    <s v="Credit Card"/>
  </r>
  <r>
    <x v="508"/>
    <x v="4"/>
    <x v="4"/>
    <x v="10"/>
    <n v="5"/>
    <n v="2127.59"/>
    <s v="Male"/>
    <n v="4"/>
    <n v="668.81"/>
    <n v="1458.78"/>
    <x v="10"/>
    <s v="Q3"/>
    <n v="2022"/>
    <s v="COD"/>
  </r>
  <r>
    <x v="252"/>
    <x v="0"/>
    <x v="1"/>
    <x v="19"/>
    <n v="18"/>
    <n v="4859.24"/>
    <s v="Female"/>
    <n v="1"/>
    <n v="3775.51"/>
    <n v="1083.73"/>
    <x v="2"/>
    <s v="Q1"/>
    <n v="2022"/>
    <s v="COD"/>
  </r>
  <r>
    <x v="333"/>
    <x v="1"/>
    <x v="0"/>
    <x v="8"/>
    <n v="21"/>
    <n v="8031.07"/>
    <s v="Male"/>
    <n v="5"/>
    <n v="4080.54"/>
    <n v="3950.53"/>
    <x v="0"/>
    <s v="Q2"/>
    <n v="2023"/>
    <s v="COD"/>
  </r>
  <r>
    <x v="473"/>
    <x v="3"/>
    <x v="3"/>
    <x v="15"/>
    <n v="50"/>
    <n v="18721.560000000001"/>
    <s v="Female"/>
    <n v="1"/>
    <n v="5150.8"/>
    <n v="13570.76"/>
    <x v="8"/>
    <s v="Q4"/>
    <n v="2023"/>
    <s v="EMI"/>
  </r>
  <r>
    <x v="376"/>
    <x v="4"/>
    <x v="4"/>
    <x v="18"/>
    <n v="26"/>
    <n v="3457.66"/>
    <s v="Female"/>
    <n v="2"/>
    <n v="3629.35"/>
    <n v="-171.69"/>
    <x v="4"/>
    <s v="Q2"/>
    <n v="2022"/>
    <s v="COD"/>
  </r>
  <r>
    <x v="34"/>
    <x v="1"/>
    <x v="4"/>
    <x v="18"/>
    <n v="50"/>
    <n v="2705.41"/>
    <s v="Female"/>
    <n v="4"/>
    <n v="8924.89"/>
    <n v="-6219.48"/>
    <x v="10"/>
    <s v="Q3"/>
    <n v="2022"/>
    <s v="COD"/>
  </r>
  <r>
    <x v="426"/>
    <x v="0"/>
    <x v="3"/>
    <x v="15"/>
    <n v="17"/>
    <n v="361.63"/>
    <s v="Male"/>
    <n v="3"/>
    <n v="801"/>
    <n v="-439.37"/>
    <x v="3"/>
    <s v="Q2"/>
    <n v="2023"/>
    <s v="Credit Card"/>
  </r>
  <r>
    <x v="59"/>
    <x v="0"/>
    <x v="0"/>
    <x v="14"/>
    <n v="31"/>
    <n v="799.14"/>
    <s v="Female"/>
    <n v="2"/>
    <n v="2445.5300000000002"/>
    <n v="-1646.39"/>
    <x v="7"/>
    <s v="Q3"/>
    <n v="2023"/>
    <s v="Credit Card"/>
  </r>
  <r>
    <x v="174"/>
    <x v="0"/>
    <x v="3"/>
    <x v="12"/>
    <n v="47"/>
    <n v="8911.2999999999993"/>
    <s v="Female"/>
    <n v="4"/>
    <n v="2659.1"/>
    <n v="6252.2"/>
    <x v="9"/>
    <s v="Q3"/>
    <n v="2022"/>
    <s v="EMI"/>
  </r>
  <r>
    <x v="447"/>
    <x v="3"/>
    <x v="1"/>
    <x v="3"/>
    <n v="48"/>
    <n v="12174.62"/>
    <s v="Female"/>
    <n v="2"/>
    <n v="11009.71"/>
    <n v="1164.9100000000001"/>
    <x v="0"/>
    <s v="Q2"/>
    <n v="2023"/>
    <s v="Credit Card"/>
  </r>
  <r>
    <x v="526"/>
    <x v="1"/>
    <x v="4"/>
    <x v="17"/>
    <n v="23"/>
    <n v="7173.66"/>
    <s v="Male"/>
    <n v="4"/>
    <n v="3691.26"/>
    <n v="3482.4"/>
    <x v="6"/>
    <s v="Q4"/>
    <n v="2023"/>
    <s v="Credit Card"/>
  </r>
  <r>
    <x v="156"/>
    <x v="4"/>
    <x v="2"/>
    <x v="2"/>
    <n v="36"/>
    <n v="3054.92"/>
    <s v="Male"/>
    <n v="5"/>
    <n v="1229.96"/>
    <n v="1824.96"/>
    <x v="6"/>
    <s v="Q4"/>
    <n v="2023"/>
    <s v="UPI"/>
  </r>
  <r>
    <x v="451"/>
    <x v="1"/>
    <x v="0"/>
    <x v="13"/>
    <n v="4"/>
    <n v="1811.89"/>
    <s v="Male"/>
    <n v="3"/>
    <n v="491.22"/>
    <n v="1320.67"/>
    <x v="4"/>
    <s v="Q2"/>
    <n v="2022"/>
    <s v="Credit Card"/>
  </r>
  <r>
    <x v="42"/>
    <x v="3"/>
    <x v="3"/>
    <x v="4"/>
    <n v="40"/>
    <n v="14788.91"/>
    <s v="Female"/>
    <n v="5"/>
    <n v="4741.84"/>
    <n v="10047.07"/>
    <x v="0"/>
    <s v="Q2"/>
    <n v="2022"/>
    <s v="Credit Card"/>
  </r>
  <r>
    <x v="250"/>
    <x v="4"/>
    <x v="2"/>
    <x v="2"/>
    <n v="30"/>
    <n v="4863.8900000000003"/>
    <s v="Male"/>
    <n v="1"/>
    <n v="7462.81"/>
    <n v="-2598.92"/>
    <x v="8"/>
    <s v="Q4"/>
    <n v="2023"/>
    <s v="Credit Card"/>
  </r>
  <r>
    <x v="398"/>
    <x v="4"/>
    <x v="0"/>
    <x v="14"/>
    <n v="7"/>
    <n v="138.47999999999999"/>
    <s v="Male"/>
    <n v="1"/>
    <n v="966.54"/>
    <n v="-828.06"/>
    <x v="3"/>
    <s v="Q2"/>
    <n v="2023"/>
    <s v="Credit Card"/>
  </r>
  <r>
    <x v="92"/>
    <x v="1"/>
    <x v="3"/>
    <x v="11"/>
    <n v="3"/>
    <n v="721.01"/>
    <s v="Female"/>
    <n v="2"/>
    <n v="229.03"/>
    <n v="491.98"/>
    <x v="7"/>
    <s v="Q3"/>
    <n v="2022"/>
    <s v="UPI"/>
  </r>
  <r>
    <x v="527"/>
    <x v="0"/>
    <x v="1"/>
    <x v="1"/>
    <n v="40"/>
    <n v="3910.25"/>
    <s v="Female"/>
    <n v="1"/>
    <n v="5235.21"/>
    <n v="-1324.96"/>
    <x v="0"/>
    <s v="Q2"/>
    <n v="2022"/>
    <s v="EMI"/>
  </r>
  <r>
    <x v="135"/>
    <x v="4"/>
    <x v="2"/>
    <x v="5"/>
    <n v="23"/>
    <n v="6697.08"/>
    <s v="Female"/>
    <n v="2"/>
    <n v="2214.31"/>
    <n v="4482.7700000000004"/>
    <x v="5"/>
    <s v="Q1"/>
    <n v="2022"/>
    <s v="EMI"/>
  </r>
  <r>
    <x v="306"/>
    <x v="0"/>
    <x v="0"/>
    <x v="14"/>
    <n v="25"/>
    <n v="10356.08"/>
    <s v="Female"/>
    <n v="2"/>
    <n v="1793.65"/>
    <n v="8562.43"/>
    <x v="1"/>
    <s v="Q1"/>
    <n v="2022"/>
    <s v="EMI"/>
  </r>
  <r>
    <x v="528"/>
    <x v="0"/>
    <x v="1"/>
    <x v="3"/>
    <n v="39"/>
    <n v="5627.53"/>
    <s v="Female"/>
    <n v="2"/>
    <n v="768.93"/>
    <n v="4858.6000000000004"/>
    <x v="10"/>
    <s v="Q3"/>
    <n v="2023"/>
    <s v="Credit Card"/>
  </r>
  <r>
    <x v="529"/>
    <x v="0"/>
    <x v="4"/>
    <x v="18"/>
    <n v="31"/>
    <n v="3498.41"/>
    <s v="Male"/>
    <n v="4"/>
    <n v="3798.96"/>
    <n v="-300.55"/>
    <x v="7"/>
    <s v="Q3"/>
    <n v="2023"/>
    <s v="EMI"/>
  </r>
  <r>
    <x v="320"/>
    <x v="2"/>
    <x v="1"/>
    <x v="9"/>
    <n v="47"/>
    <n v="4267.21"/>
    <s v="Female"/>
    <n v="2"/>
    <n v="10256.59"/>
    <n v="-5989.38"/>
    <x v="0"/>
    <s v="Q2"/>
    <n v="2022"/>
    <s v="Credit Card"/>
  </r>
  <r>
    <x v="139"/>
    <x v="4"/>
    <x v="3"/>
    <x v="15"/>
    <n v="30"/>
    <n v="14753.36"/>
    <s v="Female"/>
    <n v="3"/>
    <n v="4201.8900000000003"/>
    <n v="10551.47"/>
    <x v="4"/>
    <s v="Q2"/>
    <n v="2023"/>
    <s v="UPI"/>
  </r>
  <r>
    <x v="487"/>
    <x v="2"/>
    <x v="2"/>
    <x v="16"/>
    <n v="42"/>
    <n v="19058.66"/>
    <s v="Female"/>
    <n v="2"/>
    <n v="265.3"/>
    <n v="18793.36"/>
    <x v="2"/>
    <s v="Q1"/>
    <n v="2023"/>
    <s v="Credit Card"/>
  </r>
  <r>
    <x v="530"/>
    <x v="1"/>
    <x v="1"/>
    <x v="1"/>
    <n v="31"/>
    <n v="13350.77"/>
    <s v="Female"/>
    <n v="3"/>
    <n v="3375.31"/>
    <n v="9975.4599999999991"/>
    <x v="3"/>
    <s v="Q2"/>
    <n v="2022"/>
    <s v="Credit Card"/>
  </r>
  <r>
    <x v="12"/>
    <x v="1"/>
    <x v="1"/>
    <x v="19"/>
    <n v="16"/>
    <n v="4442.4399999999996"/>
    <s v="Female"/>
    <n v="5"/>
    <n v="1792.94"/>
    <n v="2649.5"/>
    <x v="4"/>
    <s v="Q2"/>
    <n v="2023"/>
    <s v="Credit Card"/>
  </r>
  <r>
    <x v="387"/>
    <x v="3"/>
    <x v="4"/>
    <x v="17"/>
    <n v="49"/>
    <n v="23633.39"/>
    <s v="Female"/>
    <n v="1"/>
    <n v="2516.1"/>
    <n v="21117.29"/>
    <x v="2"/>
    <s v="Q1"/>
    <n v="2022"/>
    <s v="Credit Card"/>
  </r>
  <r>
    <x v="531"/>
    <x v="0"/>
    <x v="3"/>
    <x v="12"/>
    <n v="2"/>
    <n v="82.07"/>
    <s v="Female"/>
    <n v="3"/>
    <n v="473.59"/>
    <n v="-391.52"/>
    <x v="11"/>
    <s v="Q4"/>
    <n v="2023"/>
    <s v="EMI"/>
  </r>
  <r>
    <x v="268"/>
    <x v="0"/>
    <x v="4"/>
    <x v="18"/>
    <n v="27"/>
    <n v="7702.07"/>
    <s v="Female"/>
    <n v="4"/>
    <n v="3624"/>
    <n v="4078.07"/>
    <x v="11"/>
    <s v="Q4"/>
    <n v="2022"/>
    <s v="EMI"/>
  </r>
  <r>
    <x v="329"/>
    <x v="0"/>
    <x v="2"/>
    <x v="5"/>
    <n v="4"/>
    <n v="1268.6500000000001"/>
    <s v="Female"/>
    <n v="1"/>
    <n v="985.95"/>
    <n v="282.7"/>
    <x v="3"/>
    <s v="Q2"/>
    <n v="2022"/>
    <s v="COD"/>
  </r>
  <r>
    <x v="36"/>
    <x v="2"/>
    <x v="0"/>
    <x v="0"/>
    <n v="23"/>
    <n v="5752.08"/>
    <s v="Male"/>
    <n v="1"/>
    <n v="5169.25"/>
    <n v="582.83000000000004"/>
    <x v="9"/>
    <s v="Q3"/>
    <n v="2023"/>
    <s v="COD"/>
  </r>
  <r>
    <x v="326"/>
    <x v="0"/>
    <x v="4"/>
    <x v="18"/>
    <n v="20"/>
    <n v="6549.89"/>
    <s v="Female"/>
    <n v="3"/>
    <n v="3335.03"/>
    <n v="3214.86"/>
    <x v="7"/>
    <s v="Q3"/>
    <n v="2023"/>
    <s v="COD"/>
  </r>
  <r>
    <x v="532"/>
    <x v="3"/>
    <x v="0"/>
    <x v="8"/>
    <n v="28"/>
    <n v="10397.34"/>
    <s v="Female"/>
    <n v="5"/>
    <n v="5807.82"/>
    <n v="4589.5200000000004"/>
    <x v="0"/>
    <s v="Q2"/>
    <n v="2022"/>
    <s v="EMI"/>
  </r>
  <r>
    <x v="218"/>
    <x v="3"/>
    <x v="0"/>
    <x v="13"/>
    <n v="28"/>
    <n v="11714.86"/>
    <s v="Female"/>
    <n v="2"/>
    <n v="4487.0600000000004"/>
    <n v="7227.8"/>
    <x v="3"/>
    <s v="Q2"/>
    <n v="2022"/>
    <s v="UPI"/>
  </r>
  <r>
    <x v="331"/>
    <x v="3"/>
    <x v="0"/>
    <x v="0"/>
    <n v="18"/>
    <n v="7868.81"/>
    <s v="Female"/>
    <n v="5"/>
    <n v="4352.1499999999996"/>
    <n v="3516.66"/>
    <x v="8"/>
    <s v="Q4"/>
    <n v="2022"/>
    <s v="Credit Card"/>
  </r>
  <r>
    <x v="3"/>
    <x v="0"/>
    <x v="2"/>
    <x v="7"/>
    <n v="19"/>
    <n v="7308.82"/>
    <s v="Male"/>
    <n v="4"/>
    <n v="4636.97"/>
    <n v="2671.85"/>
    <x v="2"/>
    <s v="Q1"/>
    <n v="2023"/>
    <s v="COD"/>
  </r>
  <r>
    <x v="246"/>
    <x v="4"/>
    <x v="4"/>
    <x v="18"/>
    <n v="5"/>
    <n v="2489.7199999999998"/>
    <s v="Female"/>
    <n v="3"/>
    <n v="994.17"/>
    <n v="1495.55"/>
    <x v="11"/>
    <s v="Q4"/>
    <n v="2022"/>
    <s v="COD"/>
  </r>
  <r>
    <x v="533"/>
    <x v="0"/>
    <x v="0"/>
    <x v="14"/>
    <n v="33"/>
    <n v="11721.75"/>
    <s v="Male"/>
    <n v="4"/>
    <n v="3380.36"/>
    <n v="8341.39"/>
    <x v="6"/>
    <s v="Q4"/>
    <n v="2022"/>
    <s v="COD"/>
  </r>
  <r>
    <x v="351"/>
    <x v="1"/>
    <x v="4"/>
    <x v="17"/>
    <n v="20"/>
    <n v="7175.33"/>
    <s v="Male"/>
    <n v="2"/>
    <n v="1863.28"/>
    <n v="5312.05"/>
    <x v="11"/>
    <s v="Q4"/>
    <n v="2022"/>
    <s v="COD"/>
  </r>
  <r>
    <x v="62"/>
    <x v="2"/>
    <x v="2"/>
    <x v="2"/>
    <n v="1"/>
    <n v="111.56"/>
    <s v="Female"/>
    <n v="2"/>
    <n v="63.34"/>
    <n v="48.22"/>
    <x v="10"/>
    <s v="Q3"/>
    <n v="2022"/>
    <s v="COD"/>
  </r>
  <r>
    <x v="288"/>
    <x v="0"/>
    <x v="0"/>
    <x v="13"/>
    <n v="38"/>
    <n v="15792.22"/>
    <s v="Male"/>
    <n v="4"/>
    <n v="6138.79"/>
    <n v="9653.43"/>
    <x v="11"/>
    <s v="Q4"/>
    <n v="2022"/>
    <s v="EMI"/>
  </r>
  <r>
    <x v="295"/>
    <x v="2"/>
    <x v="2"/>
    <x v="5"/>
    <n v="43"/>
    <n v="9805.51"/>
    <s v="Female"/>
    <n v="2"/>
    <n v="4372.26"/>
    <n v="5433.25"/>
    <x v="10"/>
    <s v="Q3"/>
    <n v="2023"/>
    <s v="COD"/>
  </r>
  <r>
    <x v="389"/>
    <x v="0"/>
    <x v="2"/>
    <x v="2"/>
    <n v="5"/>
    <n v="1089.02"/>
    <s v="Male"/>
    <n v="5"/>
    <n v="1249.1099999999999"/>
    <n v="-160.09"/>
    <x v="2"/>
    <s v="Q1"/>
    <n v="2023"/>
    <s v="COD"/>
  </r>
  <r>
    <x v="534"/>
    <x v="1"/>
    <x v="3"/>
    <x v="11"/>
    <n v="25"/>
    <n v="5042.28"/>
    <s v="Female"/>
    <n v="1"/>
    <n v="5420.93"/>
    <n v="-378.65"/>
    <x v="5"/>
    <s v="Q1"/>
    <n v="2022"/>
    <s v="EMI"/>
  </r>
  <r>
    <x v="535"/>
    <x v="1"/>
    <x v="0"/>
    <x v="14"/>
    <n v="23"/>
    <n v="6883.35"/>
    <s v="Female"/>
    <n v="3"/>
    <n v="5510.43"/>
    <n v="1372.92"/>
    <x v="10"/>
    <s v="Q3"/>
    <n v="2023"/>
    <s v="COD"/>
  </r>
  <r>
    <x v="488"/>
    <x v="0"/>
    <x v="4"/>
    <x v="18"/>
    <n v="5"/>
    <n v="1173.3399999999999"/>
    <s v="Female"/>
    <n v="5"/>
    <n v="306.41000000000003"/>
    <n v="866.93"/>
    <x v="3"/>
    <s v="Q2"/>
    <n v="2022"/>
    <s v="COD"/>
  </r>
  <r>
    <x v="61"/>
    <x v="3"/>
    <x v="4"/>
    <x v="10"/>
    <n v="2"/>
    <n v="510.51"/>
    <s v="Female"/>
    <n v="2"/>
    <n v="487.66"/>
    <n v="22.85"/>
    <x v="0"/>
    <s v="Q2"/>
    <n v="2022"/>
    <s v="COD"/>
  </r>
  <r>
    <x v="536"/>
    <x v="0"/>
    <x v="4"/>
    <x v="10"/>
    <n v="33"/>
    <n v="15609.57"/>
    <s v="Male"/>
    <n v="4"/>
    <n v="4223.3"/>
    <n v="11386.27"/>
    <x v="8"/>
    <s v="Q4"/>
    <n v="2023"/>
    <s v="COD"/>
  </r>
  <r>
    <x v="452"/>
    <x v="0"/>
    <x v="3"/>
    <x v="4"/>
    <n v="49"/>
    <n v="11717.47"/>
    <s v="Male"/>
    <n v="5"/>
    <n v="7450.45"/>
    <n v="4267.0200000000004"/>
    <x v="0"/>
    <s v="Q2"/>
    <n v="2023"/>
    <s v="COD"/>
  </r>
  <r>
    <x v="537"/>
    <x v="0"/>
    <x v="0"/>
    <x v="8"/>
    <n v="20"/>
    <n v="5477.62"/>
    <s v="Male"/>
    <n v="1"/>
    <n v="1564.07"/>
    <n v="3913.55"/>
    <x v="7"/>
    <s v="Q3"/>
    <n v="2022"/>
    <s v="COD"/>
  </r>
  <r>
    <x v="151"/>
    <x v="4"/>
    <x v="3"/>
    <x v="4"/>
    <n v="20"/>
    <n v="7006.51"/>
    <s v="Male"/>
    <n v="1"/>
    <n v="1385.56"/>
    <n v="5620.95"/>
    <x v="6"/>
    <s v="Q4"/>
    <n v="2022"/>
    <s v="Credit Card"/>
  </r>
  <r>
    <x v="536"/>
    <x v="4"/>
    <x v="0"/>
    <x v="8"/>
    <n v="31"/>
    <n v="7045.2"/>
    <s v="Male"/>
    <n v="2"/>
    <n v="5083.8"/>
    <n v="1961.4"/>
    <x v="8"/>
    <s v="Q4"/>
    <n v="2023"/>
    <s v="Credit Card"/>
  </r>
  <r>
    <x v="236"/>
    <x v="4"/>
    <x v="0"/>
    <x v="8"/>
    <n v="32"/>
    <n v="14350.41"/>
    <s v="Female"/>
    <n v="3"/>
    <n v="1928.95"/>
    <n v="12421.46"/>
    <x v="8"/>
    <s v="Q4"/>
    <n v="2022"/>
    <s v="COD"/>
  </r>
  <r>
    <x v="153"/>
    <x v="2"/>
    <x v="1"/>
    <x v="3"/>
    <n v="7"/>
    <n v="1359.3"/>
    <s v="Female"/>
    <n v="4"/>
    <n v="1462.27"/>
    <n v="-102.97"/>
    <x v="0"/>
    <s v="Q2"/>
    <n v="2023"/>
    <s v="Credit Card"/>
  </r>
  <r>
    <x v="135"/>
    <x v="1"/>
    <x v="1"/>
    <x v="3"/>
    <n v="10"/>
    <n v="4114.22"/>
    <s v="Female"/>
    <n v="3"/>
    <n v="863.24"/>
    <n v="3250.98"/>
    <x v="5"/>
    <s v="Q1"/>
    <n v="2022"/>
    <s v="COD"/>
  </r>
  <r>
    <x v="398"/>
    <x v="1"/>
    <x v="0"/>
    <x v="14"/>
    <n v="32"/>
    <n v="15402.72"/>
    <s v="Female"/>
    <n v="5"/>
    <n v="3272.23"/>
    <n v="12130.49"/>
    <x v="3"/>
    <s v="Q2"/>
    <n v="2023"/>
    <s v="Credit Card"/>
  </r>
  <r>
    <x v="452"/>
    <x v="2"/>
    <x v="4"/>
    <x v="17"/>
    <n v="37"/>
    <n v="824.54"/>
    <s v="Male"/>
    <n v="3"/>
    <n v="8656.7800000000007"/>
    <n v="-7832.24"/>
    <x v="0"/>
    <s v="Q2"/>
    <n v="2023"/>
    <s v="COD"/>
  </r>
  <r>
    <x v="26"/>
    <x v="4"/>
    <x v="3"/>
    <x v="11"/>
    <n v="11"/>
    <n v="5087.3999999999996"/>
    <s v="Male"/>
    <n v="4"/>
    <n v="368.14"/>
    <n v="4719.26"/>
    <x v="9"/>
    <s v="Q3"/>
    <n v="2022"/>
    <s v="Credit Card"/>
  </r>
  <r>
    <x v="411"/>
    <x v="1"/>
    <x v="3"/>
    <x v="12"/>
    <n v="34"/>
    <n v="7974.36"/>
    <s v="Female"/>
    <n v="5"/>
    <n v="2404.7800000000002"/>
    <n v="5569.58"/>
    <x v="5"/>
    <s v="Q1"/>
    <n v="2022"/>
    <s v="COD"/>
  </r>
  <r>
    <x v="273"/>
    <x v="1"/>
    <x v="2"/>
    <x v="16"/>
    <n v="34"/>
    <n v="7516.37"/>
    <s v="Female"/>
    <n v="2"/>
    <n v="2204.7399999999998"/>
    <n v="5311.63"/>
    <x v="8"/>
    <s v="Q4"/>
    <n v="2022"/>
    <s v="Credit Card"/>
  </r>
  <r>
    <x v="79"/>
    <x v="2"/>
    <x v="4"/>
    <x v="10"/>
    <n v="2"/>
    <n v="454.83"/>
    <s v="Male"/>
    <n v="1"/>
    <n v="82.76"/>
    <n v="372.07"/>
    <x v="9"/>
    <s v="Q3"/>
    <n v="2022"/>
    <s v="Credit Card"/>
  </r>
  <r>
    <x v="506"/>
    <x v="1"/>
    <x v="3"/>
    <x v="11"/>
    <n v="37"/>
    <n v="12987.09"/>
    <s v="Male"/>
    <n v="1"/>
    <n v="8394.84"/>
    <n v="4592.25"/>
    <x v="3"/>
    <s v="Q2"/>
    <n v="2022"/>
    <s v="Credit Card"/>
  </r>
  <r>
    <x v="288"/>
    <x v="1"/>
    <x v="2"/>
    <x v="2"/>
    <n v="37"/>
    <n v="17920.830000000002"/>
    <s v="Male"/>
    <n v="3"/>
    <n v="6236.66"/>
    <n v="11684.17"/>
    <x v="11"/>
    <s v="Q4"/>
    <n v="2022"/>
    <s v="COD"/>
  </r>
  <r>
    <x v="110"/>
    <x v="0"/>
    <x v="2"/>
    <x v="5"/>
    <n v="42"/>
    <n v="12225.24"/>
    <s v="Female"/>
    <n v="1"/>
    <n v="7869.39"/>
    <n v="4355.8500000000004"/>
    <x v="4"/>
    <s v="Q2"/>
    <n v="2022"/>
    <s v="COD"/>
  </r>
  <r>
    <x v="538"/>
    <x v="4"/>
    <x v="1"/>
    <x v="3"/>
    <n v="30"/>
    <n v="6117.88"/>
    <s v="Female"/>
    <n v="5"/>
    <n v="3612.15"/>
    <n v="2505.73"/>
    <x v="1"/>
    <s v="Q1"/>
    <n v="2022"/>
    <s v="COD"/>
  </r>
  <r>
    <x v="501"/>
    <x v="4"/>
    <x v="4"/>
    <x v="10"/>
    <n v="16"/>
    <n v="3125.23"/>
    <s v="Male"/>
    <n v="3"/>
    <n v="2414.69"/>
    <n v="710.54"/>
    <x v="2"/>
    <s v="Q1"/>
    <n v="2022"/>
    <s v="COD"/>
  </r>
  <r>
    <x v="539"/>
    <x v="2"/>
    <x v="2"/>
    <x v="7"/>
    <n v="28"/>
    <n v="6188.69"/>
    <s v="Male"/>
    <n v="4"/>
    <n v="1222.9000000000001"/>
    <n v="4965.79"/>
    <x v="6"/>
    <s v="Q4"/>
    <n v="2022"/>
    <s v="COD"/>
  </r>
  <r>
    <x v="120"/>
    <x v="4"/>
    <x v="4"/>
    <x v="10"/>
    <n v="32"/>
    <n v="2850.4"/>
    <s v="Female"/>
    <n v="1"/>
    <n v="4429.33"/>
    <n v="-1578.93"/>
    <x v="3"/>
    <s v="Q2"/>
    <n v="2023"/>
    <s v="COD"/>
  </r>
  <r>
    <x v="137"/>
    <x v="0"/>
    <x v="2"/>
    <x v="7"/>
    <n v="20"/>
    <n v="531.72"/>
    <s v="Male"/>
    <n v="4"/>
    <n v="911.58"/>
    <n v="-379.86"/>
    <x v="1"/>
    <s v="Q1"/>
    <n v="2023"/>
    <s v="COD"/>
  </r>
  <r>
    <x v="21"/>
    <x v="4"/>
    <x v="1"/>
    <x v="9"/>
    <n v="3"/>
    <n v="1032.76"/>
    <s v="Female"/>
    <n v="4"/>
    <n v="182.71"/>
    <n v="850.05"/>
    <x v="0"/>
    <s v="Q2"/>
    <n v="2023"/>
    <s v="COD"/>
  </r>
  <r>
    <x v="540"/>
    <x v="3"/>
    <x v="2"/>
    <x v="5"/>
    <n v="32"/>
    <n v="11367.02"/>
    <s v="Male"/>
    <n v="5"/>
    <n v="7586.18"/>
    <n v="3780.84"/>
    <x v="1"/>
    <s v="Q1"/>
    <n v="2022"/>
    <s v="COD"/>
  </r>
  <r>
    <x v="483"/>
    <x v="0"/>
    <x v="1"/>
    <x v="9"/>
    <n v="40"/>
    <n v="11784.26"/>
    <s v="Male"/>
    <n v="1"/>
    <n v="7292.79"/>
    <n v="4491.47"/>
    <x v="0"/>
    <s v="Q2"/>
    <n v="2022"/>
    <s v="UPI"/>
  </r>
  <r>
    <x v="541"/>
    <x v="4"/>
    <x v="2"/>
    <x v="16"/>
    <n v="21"/>
    <n v="5966.9"/>
    <s v="Male"/>
    <n v="4"/>
    <n v="3965.33"/>
    <n v="2001.57"/>
    <x v="2"/>
    <s v="Q1"/>
    <n v="2023"/>
    <s v="COD"/>
  </r>
  <r>
    <x v="486"/>
    <x v="3"/>
    <x v="3"/>
    <x v="15"/>
    <n v="15"/>
    <n v="2410.52"/>
    <s v="Female"/>
    <n v="4"/>
    <n v="1688.78"/>
    <n v="721.74"/>
    <x v="6"/>
    <s v="Q4"/>
    <n v="2023"/>
    <s v="COD"/>
  </r>
  <r>
    <x v="38"/>
    <x v="2"/>
    <x v="4"/>
    <x v="6"/>
    <n v="19"/>
    <n v="8774.7199999999993"/>
    <s v="Male"/>
    <n v="3"/>
    <n v="4106.05"/>
    <n v="4668.67"/>
    <x v="7"/>
    <s v="Q3"/>
    <n v="2022"/>
    <s v="COD"/>
  </r>
  <r>
    <x v="210"/>
    <x v="3"/>
    <x v="1"/>
    <x v="19"/>
    <n v="32"/>
    <n v="12943.02"/>
    <s v="Male"/>
    <n v="1"/>
    <n v="7525.28"/>
    <n v="5417.74"/>
    <x v="1"/>
    <s v="Q1"/>
    <n v="2023"/>
    <s v="Credit Card"/>
  </r>
  <r>
    <x v="394"/>
    <x v="3"/>
    <x v="4"/>
    <x v="17"/>
    <n v="48"/>
    <n v="23632.07"/>
    <s v="Female"/>
    <n v="2"/>
    <n v="6568.97"/>
    <n v="17063.099999999999"/>
    <x v="11"/>
    <s v="Q4"/>
    <n v="2022"/>
    <s v="Credit Card"/>
  </r>
  <r>
    <x v="170"/>
    <x v="2"/>
    <x v="2"/>
    <x v="7"/>
    <n v="2"/>
    <n v="358.99"/>
    <s v="Male"/>
    <n v="5"/>
    <n v="354.5"/>
    <n v="4.49"/>
    <x v="3"/>
    <s v="Q2"/>
    <n v="2022"/>
    <s v="Credit Card"/>
  </r>
  <r>
    <x v="132"/>
    <x v="0"/>
    <x v="0"/>
    <x v="0"/>
    <n v="28"/>
    <n v="13776.56"/>
    <s v="Male"/>
    <n v="4"/>
    <n v="1737.64"/>
    <n v="12038.92"/>
    <x v="2"/>
    <s v="Q1"/>
    <n v="2023"/>
    <s v="EMI"/>
  </r>
  <r>
    <x v="279"/>
    <x v="1"/>
    <x v="4"/>
    <x v="10"/>
    <n v="41"/>
    <n v="8695.9500000000007"/>
    <s v="Male"/>
    <n v="1"/>
    <n v="3253.67"/>
    <n v="5442.28"/>
    <x v="6"/>
    <s v="Q4"/>
    <n v="2023"/>
    <s v="EMI"/>
  </r>
  <r>
    <x v="50"/>
    <x v="4"/>
    <x v="2"/>
    <x v="5"/>
    <n v="21"/>
    <n v="8545.09"/>
    <s v="Female"/>
    <n v="5"/>
    <n v="2839.67"/>
    <n v="5705.42"/>
    <x v="1"/>
    <s v="Q1"/>
    <n v="2022"/>
    <s v="EMI"/>
  </r>
  <r>
    <x v="125"/>
    <x v="2"/>
    <x v="0"/>
    <x v="13"/>
    <n v="15"/>
    <n v="5853.05"/>
    <s v="Male"/>
    <n v="2"/>
    <n v="1504.72"/>
    <n v="4348.33"/>
    <x v="1"/>
    <s v="Q1"/>
    <n v="2022"/>
    <s v="COD"/>
  </r>
  <r>
    <x v="482"/>
    <x v="3"/>
    <x v="2"/>
    <x v="5"/>
    <n v="14"/>
    <n v="1663.47"/>
    <s v="Male"/>
    <n v="2"/>
    <n v="2838.89"/>
    <n v="-1175.42"/>
    <x v="7"/>
    <s v="Q3"/>
    <n v="2022"/>
    <s v="COD"/>
  </r>
  <r>
    <x v="29"/>
    <x v="2"/>
    <x v="1"/>
    <x v="9"/>
    <n v="5"/>
    <n v="1611.85"/>
    <s v="Male"/>
    <n v="1"/>
    <n v="618.09"/>
    <n v="993.76"/>
    <x v="9"/>
    <s v="Q3"/>
    <n v="2023"/>
    <s v="COD"/>
  </r>
  <r>
    <x v="503"/>
    <x v="2"/>
    <x v="3"/>
    <x v="4"/>
    <n v="3"/>
    <n v="1265.42"/>
    <s v="Female"/>
    <n v="3"/>
    <n v="262.62"/>
    <n v="1002.8"/>
    <x v="10"/>
    <s v="Q3"/>
    <n v="2023"/>
    <s v="COD"/>
  </r>
  <r>
    <x v="202"/>
    <x v="3"/>
    <x v="3"/>
    <x v="12"/>
    <n v="19"/>
    <n v="4571.01"/>
    <s v="Female"/>
    <n v="4"/>
    <n v="867.14"/>
    <n v="3703.87"/>
    <x v="8"/>
    <s v="Q4"/>
    <n v="2022"/>
    <s v="COD"/>
  </r>
  <r>
    <x v="308"/>
    <x v="3"/>
    <x v="3"/>
    <x v="4"/>
    <n v="39"/>
    <n v="16799.560000000001"/>
    <s v="Male"/>
    <n v="1"/>
    <n v="5654.36"/>
    <n v="11145.2"/>
    <x v="5"/>
    <s v="Q1"/>
    <n v="2022"/>
    <s v="COD"/>
  </r>
  <r>
    <x v="454"/>
    <x v="2"/>
    <x v="4"/>
    <x v="10"/>
    <n v="5"/>
    <n v="2276.17"/>
    <s v="Female"/>
    <n v="1"/>
    <n v="954.9"/>
    <n v="1321.27"/>
    <x v="3"/>
    <s v="Q2"/>
    <n v="2022"/>
    <s v="EMI"/>
  </r>
  <r>
    <x v="409"/>
    <x v="1"/>
    <x v="2"/>
    <x v="16"/>
    <n v="17"/>
    <n v="6605.61"/>
    <s v="Male"/>
    <n v="4"/>
    <n v="905.45"/>
    <n v="5700.16"/>
    <x v="2"/>
    <s v="Q1"/>
    <n v="2022"/>
    <s v="EMI"/>
  </r>
  <r>
    <x v="542"/>
    <x v="0"/>
    <x v="4"/>
    <x v="18"/>
    <n v="40"/>
    <n v="13180.49"/>
    <s v="Male"/>
    <n v="4"/>
    <n v="1661.44"/>
    <n v="11519.05"/>
    <x v="4"/>
    <s v="Q2"/>
    <n v="2023"/>
    <s v="EMI"/>
  </r>
  <r>
    <x v="312"/>
    <x v="0"/>
    <x v="3"/>
    <x v="11"/>
    <n v="46"/>
    <n v="20641.73"/>
    <s v="Female"/>
    <n v="5"/>
    <n v="10354.959999999999"/>
    <n v="10286.77"/>
    <x v="1"/>
    <s v="Q1"/>
    <n v="2023"/>
    <s v="COD"/>
  </r>
  <r>
    <x v="302"/>
    <x v="3"/>
    <x v="3"/>
    <x v="15"/>
    <n v="8"/>
    <n v="1414.24"/>
    <s v="Female"/>
    <n v="2"/>
    <n v="780.04"/>
    <n v="634.20000000000005"/>
    <x v="2"/>
    <s v="Q1"/>
    <n v="2022"/>
    <s v="EMI"/>
  </r>
  <r>
    <x v="312"/>
    <x v="2"/>
    <x v="2"/>
    <x v="16"/>
    <n v="45"/>
    <n v="17441.099999999999"/>
    <s v="Male"/>
    <n v="1"/>
    <n v="3149.94"/>
    <n v="14291.16"/>
    <x v="1"/>
    <s v="Q1"/>
    <n v="2023"/>
    <s v="COD"/>
  </r>
  <r>
    <x v="63"/>
    <x v="2"/>
    <x v="4"/>
    <x v="18"/>
    <n v="15"/>
    <n v="2848.03"/>
    <s v="Male"/>
    <n v="5"/>
    <n v="1832.47"/>
    <n v="1015.56"/>
    <x v="10"/>
    <s v="Q3"/>
    <n v="2023"/>
    <s v="COD"/>
  </r>
  <r>
    <x v="384"/>
    <x v="3"/>
    <x v="4"/>
    <x v="6"/>
    <n v="14"/>
    <n v="5464.82"/>
    <s v="Male"/>
    <n v="1"/>
    <n v="1665.62"/>
    <n v="3799.2"/>
    <x v="9"/>
    <s v="Q3"/>
    <n v="2022"/>
    <s v="UPI"/>
  </r>
  <r>
    <x v="198"/>
    <x v="4"/>
    <x v="1"/>
    <x v="9"/>
    <n v="30"/>
    <n v="13184.63"/>
    <s v="Male"/>
    <n v="1"/>
    <n v="4568.04"/>
    <n v="8616.59"/>
    <x v="3"/>
    <s v="Q2"/>
    <n v="2022"/>
    <s v="Credit Card"/>
  </r>
  <r>
    <x v="154"/>
    <x v="1"/>
    <x v="3"/>
    <x v="11"/>
    <n v="18"/>
    <n v="4005.76"/>
    <s v="Female"/>
    <n v="1"/>
    <n v="3064.66"/>
    <n v="941.1"/>
    <x v="10"/>
    <s v="Q3"/>
    <n v="2023"/>
    <s v="COD"/>
  </r>
  <r>
    <x v="543"/>
    <x v="2"/>
    <x v="3"/>
    <x v="4"/>
    <n v="48"/>
    <n v="933.79"/>
    <s v="Female"/>
    <n v="2"/>
    <n v="1245.8900000000001"/>
    <n v="-312.10000000000002"/>
    <x v="0"/>
    <s v="Q2"/>
    <n v="2023"/>
    <s v="COD"/>
  </r>
  <r>
    <x v="369"/>
    <x v="3"/>
    <x v="0"/>
    <x v="14"/>
    <n v="36"/>
    <n v="3427.33"/>
    <s v="Female"/>
    <n v="1"/>
    <n v="7811.09"/>
    <n v="-4383.76"/>
    <x v="1"/>
    <s v="Q1"/>
    <n v="2023"/>
    <s v="COD"/>
  </r>
  <r>
    <x v="156"/>
    <x v="2"/>
    <x v="1"/>
    <x v="9"/>
    <n v="26"/>
    <n v="4982.3500000000004"/>
    <s v="Male"/>
    <n v="4"/>
    <n v="1170.18"/>
    <n v="3812.17"/>
    <x v="6"/>
    <s v="Q4"/>
    <n v="2023"/>
    <s v="COD"/>
  </r>
  <r>
    <x v="140"/>
    <x v="0"/>
    <x v="4"/>
    <x v="10"/>
    <n v="22"/>
    <n v="2061.34"/>
    <s v="Male"/>
    <n v="1"/>
    <n v="3391.68"/>
    <n v="-1330.34"/>
    <x v="4"/>
    <s v="Q2"/>
    <n v="2022"/>
    <s v="COD"/>
  </r>
  <r>
    <x v="544"/>
    <x v="2"/>
    <x v="1"/>
    <x v="19"/>
    <n v="16"/>
    <n v="6691.56"/>
    <s v="Male"/>
    <n v="2"/>
    <n v="3770.46"/>
    <n v="2921.1"/>
    <x v="4"/>
    <s v="Q2"/>
    <n v="2023"/>
    <s v="COD"/>
  </r>
  <r>
    <x v="104"/>
    <x v="4"/>
    <x v="3"/>
    <x v="15"/>
    <n v="8"/>
    <n v="2000.91"/>
    <s v="Male"/>
    <n v="1"/>
    <n v="460.82"/>
    <n v="1540.09"/>
    <x v="7"/>
    <s v="Q3"/>
    <n v="2022"/>
    <s v="COD"/>
  </r>
  <r>
    <x v="10"/>
    <x v="1"/>
    <x v="1"/>
    <x v="1"/>
    <n v="7"/>
    <n v="2655.51"/>
    <s v="Male"/>
    <n v="5"/>
    <n v="1070.6400000000001"/>
    <n v="1584.87"/>
    <x v="0"/>
    <s v="Q2"/>
    <n v="2022"/>
    <s v="COD"/>
  </r>
  <r>
    <x v="545"/>
    <x v="4"/>
    <x v="1"/>
    <x v="9"/>
    <n v="14"/>
    <n v="2802.45"/>
    <s v="Male"/>
    <n v="4"/>
    <n v="618.48"/>
    <n v="2183.9699999999998"/>
    <x v="6"/>
    <s v="Q4"/>
    <n v="2023"/>
    <s v="UP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E9394-5EAA-42B0-8947-00688B3D1DA8}" name="PivotTable8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9" firstHeaderRow="0" firstDataRow="1" firstDataCol="1"/>
  <pivotFields count="17">
    <pivotField axis="axisRow" numFmtId="14" showAll="0">
      <items count="547">
        <item x="308"/>
        <item x="265"/>
        <item x="187"/>
        <item x="255"/>
        <item x="491"/>
        <item x="386"/>
        <item x="427"/>
        <item x="433"/>
        <item x="309"/>
        <item x="340"/>
        <item x="253"/>
        <item x="200"/>
        <item x="534"/>
        <item x="356"/>
        <item x="481"/>
        <item x="135"/>
        <item x="283"/>
        <item x="412"/>
        <item x="407"/>
        <item x="498"/>
        <item x="438"/>
        <item x="411"/>
        <item x="518"/>
        <item x="297"/>
        <item x="439"/>
        <item x="465"/>
        <item x="85"/>
        <item x="349"/>
        <item x="262"/>
        <item x="131"/>
        <item x="293"/>
        <item x="409"/>
        <item x="299"/>
        <item x="368"/>
        <item x="499"/>
        <item x="485"/>
        <item x="424"/>
        <item x="387"/>
        <item x="504"/>
        <item x="252"/>
        <item x="302"/>
        <item x="501"/>
        <item x="416"/>
        <item x="2"/>
        <item x="366"/>
        <item x="512"/>
        <item x="286"/>
        <item x="306"/>
        <item x="72"/>
        <item x="401"/>
        <item x="50"/>
        <item x="196"/>
        <item x="397"/>
        <item x="254"/>
        <item x="464"/>
        <item x="538"/>
        <item x="6"/>
        <item x="212"/>
        <item x="125"/>
        <item x="316"/>
        <item x="163"/>
        <item x="375"/>
        <item x="540"/>
        <item x="455"/>
        <item x="303"/>
        <item x="159"/>
        <item x="25"/>
        <item x="454"/>
        <item x="347"/>
        <item x="218"/>
        <item x="170"/>
        <item x="179"/>
        <item x="269"/>
        <item x="488"/>
        <item x="198"/>
        <item x="111"/>
        <item x="506"/>
        <item x="60"/>
        <item x="343"/>
        <item x="530"/>
        <item x="402"/>
        <item x="4"/>
        <item x="399"/>
        <item x="448"/>
        <item x="78"/>
        <item x="240"/>
        <item x="329"/>
        <item x="408"/>
        <item x="20"/>
        <item x="404"/>
        <item x="428"/>
        <item x="140"/>
        <item x="489"/>
        <item x="317"/>
        <item x="370"/>
        <item x="264"/>
        <item x="422"/>
        <item x="451"/>
        <item x="242"/>
        <item x="310"/>
        <item x="64"/>
        <item x="338"/>
        <item x="376"/>
        <item x="7"/>
        <item x="95"/>
        <item x="110"/>
        <item x="76"/>
        <item x="119"/>
        <item x="192"/>
        <item x="320"/>
        <item x="138"/>
        <item x="532"/>
        <item x="450"/>
        <item x="527"/>
        <item x="466"/>
        <item x="10"/>
        <item x="42"/>
        <item x="61"/>
        <item x="403"/>
        <item x="51"/>
        <item x="115"/>
        <item x="178"/>
        <item x="400"/>
        <item x="429"/>
        <item x="457"/>
        <item x="173"/>
        <item x="330"/>
        <item x="483"/>
        <item x="0"/>
        <item x="144"/>
        <item x="152"/>
        <item x="165"/>
        <item x="79"/>
        <item x="41"/>
        <item x="197"/>
        <item x="26"/>
        <item x="248"/>
        <item x="231"/>
        <item x="74"/>
        <item x="275"/>
        <item x="492"/>
        <item x="467"/>
        <item x="384"/>
        <item x="339"/>
        <item x="191"/>
        <item x="360"/>
        <item x="116"/>
        <item x="226"/>
        <item x="122"/>
        <item x="37"/>
        <item x="174"/>
        <item x="164"/>
        <item x="88"/>
        <item x="157"/>
        <item x="244"/>
        <item x="453"/>
        <item x="43"/>
        <item x="54"/>
        <item x="230"/>
        <item x="101"/>
        <item x="117"/>
        <item x="209"/>
        <item x="168"/>
        <item x="318"/>
        <item x="62"/>
        <item x="71"/>
        <item x="28"/>
        <item x="211"/>
        <item x="328"/>
        <item x="367"/>
        <item x="214"/>
        <item x="129"/>
        <item x="353"/>
        <item x="181"/>
        <item x="508"/>
        <item x="417"/>
        <item x="109"/>
        <item x="106"/>
        <item x="34"/>
        <item x="314"/>
        <item x="39"/>
        <item x="145"/>
        <item x="342"/>
        <item x="104"/>
        <item x="100"/>
        <item x="167"/>
        <item x="18"/>
        <item x="228"/>
        <item x="510"/>
        <item x="92"/>
        <item x="169"/>
        <item x="502"/>
        <item x="86"/>
        <item x="468"/>
        <item x="471"/>
        <item x="44"/>
        <item x="38"/>
        <item x="189"/>
        <item x="482"/>
        <item x="56"/>
        <item x="53"/>
        <item x="537"/>
        <item x="99"/>
        <item x="243"/>
        <item x="67"/>
        <item x="223"/>
        <item x="236"/>
        <item x="23"/>
        <item x="273"/>
        <item x="459"/>
        <item x="377"/>
        <item x="105"/>
        <item x="98"/>
        <item x="458"/>
        <item x="204"/>
        <item x="331"/>
        <item x="82"/>
        <item x="319"/>
        <item x="160"/>
        <item x="383"/>
        <item x="441"/>
        <item x="24"/>
        <item x="148"/>
        <item x="202"/>
        <item x="374"/>
        <item x="213"/>
        <item x="91"/>
        <item x="291"/>
        <item x="84"/>
        <item x="89"/>
        <item x="435"/>
        <item x="396"/>
        <item x="405"/>
        <item x="351"/>
        <item x="65"/>
        <item x="477"/>
        <item x="421"/>
        <item x="394"/>
        <item x="514"/>
        <item x="176"/>
        <item x="246"/>
        <item x="270"/>
        <item x="288"/>
        <item x="391"/>
        <item x="322"/>
        <item x="161"/>
        <item x="107"/>
        <item x="496"/>
        <item x="425"/>
        <item x="335"/>
        <item x="217"/>
        <item x="268"/>
        <item x="305"/>
        <item x="292"/>
        <item x="313"/>
        <item x="194"/>
        <item x="509"/>
        <item x="415"/>
        <item x="155"/>
        <item x="460"/>
        <item x="533"/>
        <item x="406"/>
        <item x="493"/>
        <item x="443"/>
        <item x="418"/>
        <item x="151"/>
        <item x="490"/>
        <item x="484"/>
        <item x="414"/>
        <item x="238"/>
        <item x="539"/>
        <item x="108"/>
        <item x="141"/>
        <item x="93"/>
        <item x="186"/>
        <item x="166"/>
        <item x="304"/>
        <item x="431"/>
        <item x="348"/>
        <item x="261"/>
        <item x="290"/>
        <item x="8"/>
        <item x="208"/>
        <item x="513"/>
        <item x="267"/>
        <item x="296"/>
        <item x="365"/>
        <item x="378"/>
        <item x="222"/>
        <item x="251"/>
        <item x="413"/>
        <item x="281"/>
        <item x="35"/>
        <item x="55"/>
        <item x="497"/>
        <item x="301"/>
        <item x="258"/>
        <item x="201"/>
        <item x="463"/>
        <item x="113"/>
        <item x="479"/>
        <item x="177"/>
        <item x="430"/>
        <item x="282"/>
        <item x="341"/>
        <item x="480"/>
        <item x="278"/>
        <item x="46"/>
        <item x="132"/>
        <item x="456"/>
        <item x="147"/>
        <item x="541"/>
        <item x="505"/>
        <item x="442"/>
        <item x="507"/>
        <item x="188"/>
        <item x="121"/>
        <item x="175"/>
        <item x="517"/>
        <item x="245"/>
        <item x="487"/>
        <item x="389"/>
        <item x="470"/>
        <item x="3"/>
        <item x="57"/>
        <item x="149"/>
        <item x="210"/>
        <item x="381"/>
        <item x="126"/>
        <item x="184"/>
        <item x="312"/>
        <item x="476"/>
        <item x="523"/>
        <item x="521"/>
        <item x="14"/>
        <item x="525"/>
        <item x="369"/>
        <item x="118"/>
        <item x="247"/>
        <item x="77"/>
        <item x="47"/>
        <item x="277"/>
        <item x="137"/>
        <item x="495"/>
        <item x="19"/>
        <item x="90"/>
        <item x="437"/>
        <item x="233"/>
        <item x="426"/>
        <item x="221"/>
        <item x="224"/>
        <item x="69"/>
        <item x="249"/>
        <item x="81"/>
        <item x="120"/>
        <item x="511"/>
        <item x="336"/>
        <item x="73"/>
        <item x="234"/>
        <item x="446"/>
        <item x="398"/>
        <item x="522"/>
        <item x="256"/>
        <item x="205"/>
        <item x="195"/>
        <item x="362"/>
        <item x="183"/>
        <item x="16"/>
        <item x="193"/>
        <item x="357"/>
        <item x="32"/>
        <item x="215"/>
        <item x="392"/>
        <item x="11"/>
        <item x="445"/>
        <item x="30"/>
        <item x="12"/>
        <item x="420"/>
        <item x="146"/>
        <item x="5"/>
        <item x="80"/>
        <item x="475"/>
        <item x="542"/>
        <item x="142"/>
        <item x="139"/>
        <item x="345"/>
        <item x="199"/>
        <item x="388"/>
        <item x="185"/>
        <item x="324"/>
        <item x="544"/>
        <item x="158"/>
        <item x="22"/>
        <item x="325"/>
        <item x="172"/>
        <item x="153"/>
        <item x="333"/>
        <item x="515"/>
        <item x="447"/>
        <item x="452"/>
        <item x="474"/>
        <item x="103"/>
        <item x="276"/>
        <item x="363"/>
        <item x="364"/>
        <item x="97"/>
        <item x="373"/>
        <item x="1"/>
        <item x="285"/>
        <item x="469"/>
        <item x="337"/>
        <item x="207"/>
        <item x="300"/>
        <item x="385"/>
        <item x="543"/>
        <item x="216"/>
        <item x="21"/>
        <item x="461"/>
        <item x="382"/>
        <item x="516"/>
        <item x="68"/>
        <item x="206"/>
        <item x="225"/>
        <item x="87"/>
        <item x="29"/>
        <item x="143"/>
        <item x="390"/>
        <item x="83"/>
        <item x="524"/>
        <item x="266"/>
        <item x="327"/>
        <item x="352"/>
        <item x="346"/>
        <item x="36"/>
        <item x="289"/>
        <item x="66"/>
        <item x="393"/>
        <item x="136"/>
        <item x="154"/>
        <item x="45"/>
        <item x="130"/>
        <item x="112"/>
        <item x="227"/>
        <item x="379"/>
        <item x="190"/>
        <item x="311"/>
        <item x="494"/>
        <item x="63"/>
        <item x="49"/>
        <item x="284"/>
        <item x="520"/>
        <item x="235"/>
        <item x="134"/>
        <item x="359"/>
        <item x="519"/>
        <item x="295"/>
        <item x="528"/>
        <item x="503"/>
        <item x="272"/>
        <item x="380"/>
        <item x="321"/>
        <item x="535"/>
        <item x="59"/>
        <item x="423"/>
        <item x="529"/>
        <item x="171"/>
        <item x="434"/>
        <item x="323"/>
        <item x="237"/>
        <item x="500"/>
        <item x="124"/>
        <item x="150"/>
        <item x="294"/>
        <item x="13"/>
        <item x="344"/>
        <item x="358"/>
        <item x="410"/>
        <item x="432"/>
        <item x="334"/>
        <item x="220"/>
        <item x="444"/>
        <item x="326"/>
        <item x="133"/>
        <item x="274"/>
        <item x="354"/>
        <item x="75"/>
        <item x="536"/>
        <item x="355"/>
        <item x="31"/>
        <item x="180"/>
        <item x="298"/>
        <item x="473"/>
        <item x="48"/>
        <item x="250"/>
        <item x="263"/>
        <item x="287"/>
        <item x="307"/>
        <item x="182"/>
        <item x="127"/>
        <item x="361"/>
        <item x="229"/>
        <item x="128"/>
        <item x="259"/>
        <item x="123"/>
        <item x="440"/>
        <item x="271"/>
        <item x="462"/>
        <item x="531"/>
        <item x="203"/>
        <item x="232"/>
        <item x="315"/>
        <item x="372"/>
        <item x="102"/>
        <item x="280"/>
        <item x="472"/>
        <item x="96"/>
        <item x="94"/>
        <item x="257"/>
        <item x="58"/>
        <item x="40"/>
        <item x="395"/>
        <item x="114"/>
        <item x="9"/>
        <item x="486"/>
        <item x="239"/>
        <item x="17"/>
        <item x="27"/>
        <item x="419"/>
        <item x="241"/>
        <item x="219"/>
        <item x="545"/>
        <item x="449"/>
        <item x="332"/>
        <item x="33"/>
        <item x="260"/>
        <item x="156"/>
        <item x="371"/>
        <item x="52"/>
        <item x="526"/>
        <item x="350"/>
        <item x="70"/>
        <item x="478"/>
        <item x="279"/>
        <item x="162"/>
        <item x="15"/>
        <item x="436"/>
        <item t="default"/>
      </items>
    </pivotField>
    <pivotField axis="axisRow" showAll="0">
      <items count="6">
        <item h="1" x="2"/>
        <item h="1" x="1"/>
        <item x="3"/>
        <item h="1" x="4"/>
        <item h="1" x="0"/>
        <item t="default"/>
      </items>
    </pivotField>
    <pivotField axis="axisRow" showAll="0">
      <items count="6">
        <item x="2"/>
        <item x="1"/>
        <item x="0"/>
        <item x="4"/>
        <item x="3"/>
        <item t="default"/>
      </items>
    </pivotField>
    <pivotField axis="axisRow" showAll="0">
      <items count="21">
        <item x="17"/>
        <item x="11"/>
        <item x="3"/>
        <item x="16"/>
        <item x="6"/>
        <item x="0"/>
        <item x="9"/>
        <item x="15"/>
        <item x="8"/>
        <item x="5"/>
        <item x="7"/>
        <item x="10"/>
        <item x="4"/>
        <item x="2"/>
        <item x="13"/>
        <item x="18"/>
        <item x="1"/>
        <item x="12"/>
        <item x="14"/>
        <item x="19"/>
        <item t="default"/>
      </items>
    </pivotField>
    <pivotField dataField="1" showAll="0"/>
    <pivotField dataField="1" showAll="0"/>
    <pivotField showAll="0"/>
    <pivotField showAll="0"/>
    <pivotField dataField="1" showAll="0"/>
    <pivotField dataField="1" showAll="0"/>
    <pivotField axis="axisRow" showAll="0">
      <items count="13">
        <item h="1" x="5"/>
        <item h="1" x="2"/>
        <item h="1" x="1"/>
        <item h="1" x="3"/>
        <item h="1" x="4"/>
        <item x="0"/>
        <item h="1" x="9"/>
        <item h="1" x="10"/>
        <item h="1" x="7"/>
        <item h="1" x="8"/>
        <item h="1" x="11"/>
        <item h="1" x="6"/>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8">
    <field x="1"/>
    <field x="10"/>
    <field x="2"/>
    <field x="3"/>
    <field x="16"/>
    <field x="15"/>
    <field x="14"/>
    <field x="0"/>
  </rowFields>
  <rowItems count="46">
    <i>
      <x v="2"/>
    </i>
    <i r="1">
      <x v="5"/>
    </i>
    <i r="2">
      <x/>
    </i>
    <i r="3">
      <x v="3"/>
    </i>
    <i r="4">
      <x v="1"/>
    </i>
    <i r="3">
      <x v="9"/>
    </i>
    <i r="4">
      <x v="1"/>
    </i>
    <i r="4">
      <x v="2"/>
    </i>
    <i r="3">
      <x v="13"/>
    </i>
    <i r="4">
      <x v="1"/>
    </i>
    <i r="4">
      <x v="2"/>
    </i>
    <i r="2">
      <x v="1"/>
    </i>
    <i r="3">
      <x v="2"/>
    </i>
    <i r="4">
      <x v="2"/>
    </i>
    <i r="3">
      <x v="6"/>
    </i>
    <i r="4">
      <x v="1"/>
    </i>
    <i r="4">
      <x v="2"/>
    </i>
    <i r="3">
      <x v="16"/>
    </i>
    <i r="4">
      <x v="1"/>
    </i>
    <i r="3">
      <x v="19"/>
    </i>
    <i r="4">
      <x v="2"/>
    </i>
    <i r="2">
      <x v="2"/>
    </i>
    <i r="3">
      <x v="5"/>
    </i>
    <i r="4">
      <x v="1"/>
    </i>
    <i r="3">
      <x v="8"/>
    </i>
    <i r="4">
      <x v="1"/>
    </i>
    <i r="4">
      <x v="2"/>
    </i>
    <i r="3">
      <x v="14"/>
    </i>
    <i r="4">
      <x v="2"/>
    </i>
    <i r="2">
      <x v="3"/>
    </i>
    <i r="3">
      <x v="4"/>
    </i>
    <i r="4">
      <x v="1"/>
    </i>
    <i r="4">
      <x v="2"/>
    </i>
    <i r="3">
      <x v="11"/>
    </i>
    <i r="4">
      <x v="1"/>
    </i>
    <i r="4">
      <x v="2"/>
    </i>
    <i r="3">
      <x v="15"/>
    </i>
    <i r="4">
      <x v="1"/>
    </i>
    <i r="2">
      <x v="4"/>
    </i>
    <i r="3">
      <x v="7"/>
    </i>
    <i r="4">
      <x v="1"/>
    </i>
    <i r="3">
      <x v="12"/>
    </i>
    <i r="4">
      <x v="1"/>
    </i>
    <i r="3">
      <x v="17"/>
    </i>
    <i r="4">
      <x v="2"/>
    </i>
    <i t="grand">
      <x/>
    </i>
  </rowItems>
  <colFields count="1">
    <field x="-2"/>
  </colFields>
  <colItems count="4">
    <i>
      <x/>
    </i>
    <i i="1">
      <x v="1"/>
    </i>
    <i i="2">
      <x v="2"/>
    </i>
    <i i="3">
      <x v="3"/>
    </i>
  </colItems>
  <dataFields count="4">
    <dataField name="Sum of Profit" fld="9" baseField="0" baseItem="0"/>
    <dataField name="Sum of Sales" fld="5" baseField="0" baseItem="0"/>
    <dataField name="Sum of Product Cost" fld="8" baseField="0" baseItem="0"/>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7DEFEC-937F-4DB6-AAEF-AEEA1F704304}" name="PivotTable3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A3:B15" firstHeaderRow="1" firstDataRow="1" firstDataCol="1"/>
  <pivotFields count="14">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5"/>
        <item x="2"/>
        <item x="1"/>
        <item x="3"/>
        <item x="4"/>
        <item x="0"/>
        <item x="9"/>
        <item x="10"/>
        <item x="7"/>
        <item x="8"/>
        <item x="1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12">
    <i>
      <x/>
    </i>
    <i>
      <x v="1"/>
    </i>
    <i>
      <x v="2"/>
    </i>
    <i>
      <x v="3"/>
    </i>
    <i>
      <x v="4"/>
    </i>
    <i>
      <x v="5"/>
    </i>
    <i>
      <x v="6"/>
    </i>
    <i>
      <x v="7"/>
    </i>
    <i>
      <x v="8"/>
    </i>
    <i>
      <x v="9"/>
    </i>
    <i>
      <x v="10"/>
    </i>
    <i>
      <x v="11"/>
    </i>
  </rowItems>
  <colItems count="1">
    <i/>
  </colItems>
  <dataFields count="1">
    <dataField name="Sum of Sales" fld="5"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D96ACF-C01E-43EA-81E8-DE621583B32C}" name="PivotTable8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 firstHeaderRow="1" firstDataRow="1" firstDataCol="1"/>
  <pivotFields count="14">
    <pivotField numFmtId="14" showAll="0"/>
    <pivotField showAll="0"/>
    <pivotField axis="axisRow" showAll="0" sortType="descending">
      <items count="6">
        <item x="2"/>
        <item x="1"/>
        <item x="0"/>
        <item x="4"/>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6">
    <i>
      <x v="3"/>
    </i>
    <i>
      <x v="1"/>
    </i>
    <i>
      <x/>
    </i>
    <i>
      <x v="4"/>
    </i>
    <i>
      <x v="2"/>
    </i>
    <i t="grand">
      <x/>
    </i>
  </rowItems>
  <colItems count="1">
    <i/>
  </colItems>
  <dataFields count="1">
    <dataField name="Sum of Sales" fld="5" baseField="0" baseItem="0"/>
  </dataFields>
  <formats count="2">
    <format dxfId="3">
      <pivotArea dataOnly="0" fieldPosition="0">
        <references count="1">
          <reference field="2" count="1">
            <x v="3"/>
          </reference>
        </references>
      </pivotArea>
    </format>
    <format dxfId="2">
      <pivotArea dataOnly="0" fieldPosition="0">
        <references count="1">
          <reference field="2"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8C9CE-B142-4854-9F31-73226CE83A3C}" name="PivotTable8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8:B34" firstHeaderRow="1" firstDataRow="1" firstDataCol="1"/>
  <pivotFields count="14">
    <pivotField numFmtId="14" showAll="0"/>
    <pivotField axis="axisRow" showAll="0">
      <items count="6">
        <item x="2"/>
        <item x="1"/>
        <item x="3"/>
        <item x="4"/>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Sales" fld="5"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C0EF13-2B2C-4856-94DC-278718E9BCA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2:E9" firstHeaderRow="0" firstDataRow="1" firstDataCol="1"/>
  <pivotFields count="17">
    <pivotField showAll="0">
      <items count="548">
        <item x="308"/>
        <item x="265"/>
        <item x="187"/>
        <item x="255"/>
        <item x="491"/>
        <item x="386"/>
        <item x="427"/>
        <item x="433"/>
        <item x="309"/>
        <item x="340"/>
        <item x="253"/>
        <item x="200"/>
        <item x="534"/>
        <item x="356"/>
        <item x="481"/>
        <item x="135"/>
        <item x="283"/>
        <item x="412"/>
        <item x="407"/>
        <item x="498"/>
        <item x="438"/>
        <item x="411"/>
        <item x="518"/>
        <item x="297"/>
        <item x="439"/>
        <item x="465"/>
        <item x="85"/>
        <item x="349"/>
        <item x="262"/>
        <item x="131"/>
        <item x="293"/>
        <item x="409"/>
        <item x="299"/>
        <item x="368"/>
        <item x="499"/>
        <item x="485"/>
        <item x="424"/>
        <item x="387"/>
        <item x="504"/>
        <item x="252"/>
        <item x="302"/>
        <item x="501"/>
        <item x="416"/>
        <item x="2"/>
        <item x="366"/>
        <item x="512"/>
        <item x="286"/>
        <item x="306"/>
        <item x="72"/>
        <item x="401"/>
        <item x="50"/>
        <item x="196"/>
        <item x="397"/>
        <item x="254"/>
        <item x="464"/>
        <item x="538"/>
        <item x="6"/>
        <item x="212"/>
        <item x="125"/>
        <item x="316"/>
        <item x="163"/>
        <item x="375"/>
        <item x="540"/>
        <item x="455"/>
        <item x="303"/>
        <item x="159"/>
        <item x="25"/>
        <item x="454"/>
        <item x="347"/>
        <item x="218"/>
        <item x="170"/>
        <item x="179"/>
        <item x="269"/>
        <item x="488"/>
        <item x="198"/>
        <item x="111"/>
        <item x="506"/>
        <item x="60"/>
        <item x="343"/>
        <item x="530"/>
        <item x="402"/>
        <item x="4"/>
        <item x="399"/>
        <item x="448"/>
        <item x="78"/>
        <item x="240"/>
        <item x="329"/>
        <item x="408"/>
        <item x="20"/>
        <item x="404"/>
        <item x="428"/>
        <item x="140"/>
        <item x="489"/>
        <item x="317"/>
        <item x="370"/>
        <item x="264"/>
        <item x="422"/>
        <item x="451"/>
        <item x="242"/>
        <item x="310"/>
        <item x="64"/>
        <item x="338"/>
        <item x="376"/>
        <item x="7"/>
        <item x="95"/>
        <item x="110"/>
        <item x="76"/>
        <item x="119"/>
        <item x="192"/>
        <item x="320"/>
        <item x="138"/>
        <item x="532"/>
        <item x="450"/>
        <item x="527"/>
        <item x="466"/>
        <item x="10"/>
        <item x="42"/>
        <item x="61"/>
        <item x="403"/>
        <item x="51"/>
        <item x="115"/>
        <item x="178"/>
        <item x="400"/>
        <item x="429"/>
        <item x="457"/>
        <item x="173"/>
        <item x="330"/>
        <item x="483"/>
        <item x="0"/>
        <item x="144"/>
        <item x="152"/>
        <item x="165"/>
        <item x="79"/>
        <item x="41"/>
        <item x="197"/>
        <item x="26"/>
        <item x="248"/>
        <item x="231"/>
        <item x="74"/>
        <item x="275"/>
        <item x="492"/>
        <item x="467"/>
        <item x="384"/>
        <item x="339"/>
        <item x="191"/>
        <item x="360"/>
        <item x="116"/>
        <item x="226"/>
        <item x="122"/>
        <item x="37"/>
        <item x="174"/>
        <item x="164"/>
        <item x="88"/>
        <item x="157"/>
        <item x="244"/>
        <item x="453"/>
        <item x="43"/>
        <item x="54"/>
        <item x="230"/>
        <item x="101"/>
        <item x="117"/>
        <item x="209"/>
        <item x="168"/>
        <item x="318"/>
        <item x="62"/>
        <item x="71"/>
        <item x="28"/>
        <item x="211"/>
        <item x="328"/>
        <item x="367"/>
        <item x="214"/>
        <item x="129"/>
        <item x="353"/>
        <item x="181"/>
        <item x="508"/>
        <item x="417"/>
        <item x="109"/>
        <item x="106"/>
        <item x="34"/>
        <item x="314"/>
        <item x="39"/>
        <item x="145"/>
        <item x="342"/>
        <item x="104"/>
        <item x="100"/>
        <item x="167"/>
        <item x="18"/>
        <item x="228"/>
        <item x="510"/>
        <item x="92"/>
        <item x="169"/>
        <item x="502"/>
        <item x="86"/>
        <item x="468"/>
        <item x="471"/>
        <item x="44"/>
        <item x="38"/>
        <item x="189"/>
        <item x="482"/>
        <item x="56"/>
        <item x="53"/>
        <item x="537"/>
        <item x="99"/>
        <item x="243"/>
        <item x="67"/>
        <item x="223"/>
        <item x="236"/>
        <item x="23"/>
        <item x="273"/>
        <item x="459"/>
        <item x="377"/>
        <item x="105"/>
        <item x="98"/>
        <item x="458"/>
        <item x="204"/>
        <item x="331"/>
        <item x="82"/>
        <item x="319"/>
        <item x="160"/>
        <item x="383"/>
        <item x="441"/>
        <item x="24"/>
        <item x="148"/>
        <item x="202"/>
        <item x="374"/>
        <item x="213"/>
        <item x="91"/>
        <item x="291"/>
        <item x="84"/>
        <item x="89"/>
        <item x="435"/>
        <item x="396"/>
        <item x="405"/>
        <item x="351"/>
        <item x="65"/>
        <item x="477"/>
        <item x="421"/>
        <item x="394"/>
        <item x="514"/>
        <item x="176"/>
        <item x="246"/>
        <item x="270"/>
        <item x="288"/>
        <item x="391"/>
        <item x="322"/>
        <item x="161"/>
        <item x="107"/>
        <item x="496"/>
        <item x="425"/>
        <item x="335"/>
        <item x="217"/>
        <item x="268"/>
        <item x="305"/>
        <item x="292"/>
        <item x="313"/>
        <item x="194"/>
        <item x="509"/>
        <item x="415"/>
        <item x="155"/>
        <item x="460"/>
        <item x="533"/>
        <item x="406"/>
        <item x="493"/>
        <item x="443"/>
        <item x="418"/>
        <item x="151"/>
        <item x="490"/>
        <item x="484"/>
        <item x="414"/>
        <item x="238"/>
        <item x="539"/>
        <item x="108"/>
        <item x="141"/>
        <item x="93"/>
        <item x="186"/>
        <item x="166"/>
        <item x="304"/>
        <item x="431"/>
        <item x="348"/>
        <item x="261"/>
        <item x="290"/>
        <item x="8"/>
        <item x="208"/>
        <item x="513"/>
        <item x="267"/>
        <item x="296"/>
        <item x="365"/>
        <item x="378"/>
        <item x="222"/>
        <item x="251"/>
        <item x="413"/>
        <item x="281"/>
        <item x="35"/>
        <item x="55"/>
        <item x="497"/>
        <item x="301"/>
        <item x="258"/>
        <item x="201"/>
        <item x="463"/>
        <item x="113"/>
        <item x="479"/>
        <item x="177"/>
        <item x="430"/>
        <item x="282"/>
        <item x="341"/>
        <item x="480"/>
        <item x="278"/>
        <item x="46"/>
        <item x="132"/>
        <item x="456"/>
        <item x="147"/>
        <item x="541"/>
        <item x="505"/>
        <item x="442"/>
        <item x="507"/>
        <item x="188"/>
        <item x="121"/>
        <item x="175"/>
        <item x="517"/>
        <item x="245"/>
        <item x="487"/>
        <item x="389"/>
        <item x="470"/>
        <item x="3"/>
        <item x="57"/>
        <item x="149"/>
        <item x="210"/>
        <item x="381"/>
        <item x="126"/>
        <item x="184"/>
        <item x="312"/>
        <item x="476"/>
        <item x="523"/>
        <item x="521"/>
        <item x="14"/>
        <item x="525"/>
        <item x="369"/>
        <item x="118"/>
        <item x="247"/>
        <item x="77"/>
        <item x="47"/>
        <item x="277"/>
        <item x="137"/>
        <item x="495"/>
        <item x="19"/>
        <item x="90"/>
        <item x="437"/>
        <item x="233"/>
        <item x="426"/>
        <item x="221"/>
        <item x="224"/>
        <item x="69"/>
        <item x="249"/>
        <item x="81"/>
        <item x="120"/>
        <item x="511"/>
        <item x="336"/>
        <item x="73"/>
        <item x="234"/>
        <item x="446"/>
        <item x="398"/>
        <item x="522"/>
        <item x="256"/>
        <item x="205"/>
        <item x="195"/>
        <item x="362"/>
        <item x="183"/>
        <item x="16"/>
        <item x="193"/>
        <item x="357"/>
        <item x="32"/>
        <item x="215"/>
        <item x="392"/>
        <item x="11"/>
        <item x="445"/>
        <item x="30"/>
        <item x="12"/>
        <item x="420"/>
        <item x="146"/>
        <item x="5"/>
        <item x="80"/>
        <item x="475"/>
        <item x="542"/>
        <item x="142"/>
        <item x="139"/>
        <item x="345"/>
        <item x="199"/>
        <item x="388"/>
        <item x="185"/>
        <item x="324"/>
        <item x="544"/>
        <item x="158"/>
        <item x="22"/>
        <item x="325"/>
        <item x="172"/>
        <item x="153"/>
        <item x="333"/>
        <item x="515"/>
        <item x="447"/>
        <item x="452"/>
        <item x="474"/>
        <item x="103"/>
        <item x="276"/>
        <item x="363"/>
        <item x="364"/>
        <item x="97"/>
        <item x="373"/>
        <item x="1"/>
        <item x="285"/>
        <item x="469"/>
        <item x="337"/>
        <item x="207"/>
        <item x="300"/>
        <item x="385"/>
        <item x="543"/>
        <item x="216"/>
        <item x="21"/>
        <item x="461"/>
        <item x="382"/>
        <item x="516"/>
        <item x="68"/>
        <item x="206"/>
        <item x="225"/>
        <item x="87"/>
        <item x="29"/>
        <item x="143"/>
        <item x="390"/>
        <item x="83"/>
        <item x="524"/>
        <item x="266"/>
        <item x="327"/>
        <item x="352"/>
        <item x="346"/>
        <item x="36"/>
        <item x="289"/>
        <item x="66"/>
        <item x="393"/>
        <item x="136"/>
        <item x="154"/>
        <item x="45"/>
        <item x="130"/>
        <item x="112"/>
        <item x="227"/>
        <item x="379"/>
        <item x="190"/>
        <item x="311"/>
        <item x="494"/>
        <item x="63"/>
        <item x="49"/>
        <item x="284"/>
        <item x="520"/>
        <item x="235"/>
        <item x="134"/>
        <item x="359"/>
        <item x="519"/>
        <item x="295"/>
        <item x="528"/>
        <item x="503"/>
        <item x="272"/>
        <item x="380"/>
        <item x="321"/>
        <item x="535"/>
        <item x="59"/>
        <item x="423"/>
        <item x="529"/>
        <item x="171"/>
        <item x="434"/>
        <item x="323"/>
        <item x="237"/>
        <item x="500"/>
        <item x="124"/>
        <item x="150"/>
        <item x="294"/>
        <item x="13"/>
        <item x="344"/>
        <item x="358"/>
        <item x="410"/>
        <item x="432"/>
        <item x="334"/>
        <item x="220"/>
        <item x="444"/>
        <item x="326"/>
        <item x="133"/>
        <item x="274"/>
        <item x="354"/>
        <item x="75"/>
        <item x="536"/>
        <item x="355"/>
        <item x="31"/>
        <item x="180"/>
        <item x="298"/>
        <item x="473"/>
        <item x="48"/>
        <item x="250"/>
        <item x="263"/>
        <item x="287"/>
        <item x="307"/>
        <item x="182"/>
        <item x="127"/>
        <item x="361"/>
        <item x="229"/>
        <item x="128"/>
        <item x="259"/>
        <item x="123"/>
        <item x="440"/>
        <item x="271"/>
        <item x="462"/>
        <item x="531"/>
        <item x="203"/>
        <item x="232"/>
        <item x="315"/>
        <item x="372"/>
        <item x="102"/>
        <item x="280"/>
        <item x="472"/>
        <item x="96"/>
        <item x="94"/>
        <item x="257"/>
        <item x="58"/>
        <item x="40"/>
        <item x="395"/>
        <item x="114"/>
        <item x="9"/>
        <item x="486"/>
        <item x="239"/>
        <item x="17"/>
        <item x="27"/>
        <item x="419"/>
        <item x="241"/>
        <item x="219"/>
        <item x="545"/>
        <item x="449"/>
        <item x="332"/>
        <item x="33"/>
        <item x="260"/>
        <item x="156"/>
        <item x="371"/>
        <item x="52"/>
        <item x="526"/>
        <item x="350"/>
        <item x="70"/>
        <item x="478"/>
        <item x="279"/>
        <item x="162"/>
        <item x="15"/>
        <item x="436"/>
        <item x="546"/>
        <item t="default"/>
      </items>
    </pivotField>
    <pivotField showAll="0"/>
    <pivotField axis="axisRow" showAll="0">
      <items count="7">
        <item x="2"/>
        <item x="1"/>
        <item x="0"/>
        <item x="4"/>
        <item x="3"/>
        <item x="5"/>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Sales" fld="5" baseField="0" baseItem="0"/>
    <dataField name="Sum of Profit" fld="9" baseField="0" baseItem="0"/>
  </dataFields>
  <chartFormats count="2">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924640-88A2-4C55-954A-BBF0A8707917}"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L5" firstHeaderRow="1" firstDataRow="1" firstDataCol="0"/>
  <pivotFields count="1">
    <pivotField dataField="1" showAll="0"/>
  </pivotFields>
  <rowItems count="1">
    <i/>
  </rowItems>
  <colItems count="1">
    <i/>
  </colItems>
  <dataFields count="1">
    <dataField name="Sum of Profit"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D4E4F3-149B-4B53-AB53-E3A562389A1F}"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A6" firstHeaderRow="1" firstDataRow="1" firstDataCol="0"/>
  <pivotFields count="1">
    <pivotField dataField="1" showAll="0"/>
  </pivotFields>
  <rowItems count="1">
    <i/>
  </rowItems>
  <colItems count="1">
    <i/>
  </colItems>
  <dataFields count="1">
    <dataField name="Sum of Sales"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CC25CD32-D713-4C85-BBDC-BB2E7C1BE383}" autoFormatId="16" applyNumberFormats="0" applyBorderFormats="0" applyFontFormats="0" applyPatternFormats="0" applyAlignmentFormats="0" applyWidthHeightFormats="0">
  <queryTableRefresh nextId="16">
    <queryTableFields count="14">
      <queryTableField id="1" name="Date" tableColumnId="1"/>
      <queryTableField id="2" name="Region" tableColumnId="2"/>
      <queryTableField id="3" name="Product Category" tableColumnId="3"/>
      <queryTableField id="4" name="Product Name" tableColumnId="4"/>
      <queryTableField id="5" name="Units Sold" tableColumnId="5"/>
      <queryTableField id="6" name="Revenue" tableColumnId="6"/>
      <queryTableField id="8" name="Customer Gender" tableColumnId="8"/>
      <queryTableField id="9" name="Customer Satisfaction" tableColumnId="9"/>
      <queryTableField id="10" name="Product Cost" tableColumnId="10"/>
      <queryTableField id="11" name="Profit" tableColumnId="11"/>
      <queryTableField id="12" name="Month" tableColumnId="12"/>
      <queryTableField id="13" name="Quarter" tableColumnId="13"/>
      <queryTableField id="14" name="Year" tableColumnId="14"/>
      <queryTableField id="15" name="PaymentMode" tableColumnId="15"/>
    </queryTableFields>
    <queryTableDeletedFields count="1">
      <deletedField name="Customer Ag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CD7556-2BE0-45B3-8607-73B4D07F1D95}" sourceName="Region">
  <pivotTables>
    <pivotTable tabId="17" name="PivotTable81"/>
  </pivotTables>
  <data>
    <tabular pivotCacheId="206879807">
      <items count="5">
        <i x="2"/>
        <i x="1"/>
        <i x="3" s="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69E875-9457-4738-8167-21912EB204F4}" sourceName="Month">
  <pivotTables>
    <pivotTable tabId="17" name="PivotTable81"/>
  </pivotTables>
  <data>
    <tabular pivotCacheId="206879807">
      <items count="12">
        <i x="5"/>
        <i x="2"/>
        <i x="1"/>
        <i x="3"/>
        <i x="4"/>
        <i x="0" s="1"/>
        <i x="9"/>
        <i x="10"/>
        <i x="7"/>
        <i x="8"/>
        <i x="11"/>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BB3321-8E59-4FF9-840F-9A40151001E5}" cache="Slicer_Region" caption="Region" rowHeight="241300"/>
  <slicer name="Month" xr10:uid="{436BB9A1-A24F-487A-B6BF-671192886A35}" cache="Slicer_Month" caption="Month" columnCoun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464CF2-8E3A-4356-97DA-423D311C2A6D}" name="Sales_Data_Analysis__3" displayName="Sales_Data_Analysis__3" ref="A1:N1051" tableType="queryTable" totalsRowShown="0">
  <autoFilter ref="A1:N1051" xr:uid="{7C464CF2-8E3A-4356-97DA-423D311C2A6D}"/>
  <tableColumns count="14">
    <tableColumn id="1" xr3:uid="{F9D4FA4B-84A8-41BA-80A7-F848E7187E2C}" uniqueName="1" name="Date" queryTableFieldId="1" dataDxfId="11"/>
    <tableColumn id="2" xr3:uid="{E97A301E-5876-4B5C-BAC0-2E0F3B4ABFE1}" uniqueName="2" name="Region" queryTableFieldId="2" dataDxfId="10"/>
    <tableColumn id="3" xr3:uid="{B17ED570-5136-49EB-8C6E-47F292713057}" uniqueName="3" name="Product Category" queryTableFieldId="3" dataDxfId="9"/>
    <tableColumn id="4" xr3:uid="{00800C08-8650-4E6D-AED6-5B912AAB60BC}" uniqueName="4" name="Product Name" queryTableFieldId="4" dataDxfId="8"/>
    <tableColumn id="5" xr3:uid="{C097A748-6549-4D24-A953-935C975346DE}" uniqueName="5" name="Units Sold" queryTableFieldId="5"/>
    <tableColumn id="6" xr3:uid="{7A0E8844-31C8-42C3-9681-00BAD03B92F2}" uniqueName="6" name="Sales" queryTableFieldId="6"/>
    <tableColumn id="8" xr3:uid="{AAFDEC64-E978-409A-962D-F7C50040567E}" uniqueName="8" name="Customer Gender" queryTableFieldId="8" dataDxfId="7"/>
    <tableColumn id="9" xr3:uid="{3BEFA1CE-7ECC-43B5-8B78-D5DF03A953AF}" uniqueName="9" name="Customer Satisfaction" queryTableFieldId="9"/>
    <tableColumn id="10" xr3:uid="{36CFB5B4-6DC6-47EB-A829-5EAB2EF71D8E}" uniqueName="10" name="Product Cost" queryTableFieldId="10"/>
    <tableColumn id="11" xr3:uid="{22CC853C-BE79-493A-888F-260A68674E67}" uniqueName="11" name="Profit" queryTableFieldId="11"/>
    <tableColumn id="12" xr3:uid="{6293260A-8E77-41CE-8177-2AAF696CB59F}" uniqueName="12" name="Month" queryTableFieldId="12" dataDxfId="6"/>
    <tableColumn id="13" xr3:uid="{235221A3-1E7D-4604-9EA3-0763FE17E5A7}" uniqueName="13" name="Quarter" queryTableFieldId="13" dataDxfId="5"/>
    <tableColumn id="14" xr3:uid="{2F656FFE-416D-46D7-805F-20B5C6C4378E}" uniqueName="14" name="Year" queryTableFieldId="14"/>
    <tableColumn id="15" xr3:uid="{6F8983E6-3A1C-4C7A-B7FE-3FCD58ACB99B}" uniqueName="15" name="PaymentMode" queryTableFieldId="15"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BF263-10EA-479E-8BA0-5C69C7CBA0FD}">
  <dimension ref="A1:N1051"/>
  <sheetViews>
    <sheetView zoomScale="94" workbookViewId="0">
      <selection activeCell="K27" sqref="K27"/>
    </sheetView>
  </sheetViews>
  <sheetFormatPr defaultColWidth="12.109375" defaultRowHeight="14.55" customHeight="1" x14ac:dyDescent="0.3"/>
  <sheetData>
    <row r="1" spans="1:14" ht="14.55" customHeight="1" x14ac:dyDescent="0.3">
      <c r="A1" s="2" t="s">
        <v>0</v>
      </c>
      <c r="B1" s="2" t="s">
        <v>1</v>
      </c>
      <c r="C1" s="2" t="s">
        <v>2</v>
      </c>
      <c r="D1" s="2" t="s">
        <v>3</v>
      </c>
      <c r="E1" s="2" t="s">
        <v>4</v>
      </c>
      <c r="F1" s="2" t="s">
        <v>70</v>
      </c>
      <c r="G1" s="2" t="s">
        <v>5</v>
      </c>
      <c r="H1" s="2" t="s">
        <v>6</v>
      </c>
      <c r="I1" s="2" t="s">
        <v>7</v>
      </c>
      <c r="J1" s="2" t="s">
        <v>8</v>
      </c>
      <c r="K1" s="2" t="s">
        <v>48</v>
      </c>
      <c r="L1" s="2" t="s">
        <v>49</v>
      </c>
      <c r="M1" s="2" t="s">
        <v>41</v>
      </c>
      <c r="N1" s="2" t="s">
        <v>42</v>
      </c>
    </row>
    <row r="2" spans="1:14" ht="14.55" customHeight="1" x14ac:dyDescent="0.3">
      <c r="A2" s="1">
        <v>44738</v>
      </c>
      <c r="B2" t="s">
        <v>9</v>
      </c>
      <c r="C2" t="s">
        <v>10</v>
      </c>
      <c r="D2" t="s">
        <v>11</v>
      </c>
      <c r="E2">
        <v>2</v>
      </c>
      <c r="F2">
        <v>303.77</v>
      </c>
      <c r="G2" t="s">
        <v>12</v>
      </c>
      <c r="H2">
        <v>5</v>
      </c>
      <c r="I2">
        <v>258.87</v>
      </c>
      <c r="J2">
        <v>44.9</v>
      </c>
      <c r="K2" t="str">
        <f>TEXT(A2,"mmmm")</f>
        <v>June</v>
      </c>
      <c r="L2" t="str">
        <f>"Q"&amp;INT((MONTH(A2)-1)/3)+1</f>
        <v>Q2</v>
      </c>
      <c r="M2">
        <f t="shared" ref="M2:M65" si="0">YEAR(A2)</f>
        <v>2022</v>
      </c>
      <c r="N2" t="s">
        <v>43</v>
      </c>
    </row>
    <row r="3" spans="1:14" ht="14.55" customHeight="1" x14ac:dyDescent="0.3">
      <c r="A3" s="1">
        <v>45096</v>
      </c>
      <c r="B3" t="s">
        <v>9</v>
      </c>
      <c r="C3" t="s">
        <v>13</v>
      </c>
      <c r="D3" t="s">
        <v>14</v>
      </c>
      <c r="E3">
        <v>20</v>
      </c>
      <c r="F3">
        <v>6013.09</v>
      </c>
      <c r="G3" t="s">
        <v>12</v>
      </c>
      <c r="H3">
        <v>1</v>
      </c>
      <c r="I3">
        <v>4456.6899999999996</v>
      </c>
      <c r="J3">
        <v>1556.4</v>
      </c>
      <c r="K3" t="str">
        <f t="shared" ref="K3:K66" si="1">TEXT(A3,"mmmm")</f>
        <v>June</v>
      </c>
      <c r="L3" t="str">
        <f t="shared" ref="L3:L66" si="2">"Q"&amp;INT((MONTH(A3)-1)/3)+1</f>
        <v>Q2</v>
      </c>
      <c r="M3">
        <f t="shared" si="0"/>
        <v>2023</v>
      </c>
      <c r="N3" t="s">
        <v>44</v>
      </c>
    </row>
    <row r="4" spans="1:14" ht="14.55" customHeight="1" x14ac:dyDescent="0.3">
      <c r="A4" s="1">
        <v>44621</v>
      </c>
      <c r="B4" t="s">
        <v>15</v>
      </c>
      <c r="C4" t="s">
        <v>16</v>
      </c>
      <c r="D4" t="s">
        <v>17</v>
      </c>
      <c r="E4">
        <v>22</v>
      </c>
      <c r="F4">
        <v>6624.07</v>
      </c>
      <c r="G4" t="s">
        <v>12</v>
      </c>
      <c r="H4">
        <v>5</v>
      </c>
      <c r="I4">
        <v>3322.6</v>
      </c>
      <c r="J4">
        <v>3301.47</v>
      </c>
      <c r="K4" t="str">
        <f t="shared" si="1"/>
        <v>March</v>
      </c>
      <c r="L4" t="str">
        <f t="shared" si="2"/>
        <v>Q1</v>
      </c>
      <c r="M4">
        <f t="shared" si="0"/>
        <v>2022</v>
      </c>
      <c r="N4" t="s">
        <v>45</v>
      </c>
    </row>
    <row r="5" spans="1:14" ht="14.55" customHeight="1" x14ac:dyDescent="0.3">
      <c r="A5" s="1">
        <v>44982</v>
      </c>
      <c r="B5" t="s">
        <v>18</v>
      </c>
      <c r="C5" t="s">
        <v>13</v>
      </c>
      <c r="D5" t="s">
        <v>19</v>
      </c>
      <c r="E5">
        <v>23</v>
      </c>
      <c r="F5">
        <v>5070.9399999999996</v>
      </c>
      <c r="G5" t="s">
        <v>20</v>
      </c>
      <c r="H5">
        <v>2</v>
      </c>
      <c r="I5">
        <v>2206.17</v>
      </c>
      <c r="J5">
        <v>2864.77</v>
      </c>
      <c r="K5" t="str">
        <f t="shared" si="1"/>
        <v>February</v>
      </c>
      <c r="L5" t="str">
        <f t="shared" si="2"/>
        <v>Q1</v>
      </c>
      <c r="M5">
        <f t="shared" si="0"/>
        <v>2023</v>
      </c>
      <c r="N5" t="s">
        <v>45</v>
      </c>
    </row>
    <row r="6" spans="1:14" ht="14.55" customHeight="1" x14ac:dyDescent="0.3">
      <c r="A6" s="1">
        <v>44672</v>
      </c>
      <c r="B6" t="s">
        <v>15</v>
      </c>
      <c r="C6" t="s">
        <v>21</v>
      </c>
      <c r="D6" t="s">
        <v>22</v>
      </c>
      <c r="E6">
        <v>2</v>
      </c>
      <c r="F6">
        <v>636.66</v>
      </c>
      <c r="G6" t="s">
        <v>12</v>
      </c>
      <c r="H6">
        <v>2</v>
      </c>
      <c r="I6">
        <v>292.81</v>
      </c>
      <c r="J6">
        <v>343.85</v>
      </c>
      <c r="K6" t="str">
        <f t="shared" si="1"/>
        <v>April</v>
      </c>
      <c r="L6" t="str">
        <f t="shared" si="2"/>
        <v>Q2</v>
      </c>
      <c r="M6">
        <f t="shared" si="0"/>
        <v>2022</v>
      </c>
      <c r="N6" t="s">
        <v>44</v>
      </c>
    </row>
    <row r="7" spans="1:14" ht="14.55" customHeight="1" x14ac:dyDescent="0.3">
      <c r="A7" s="1">
        <v>45062</v>
      </c>
      <c r="B7" t="s">
        <v>9</v>
      </c>
      <c r="C7" t="s">
        <v>13</v>
      </c>
      <c r="D7" t="s">
        <v>14</v>
      </c>
      <c r="E7">
        <v>28</v>
      </c>
      <c r="F7">
        <v>1580.15</v>
      </c>
      <c r="G7" t="s">
        <v>20</v>
      </c>
      <c r="H7">
        <v>3</v>
      </c>
      <c r="I7">
        <v>1578.07</v>
      </c>
      <c r="J7">
        <v>2.08</v>
      </c>
      <c r="K7" t="str">
        <f t="shared" si="1"/>
        <v>May</v>
      </c>
      <c r="L7" t="str">
        <f t="shared" si="2"/>
        <v>Q2</v>
      </c>
      <c r="M7">
        <f t="shared" si="0"/>
        <v>2023</v>
      </c>
      <c r="N7" t="s">
        <v>44</v>
      </c>
    </row>
    <row r="8" spans="1:14" ht="14.55" customHeight="1" x14ac:dyDescent="0.3">
      <c r="A8" s="1">
        <v>44642</v>
      </c>
      <c r="B8" t="s">
        <v>23</v>
      </c>
      <c r="C8" t="s">
        <v>16</v>
      </c>
      <c r="D8" t="s">
        <v>24</v>
      </c>
      <c r="E8">
        <v>33</v>
      </c>
      <c r="F8">
        <v>15209.62</v>
      </c>
      <c r="G8" t="s">
        <v>12</v>
      </c>
      <c r="H8">
        <v>3</v>
      </c>
      <c r="I8">
        <v>5544.03</v>
      </c>
      <c r="J8">
        <v>9665.59</v>
      </c>
      <c r="K8" t="str">
        <f t="shared" si="1"/>
        <v>March</v>
      </c>
      <c r="L8" t="str">
        <f t="shared" si="2"/>
        <v>Q1</v>
      </c>
      <c r="M8">
        <f t="shared" si="0"/>
        <v>2022</v>
      </c>
      <c r="N8" t="s">
        <v>45</v>
      </c>
    </row>
    <row r="9" spans="1:14" ht="14.55" customHeight="1" x14ac:dyDescent="0.3">
      <c r="A9" s="1">
        <v>44704</v>
      </c>
      <c r="B9" t="s">
        <v>15</v>
      </c>
      <c r="C9" t="s">
        <v>16</v>
      </c>
      <c r="D9" t="s">
        <v>17</v>
      </c>
      <c r="E9">
        <v>49</v>
      </c>
      <c r="F9">
        <v>13193.63</v>
      </c>
      <c r="G9" t="s">
        <v>20</v>
      </c>
      <c r="H9">
        <v>2</v>
      </c>
      <c r="I9">
        <v>11734.47</v>
      </c>
      <c r="J9">
        <v>1459.16</v>
      </c>
      <c r="K9" t="str">
        <f t="shared" si="1"/>
        <v>May</v>
      </c>
      <c r="L9" t="str">
        <f t="shared" si="2"/>
        <v>Q2</v>
      </c>
      <c r="M9">
        <f t="shared" si="0"/>
        <v>2022</v>
      </c>
      <c r="N9" t="s">
        <v>45</v>
      </c>
    </row>
    <row r="10" spans="1:14" ht="14.55" customHeight="1" x14ac:dyDescent="0.3">
      <c r="A10" s="1">
        <v>44928</v>
      </c>
      <c r="B10" t="s">
        <v>18</v>
      </c>
      <c r="C10" t="s">
        <v>13</v>
      </c>
      <c r="D10" t="s">
        <v>14</v>
      </c>
      <c r="E10">
        <v>2</v>
      </c>
      <c r="F10">
        <v>110.13</v>
      </c>
      <c r="G10" t="s">
        <v>12</v>
      </c>
      <c r="H10">
        <v>5</v>
      </c>
      <c r="I10">
        <v>249.36</v>
      </c>
      <c r="J10">
        <v>-139.22999999999999</v>
      </c>
      <c r="K10" t="str">
        <f t="shared" si="1"/>
        <v>January</v>
      </c>
      <c r="L10" t="str">
        <f t="shared" si="2"/>
        <v>Q1</v>
      </c>
      <c r="M10">
        <f t="shared" si="0"/>
        <v>2023</v>
      </c>
      <c r="N10" t="s">
        <v>45</v>
      </c>
    </row>
    <row r="11" spans="1:14" ht="14.55" customHeight="1" x14ac:dyDescent="0.3">
      <c r="A11" s="1">
        <v>45262</v>
      </c>
      <c r="B11" t="s">
        <v>18</v>
      </c>
      <c r="C11" t="s">
        <v>10</v>
      </c>
      <c r="D11" t="s">
        <v>11</v>
      </c>
      <c r="E11">
        <v>45</v>
      </c>
      <c r="F11">
        <v>6864.39</v>
      </c>
      <c r="G11" t="s">
        <v>20</v>
      </c>
      <c r="H11">
        <v>5</v>
      </c>
      <c r="I11">
        <v>896.22</v>
      </c>
      <c r="J11">
        <v>5968.17</v>
      </c>
      <c r="K11" t="str">
        <f t="shared" si="1"/>
        <v>December</v>
      </c>
      <c r="L11" t="str">
        <f t="shared" si="2"/>
        <v>Q4</v>
      </c>
      <c r="M11">
        <f t="shared" si="0"/>
        <v>2023</v>
      </c>
      <c r="N11" t="s">
        <v>44</v>
      </c>
    </row>
    <row r="12" spans="1:14" ht="14.55" customHeight="1" x14ac:dyDescent="0.3">
      <c r="A12" s="1">
        <v>44720</v>
      </c>
      <c r="B12" t="s">
        <v>23</v>
      </c>
      <c r="C12" t="s">
        <v>25</v>
      </c>
      <c r="D12" t="s">
        <v>26</v>
      </c>
      <c r="E12">
        <v>4</v>
      </c>
      <c r="F12">
        <v>1569.33</v>
      </c>
      <c r="G12" t="s">
        <v>12</v>
      </c>
      <c r="H12">
        <v>1</v>
      </c>
      <c r="I12">
        <v>603.4</v>
      </c>
      <c r="J12">
        <v>965.93</v>
      </c>
      <c r="K12" t="str">
        <f t="shared" si="1"/>
        <v>June</v>
      </c>
      <c r="L12" t="str">
        <f t="shared" si="2"/>
        <v>Q2</v>
      </c>
      <c r="M12">
        <f t="shared" si="0"/>
        <v>2022</v>
      </c>
      <c r="N12" t="s">
        <v>45</v>
      </c>
    </row>
    <row r="13" spans="1:14" ht="14.55" customHeight="1" x14ac:dyDescent="0.3">
      <c r="A13" s="1">
        <v>45055</v>
      </c>
      <c r="B13" t="s">
        <v>15</v>
      </c>
      <c r="C13" t="s">
        <v>16</v>
      </c>
      <c r="D13" t="s">
        <v>27</v>
      </c>
      <c r="E13">
        <v>25</v>
      </c>
      <c r="F13">
        <v>8359.64</v>
      </c>
      <c r="G13" t="s">
        <v>20</v>
      </c>
      <c r="H13">
        <v>3</v>
      </c>
      <c r="I13">
        <v>4354.87</v>
      </c>
      <c r="J13">
        <v>4004.77</v>
      </c>
      <c r="K13" t="str">
        <f t="shared" si="1"/>
        <v>May</v>
      </c>
      <c r="L13" t="str">
        <f t="shared" si="2"/>
        <v>Q2</v>
      </c>
      <c r="M13">
        <f t="shared" si="0"/>
        <v>2023</v>
      </c>
      <c r="N13" t="s">
        <v>45</v>
      </c>
    </row>
    <row r="14" spans="1:14" ht="14.55" customHeight="1" x14ac:dyDescent="0.3">
      <c r="A14" s="1">
        <v>45058</v>
      </c>
      <c r="B14" t="s">
        <v>18</v>
      </c>
      <c r="C14" t="s">
        <v>10</v>
      </c>
      <c r="D14" t="s">
        <v>28</v>
      </c>
      <c r="E14">
        <v>38</v>
      </c>
      <c r="F14">
        <v>14714.79</v>
      </c>
      <c r="G14" t="s">
        <v>20</v>
      </c>
      <c r="H14">
        <v>4</v>
      </c>
      <c r="I14">
        <v>5831.62</v>
      </c>
      <c r="J14">
        <v>8883.17</v>
      </c>
      <c r="K14" t="str">
        <f t="shared" si="1"/>
        <v>May</v>
      </c>
      <c r="L14" t="str">
        <f t="shared" si="2"/>
        <v>Q2</v>
      </c>
      <c r="M14">
        <f t="shared" si="0"/>
        <v>2023</v>
      </c>
      <c r="N14" t="s">
        <v>44</v>
      </c>
    </row>
    <row r="15" spans="1:14" ht="14.55" customHeight="1" x14ac:dyDescent="0.3">
      <c r="A15" s="1">
        <v>45186</v>
      </c>
      <c r="B15" t="s">
        <v>9</v>
      </c>
      <c r="C15" t="s">
        <v>13</v>
      </c>
      <c r="D15" t="s">
        <v>29</v>
      </c>
      <c r="E15">
        <v>3</v>
      </c>
      <c r="F15">
        <v>1461.73</v>
      </c>
      <c r="G15" t="s">
        <v>20</v>
      </c>
      <c r="H15">
        <v>2</v>
      </c>
      <c r="I15">
        <v>359.07</v>
      </c>
      <c r="J15">
        <v>1102.6600000000001</v>
      </c>
      <c r="K15" t="str">
        <f t="shared" si="1"/>
        <v>September</v>
      </c>
      <c r="L15" t="str">
        <f t="shared" si="2"/>
        <v>Q3</v>
      </c>
      <c r="M15">
        <f t="shared" si="0"/>
        <v>2023</v>
      </c>
      <c r="N15" t="s">
        <v>45</v>
      </c>
    </row>
    <row r="16" spans="1:14" ht="14.55" customHeight="1" x14ac:dyDescent="0.3">
      <c r="A16" s="1">
        <v>44995</v>
      </c>
      <c r="B16" t="s">
        <v>23</v>
      </c>
      <c r="C16" t="s">
        <v>25</v>
      </c>
      <c r="D16" t="s">
        <v>30</v>
      </c>
      <c r="E16">
        <v>7</v>
      </c>
      <c r="F16">
        <v>1329.49</v>
      </c>
      <c r="G16" t="s">
        <v>12</v>
      </c>
      <c r="H16">
        <v>3</v>
      </c>
      <c r="I16">
        <v>1720.14</v>
      </c>
      <c r="J16">
        <v>-390.65</v>
      </c>
      <c r="K16" t="str">
        <f t="shared" si="1"/>
        <v>March</v>
      </c>
      <c r="L16" t="str">
        <f t="shared" si="2"/>
        <v>Q1</v>
      </c>
      <c r="M16">
        <f t="shared" si="0"/>
        <v>2023</v>
      </c>
      <c r="N16" t="s">
        <v>45</v>
      </c>
    </row>
    <row r="17" spans="1:14" ht="14.55" customHeight="1" x14ac:dyDescent="0.3">
      <c r="A17" s="1">
        <v>45291</v>
      </c>
      <c r="B17" t="s">
        <v>31</v>
      </c>
      <c r="C17" t="s">
        <v>21</v>
      </c>
      <c r="D17" t="s">
        <v>32</v>
      </c>
      <c r="E17">
        <v>43</v>
      </c>
      <c r="F17">
        <v>21247.65</v>
      </c>
      <c r="G17" t="s">
        <v>20</v>
      </c>
      <c r="H17">
        <v>4</v>
      </c>
      <c r="I17">
        <v>8307.14</v>
      </c>
      <c r="J17">
        <v>12940.51</v>
      </c>
      <c r="K17" t="str">
        <f t="shared" si="1"/>
        <v>December</v>
      </c>
      <c r="L17" t="str">
        <f t="shared" si="2"/>
        <v>Q4</v>
      </c>
      <c r="M17">
        <f t="shared" si="0"/>
        <v>2023</v>
      </c>
      <c r="N17" t="s">
        <v>45</v>
      </c>
    </row>
    <row r="18" spans="1:14" ht="14.55" customHeight="1" x14ac:dyDescent="0.3">
      <c r="A18" s="1">
        <v>45045</v>
      </c>
      <c r="B18" t="s">
        <v>23</v>
      </c>
      <c r="C18" t="s">
        <v>21</v>
      </c>
      <c r="D18" t="s">
        <v>33</v>
      </c>
      <c r="E18">
        <v>12</v>
      </c>
      <c r="F18">
        <v>4456.75</v>
      </c>
      <c r="G18" t="s">
        <v>12</v>
      </c>
      <c r="H18">
        <v>1</v>
      </c>
      <c r="I18">
        <v>106.89</v>
      </c>
      <c r="J18">
        <v>4349.8599999999997</v>
      </c>
      <c r="K18" t="str">
        <f t="shared" si="1"/>
        <v>April</v>
      </c>
      <c r="L18" t="str">
        <f t="shared" si="2"/>
        <v>Q2</v>
      </c>
      <c r="M18">
        <f t="shared" si="0"/>
        <v>2023</v>
      </c>
      <c r="N18" t="s">
        <v>45</v>
      </c>
    </row>
    <row r="19" spans="1:14" ht="14.55" customHeight="1" x14ac:dyDescent="0.3">
      <c r="A19" s="1">
        <v>45266</v>
      </c>
      <c r="B19" t="s">
        <v>18</v>
      </c>
      <c r="C19" t="s">
        <v>10</v>
      </c>
      <c r="D19" t="s">
        <v>34</v>
      </c>
      <c r="E19">
        <v>40</v>
      </c>
      <c r="F19">
        <v>16676.78</v>
      </c>
      <c r="G19" t="s">
        <v>20</v>
      </c>
      <c r="H19">
        <v>4</v>
      </c>
      <c r="I19">
        <v>4955.55</v>
      </c>
      <c r="J19">
        <v>11721.23</v>
      </c>
      <c r="K19" t="str">
        <f t="shared" si="1"/>
        <v>December</v>
      </c>
      <c r="L19" t="str">
        <f t="shared" si="2"/>
        <v>Q4</v>
      </c>
      <c r="M19">
        <f t="shared" si="0"/>
        <v>2023</v>
      </c>
      <c r="N19" t="s">
        <v>43</v>
      </c>
    </row>
    <row r="20" spans="1:14" ht="14.55" customHeight="1" x14ac:dyDescent="0.3">
      <c r="A20" s="1">
        <v>44812</v>
      </c>
      <c r="B20" t="s">
        <v>9</v>
      </c>
      <c r="C20" t="s">
        <v>21</v>
      </c>
      <c r="D20" t="s">
        <v>32</v>
      </c>
      <c r="E20">
        <v>3</v>
      </c>
      <c r="F20">
        <v>402.01</v>
      </c>
      <c r="G20" t="s">
        <v>12</v>
      </c>
      <c r="H20">
        <v>1</v>
      </c>
      <c r="I20">
        <v>115.82</v>
      </c>
      <c r="J20">
        <v>286.19</v>
      </c>
      <c r="K20" t="str">
        <f t="shared" si="1"/>
        <v>September</v>
      </c>
      <c r="L20" t="str">
        <f t="shared" si="2"/>
        <v>Q3</v>
      </c>
      <c r="M20">
        <f t="shared" si="0"/>
        <v>2022</v>
      </c>
      <c r="N20" t="s">
        <v>45</v>
      </c>
    </row>
    <row r="21" spans="1:14" ht="14.55" customHeight="1" x14ac:dyDescent="0.3">
      <c r="A21" s="1">
        <v>45014</v>
      </c>
      <c r="B21" t="s">
        <v>23</v>
      </c>
      <c r="C21" t="s">
        <v>16</v>
      </c>
      <c r="D21" t="s">
        <v>24</v>
      </c>
      <c r="E21">
        <v>29</v>
      </c>
      <c r="F21">
        <v>13263.6</v>
      </c>
      <c r="G21" t="s">
        <v>20</v>
      </c>
      <c r="H21">
        <v>3</v>
      </c>
      <c r="I21">
        <v>1758.14</v>
      </c>
      <c r="J21">
        <v>11505.46</v>
      </c>
      <c r="K21" t="str">
        <f t="shared" si="1"/>
        <v>March</v>
      </c>
      <c r="L21" t="str">
        <f t="shared" si="2"/>
        <v>Q1</v>
      </c>
      <c r="M21">
        <f t="shared" si="0"/>
        <v>2023</v>
      </c>
      <c r="N21" t="s">
        <v>45</v>
      </c>
    </row>
    <row r="22" spans="1:14" ht="14.55" customHeight="1" x14ac:dyDescent="0.3">
      <c r="A22" s="1">
        <v>44684</v>
      </c>
      <c r="B22" t="s">
        <v>23</v>
      </c>
      <c r="C22" t="s">
        <v>25</v>
      </c>
      <c r="D22" t="s">
        <v>30</v>
      </c>
      <c r="E22">
        <v>47</v>
      </c>
      <c r="F22">
        <v>17553.77</v>
      </c>
      <c r="G22" t="s">
        <v>20</v>
      </c>
      <c r="H22">
        <v>2</v>
      </c>
      <c r="I22">
        <v>8127.15</v>
      </c>
      <c r="J22">
        <v>9426.6200000000008</v>
      </c>
      <c r="K22" t="str">
        <f t="shared" si="1"/>
        <v>May</v>
      </c>
      <c r="L22" t="str">
        <f t="shared" si="2"/>
        <v>Q2</v>
      </c>
      <c r="M22">
        <f t="shared" si="0"/>
        <v>2022</v>
      </c>
      <c r="N22" t="s">
        <v>43</v>
      </c>
    </row>
    <row r="23" spans="1:14" ht="14.55" customHeight="1" x14ac:dyDescent="0.3">
      <c r="A23" s="1">
        <v>45106</v>
      </c>
      <c r="B23" t="s">
        <v>9</v>
      </c>
      <c r="C23" t="s">
        <v>16</v>
      </c>
      <c r="D23" t="s">
        <v>24</v>
      </c>
      <c r="E23">
        <v>11</v>
      </c>
      <c r="F23">
        <v>4062.79</v>
      </c>
      <c r="G23" t="s">
        <v>12</v>
      </c>
      <c r="H23">
        <v>5</v>
      </c>
      <c r="I23">
        <v>1047.74</v>
      </c>
      <c r="J23">
        <v>3015.05</v>
      </c>
      <c r="K23" t="str">
        <f t="shared" si="1"/>
        <v>June</v>
      </c>
      <c r="L23" t="str">
        <f t="shared" si="2"/>
        <v>Q2</v>
      </c>
      <c r="M23">
        <f t="shared" si="0"/>
        <v>2023</v>
      </c>
      <c r="N23" t="s">
        <v>45</v>
      </c>
    </row>
    <row r="24" spans="1:14" ht="14.55" customHeight="1" x14ac:dyDescent="0.3">
      <c r="A24" s="1">
        <v>45078</v>
      </c>
      <c r="B24" t="s">
        <v>18</v>
      </c>
      <c r="C24" t="s">
        <v>13</v>
      </c>
      <c r="D24" t="s">
        <v>14</v>
      </c>
      <c r="E24">
        <v>29</v>
      </c>
      <c r="F24">
        <v>6341.06</v>
      </c>
      <c r="G24" t="s">
        <v>20</v>
      </c>
      <c r="H24">
        <v>5</v>
      </c>
      <c r="I24">
        <v>1671.65</v>
      </c>
      <c r="J24">
        <v>4669.41</v>
      </c>
      <c r="K24" t="str">
        <f t="shared" si="1"/>
        <v>June</v>
      </c>
      <c r="L24" t="str">
        <f t="shared" si="2"/>
        <v>Q2</v>
      </c>
      <c r="M24">
        <f t="shared" si="0"/>
        <v>2023</v>
      </c>
      <c r="N24" t="s">
        <v>43</v>
      </c>
    </row>
    <row r="25" spans="1:14" ht="14.55" customHeight="1" x14ac:dyDescent="0.3">
      <c r="A25" s="1">
        <v>44839</v>
      </c>
      <c r="B25" t="s">
        <v>18</v>
      </c>
      <c r="C25" t="s">
        <v>13</v>
      </c>
      <c r="D25" t="s">
        <v>19</v>
      </c>
      <c r="E25">
        <v>24</v>
      </c>
      <c r="F25">
        <v>4856.2700000000004</v>
      </c>
      <c r="G25" t="s">
        <v>20</v>
      </c>
      <c r="H25">
        <v>4</v>
      </c>
      <c r="I25">
        <v>4002.4</v>
      </c>
      <c r="J25">
        <v>853.87</v>
      </c>
      <c r="K25" t="str">
        <f t="shared" si="1"/>
        <v>October</v>
      </c>
      <c r="L25" t="str">
        <f t="shared" si="2"/>
        <v>Q4</v>
      </c>
      <c r="M25">
        <f t="shared" si="0"/>
        <v>2022</v>
      </c>
      <c r="N25" t="s">
        <v>46</v>
      </c>
    </row>
    <row r="26" spans="1:14" ht="14.55" customHeight="1" x14ac:dyDescent="0.3">
      <c r="A26" s="1">
        <v>44856</v>
      </c>
      <c r="B26" t="s">
        <v>15</v>
      </c>
      <c r="C26" t="s">
        <v>25</v>
      </c>
      <c r="D26" t="s">
        <v>26</v>
      </c>
      <c r="E26">
        <v>37</v>
      </c>
      <c r="F26">
        <v>1105.44</v>
      </c>
      <c r="G26" t="s">
        <v>12</v>
      </c>
      <c r="H26">
        <v>2</v>
      </c>
      <c r="I26">
        <v>6360.58</v>
      </c>
      <c r="J26">
        <v>-5255.14</v>
      </c>
      <c r="K26" t="str">
        <f t="shared" si="1"/>
        <v>October</v>
      </c>
      <c r="L26" t="str">
        <f t="shared" si="2"/>
        <v>Q4</v>
      </c>
      <c r="M26">
        <f t="shared" si="0"/>
        <v>2022</v>
      </c>
      <c r="N26" t="s">
        <v>47</v>
      </c>
    </row>
    <row r="27" spans="1:14" ht="14.55" customHeight="1" x14ac:dyDescent="0.3">
      <c r="A27" s="1">
        <v>44654</v>
      </c>
      <c r="B27" t="s">
        <v>9</v>
      </c>
      <c r="C27" t="s">
        <v>25</v>
      </c>
      <c r="D27" t="s">
        <v>26</v>
      </c>
      <c r="E27">
        <v>47</v>
      </c>
      <c r="F27">
        <v>16956.189999999999</v>
      </c>
      <c r="G27" t="s">
        <v>12</v>
      </c>
      <c r="H27">
        <v>3</v>
      </c>
      <c r="I27">
        <v>3435.81</v>
      </c>
      <c r="J27">
        <v>13520.38</v>
      </c>
      <c r="K27" t="str">
        <f t="shared" si="1"/>
        <v>April</v>
      </c>
      <c r="L27" t="str">
        <f t="shared" si="2"/>
        <v>Q2</v>
      </c>
      <c r="M27">
        <f t="shared" si="0"/>
        <v>2022</v>
      </c>
      <c r="N27" t="s">
        <v>43</v>
      </c>
    </row>
    <row r="28" spans="1:14" ht="14.55" customHeight="1" x14ac:dyDescent="0.3">
      <c r="A28" s="1">
        <v>44748</v>
      </c>
      <c r="B28" t="s">
        <v>15</v>
      </c>
      <c r="C28" t="s">
        <v>10</v>
      </c>
      <c r="D28" t="s">
        <v>35</v>
      </c>
      <c r="E28">
        <v>30</v>
      </c>
      <c r="F28">
        <v>2172.36</v>
      </c>
      <c r="G28" t="s">
        <v>20</v>
      </c>
      <c r="H28">
        <v>3</v>
      </c>
      <c r="I28">
        <v>3869.73</v>
      </c>
      <c r="J28">
        <v>-1697.37</v>
      </c>
      <c r="K28" t="str">
        <f t="shared" si="1"/>
        <v>July</v>
      </c>
      <c r="L28" t="str">
        <f t="shared" si="2"/>
        <v>Q3</v>
      </c>
      <c r="M28">
        <f t="shared" si="0"/>
        <v>2022</v>
      </c>
      <c r="N28" t="s">
        <v>44</v>
      </c>
    </row>
    <row r="29" spans="1:14" ht="14.55" customHeight="1" x14ac:dyDescent="0.3">
      <c r="A29" s="1">
        <v>45267</v>
      </c>
      <c r="B29" t="s">
        <v>15</v>
      </c>
      <c r="C29" t="s">
        <v>21</v>
      </c>
      <c r="D29" t="s">
        <v>36</v>
      </c>
      <c r="E29">
        <v>5</v>
      </c>
      <c r="F29">
        <v>2151.14</v>
      </c>
      <c r="G29" t="s">
        <v>12</v>
      </c>
      <c r="H29">
        <v>4</v>
      </c>
      <c r="I29">
        <v>381.93</v>
      </c>
      <c r="J29">
        <v>1769.21</v>
      </c>
      <c r="K29" t="str">
        <f t="shared" si="1"/>
        <v>December</v>
      </c>
      <c r="L29" t="str">
        <f t="shared" si="2"/>
        <v>Q4</v>
      </c>
      <c r="M29">
        <f t="shared" si="0"/>
        <v>2023</v>
      </c>
      <c r="N29" t="s">
        <v>47</v>
      </c>
    </row>
    <row r="30" spans="1:14" ht="14.55" customHeight="1" x14ac:dyDescent="0.3">
      <c r="A30" s="1">
        <v>44783</v>
      </c>
      <c r="B30" t="s">
        <v>31</v>
      </c>
      <c r="C30" t="s">
        <v>16</v>
      </c>
      <c r="D30" t="s">
        <v>37</v>
      </c>
      <c r="E30">
        <v>28</v>
      </c>
      <c r="F30">
        <v>13374.57</v>
      </c>
      <c r="G30" t="s">
        <v>20</v>
      </c>
      <c r="H30">
        <v>2</v>
      </c>
      <c r="I30">
        <v>5060.17</v>
      </c>
      <c r="J30">
        <v>8314.4</v>
      </c>
      <c r="K30" t="str">
        <f t="shared" si="1"/>
        <v>August</v>
      </c>
      <c r="L30" t="str">
        <f t="shared" si="2"/>
        <v>Q3</v>
      </c>
      <c r="M30">
        <f t="shared" si="0"/>
        <v>2022</v>
      </c>
      <c r="N30" t="s">
        <v>47</v>
      </c>
    </row>
    <row r="31" spans="1:14" ht="14.55" customHeight="1" x14ac:dyDescent="0.3">
      <c r="A31" s="1">
        <v>45120</v>
      </c>
      <c r="B31" t="s">
        <v>9</v>
      </c>
      <c r="C31" t="s">
        <v>10</v>
      </c>
      <c r="D31" t="s">
        <v>35</v>
      </c>
      <c r="E31">
        <v>29</v>
      </c>
      <c r="F31">
        <v>3195.52</v>
      </c>
      <c r="G31" t="s">
        <v>20</v>
      </c>
      <c r="H31">
        <v>1</v>
      </c>
      <c r="I31">
        <v>2720.56</v>
      </c>
      <c r="J31">
        <v>474.96</v>
      </c>
      <c r="K31" t="str">
        <f t="shared" si="1"/>
        <v>July</v>
      </c>
      <c r="L31" t="str">
        <f t="shared" si="2"/>
        <v>Q3</v>
      </c>
      <c r="M31">
        <f t="shared" si="0"/>
        <v>2023</v>
      </c>
      <c r="N31" t="s">
        <v>47</v>
      </c>
    </row>
    <row r="32" spans="1:14" ht="14.55" customHeight="1" x14ac:dyDescent="0.3">
      <c r="A32" s="1">
        <v>45057</v>
      </c>
      <c r="B32" t="s">
        <v>15</v>
      </c>
      <c r="C32" t="s">
        <v>16</v>
      </c>
      <c r="D32" t="s">
        <v>17</v>
      </c>
      <c r="E32">
        <v>18</v>
      </c>
      <c r="F32">
        <v>4798.42</v>
      </c>
      <c r="G32" t="s">
        <v>20</v>
      </c>
      <c r="H32">
        <v>1</v>
      </c>
      <c r="I32">
        <v>3494.61</v>
      </c>
      <c r="J32">
        <v>1303.81</v>
      </c>
      <c r="K32" t="str">
        <f t="shared" si="1"/>
        <v>May</v>
      </c>
      <c r="L32" t="str">
        <f t="shared" si="2"/>
        <v>Q2</v>
      </c>
      <c r="M32">
        <f t="shared" si="0"/>
        <v>2023</v>
      </c>
      <c r="N32" t="s">
        <v>47</v>
      </c>
    </row>
    <row r="33" spans="1:14" ht="14.55" customHeight="1" x14ac:dyDescent="0.3">
      <c r="A33" s="1">
        <v>45206</v>
      </c>
      <c r="B33" t="s">
        <v>18</v>
      </c>
      <c r="C33" t="s">
        <v>13</v>
      </c>
      <c r="D33" t="s">
        <v>19</v>
      </c>
      <c r="E33">
        <v>25</v>
      </c>
      <c r="F33">
        <v>7018.52</v>
      </c>
      <c r="G33" t="s">
        <v>20</v>
      </c>
      <c r="H33">
        <v>1</v>
      </c>
      <c r="I33">
        <v>746.43</v>
      </c>
      <c r="J33">
        <v>6272.09</v>
      </c>
      <c r="K33" t="str">
        <f t="shared" si="1"/>
        <v>October</v>
      </c>
      <c r="L33" t="str">
        <f t="shared" si="2"/>
        <v>Q4</v>
      </c>
      <c r="M33">
        <f t="shared" si="0"/>
        <v>2023</v>
      </c>
      <c r="N33" t="s">
        <v>47</v>
      </c>
    </row>
    <row r="34" spans="1:14" ht="14.55" customHeight="1" x14ac:dyDescent="0.3">
      <c r="A34" s="1">
        <v>45049</v>
      </c>
      <c r="B34" t="s">
        <v>23</v>
      </c>
      <c r="C34" t="s">
        <v>16</v>
      </c>
      <c r="D34" t="s">
        <v>17</v>
      </c>
      <c r="E34">
        <v>6</v>
      </c>
      <c r="F34">
        <v>2960.56</v>
      </c>
      <c r="G34" t="s">
        <v>20</v>
      </c>
      <c r="H34">
        <v>5</v>
      </c>
      <c r="I34">
        <v>1428.96</v>
      </c>
      <c r="J34">
        <v>1531.6</v>
      </c>
      <c r="K34" t="str">
        <f t="shared" si="1"/>
        <v>May</v>
      </c>
      <c r="L34" t="str">
        <f t="shared" si="2"/>
        <v>Q2</v>
      </c>
      <c r="M34">
        <f t="shared" si="0"/>
        <v>2023</v>
      </c>
      <c r="N34" t="s">
        <v>44</v>
      </c>
    </row>
    <row r="35" spans="1:14" ht="14.55" customHeight="1" x14ac:dyDescent="0.3">
      <c r="A35" s="1">
        <v>45276</v>
      </c>
      <c r="B35" t="s">
        <v>23</v>
      </c>
      <c r="C35" t="s">
        <v>10</v>
      </c>
      <c r="D35" t="s">
        <v>11</v>
      </c>
      <c r="E35">
        <v>42</v>
      </c>
      <c r="F35">
        <v>2678.87</v>
      </c>
      <c r="G35" t="s">
        <v>20</v>
      </c>
      <c r="H35">
        <v>1</v>
      </c>
      <c r="I35">
        <v>2538.6</v>
      </c>
      <c r="J35">
        <v>140.27000000000001</v>
      </c>
      <c r="K35" t="str">
        <f t="shared" si="1"/>
        <v>December</v>
      </c>
      <c r="L35" t="str">
        <f t="shared" si="2"/>
        <v>Q4</v>
      </c>
      <c r="M35">
        <f t="shared" si="0"/>
        <v>2023</v>
      </c>
      <c r="N35" t="s">
        <v>45</v>
      </c>
    </row>
    <row r="36" spans="1:14" ht="14.55" customHeight="1" x14ac:dyDescent="0.3">
      <c r="A36" s="1">
        <v>44783</v>
      </c>
      <c r="B36" t="s">
        <v>31</v>
      </c>
      <c r="C36" t="s">
        <v>25</v>
      </c>
      <c r="D36" t="s">
        <v>38</v>
      </c>
      <c r="E36">
        <v>17</v>
      </c>
      <c r="F36">
        <v>5467.02</v>
      </c>
      <c r="G36" t="s">
        <v>20</v>
      </c>
      <c r="H36">
        <v>5</v>
      </c>
      <c r="I36">
        <v>2807.67</v>
      </c>
      <c r="J36">
        <v>2659.35</v>
      </c>
      <c r="K36" t="str">
        <f t="shared" si="1"/>
        <v>August</v>
      </c>
      <c r="L36" t="str">
        <f t="shared" si="2"/>
        <v>Q3</v>
      </c>
      <c r="M36">
        <f t="shared" si="0"/>
        <v>2022</v>
      </c>
      <c r="N36" t="s">
        <v>47</v>
      </c>
    </row>
    <row r="37" spans="1:14" ht="14.55" customHeight="1" x14ac:dyDescent="0.3">
      <c r="A37" s="1">
        <v>44802</v>
      </c>
      <c r="B37" t="s">
        <v>18</v>
      </c>
      <c r="C37" t="s">
        <v>21</v>
      </c>
      <c r="D37" t="s">
        <v>33</v>
      </c>
      <c r="E37">
        <v>8</v>
      </c>
      <c r="F37">
        <v>1473.79</v>
      </c>
      <c r="G37" t="s">
        <v>20</v>
      </c>
      <c r="H37">
        <v>3</v>
      </c>
      <c r="I37">
        <v>1345.72</v>
      </c>
      <c r="J37">
        <v>128.07</v>
      </c>
      <c r="K37" t="str">
        <f t="shared" si="1"/>
        <v>August</v>
      </c>
      <c r="L37" t="str">
        <f t="shared" si="2"/>
        <v>Q3</v>
      </c>
      <c r="M37">
        <f t="shared" si="0"/>
        <v>2022</v>
      </c>
      <c r="N37" t="s">
        <v>44</v>
      </c>
    </row>
    <row r="38" spans="1:14" ht="14.55" customHeight="1" x14ac:dyDescent="0.3">
      <c r="A38" s="1">
        <v>44940</v>
      </c>
      <c r="B38" t="s">
        <v>9</v>
      </c>
      <c r="C38" t="s">
        <v>25</v>
      </c>
      <c r="D38" t="s">
        <v>39</v>
      </c>
      <c r="E38">
        <v>50</v>
      </c>
      <c r="F38">
        <v>5963.14</v>
      </c>
      <c r="G38" t="s">
        <v>20</v>
      </c>
      <c r="H38">
        <v>3</v>
      </c>
      <c r="I38">
        <v>8750.08</v>
      </c>
      <c r="J38">
        <v>-2786.94</v>
      </c>
      <c r="K38" t="str">
        <f t="shared" si="1"/>
        <v>January</v>
      </c>
      <c r="L38" t="str">
        <f t="shared" si="2"/>
        <v>Q1</v>
      </c>
      <c r="M38">
        <f t="shared" si="0"/>
        <v>2023</v>
      </c>
      <c r="N38" t="s">
        <v>44</v>
      </c>
    </row>
    <row r="39" spans="1:14" ht="14.55" customHeight="1" x14ac:dyDescent="0.3">
      <c r="A39" s="1">
        <v>45133</v>
      </c>
      <c r="B39" t="s">
        <v>31</v>
      </c>
      <c r="C39" t="s">
        <v>25</v>
      </c>
      <c r="D39" t="s">
        <v>26</v>
      </c>
      <c r="E39">
        <v>35</v>
      </c>
      <c r="F39">
        <v>16212.42</v>
      </c>
      <c r="G39" t="s">
        <v>12</v>
      </c>
      <c r="H39">
        <v>5</v>
      </c>
      <c r="I39">
        <v>1293.7</v>
      </c>
      <c r="J39">
        <v>14918.72</v>
      </c>
      <c r="K39" t="str">
        <f t="shared" si="1"/>
        <v>July</v>
      </c>
      <c r="L39" t="str">
        <f t="shared" si="2"/>
        <v>Q3</v>
      </c>
      <c r="M39">
        <f t="shared" si="0"/>
        <v>2023</v>
      </c>
      <c r="N39" t="s">
        <v>45</v>
      </c>
    </row>
    <row r="40" spans="1:14" ht="14.55" customHeight="1" x14ac:dyDescent="0.3">
      <c r="A40" s="1">
        <v>44763</v>
      </c>
      <c r="B40" t="s">
        <v>15</v>
      </c>
      <c r="C40" t="s">
        <v>13</v>
      </c>
      <c r="D40" t="s">
        <v>29</v>
      </c>
      <c r="E40">
        <v>46</v>
      </c>
      <c r="F40">
        <v>3452.74</v>
      </c>
      <c r="G40" t="s">
        <v>12</v>
      </c>
      <c r="H40">
        <v>1</v>
      </c>
      <c r="I40">
        <v>2568.4299999999998</v>
      </c>
      <c r="J40">
        <v>884.31</v>
      </c>
      <c r="K40" t="str">
        <f t="shared" si="1"/>
        <v>July</v>
      </c>
      <c r="L40" t="str">
        <f t="shared" si="2"/>
        <v>Q3</v>
      </c>
      <c r="M40">
        <f t="shared" si="0"/>
        <v>2022</v>
      </c>
      <c r="N40" t="s">
        <v>44</v>
      </c>
    </row>
    <row r="41" spans="1:14" ht="14.55" customHeight="1" x14ac:dyDescent="0.3">
      <c r="A41" s="1">
        <v>44824</v>
      </c>
      <c r="B41" t="s">
        <v>18</v>
      </c>
      <c r="C41" t="s">
        <v>10</v>
      </c>
      <c r="D41" t="s">
        <v>34</v>
      </c>
      <c r="E41">
        <v>41</v>
      </c>
      <c r="F41">
        <v>9765.86</v>
      </c>
      <c r="G41" t="s">
        <v>20</v>
      </c>
      <c r="H41">
        <v>1</v>
      </c>
      <c r="I41">
        <v>4640.7299999999996</v>
      </c>
      <c r="J41">
        <v>5125.13</v>
      </c>
      <c r="K41" t="str">
        <f t="shared" si="1"/>
        <v>September</v>
      </c>
      <c r="L41" t="str">
        <f t="shared" si="2"/>
        <v>Q3</v>
      </c>
      <c r="M41">
        <f t="shared" si="0"/>
        <v>2022</v>
      </c>
      <c r="N41" t="s">
        <v>47</v>
      </c>
    </row>
    <row r="42" spans="1:14" ht="14.55" customHeight="1" x14ac:dyDescent="0.3">
      <c r="A42" s="1">
        <v>44805</v>
      </c>
      <c r="B42" t="s">
        <v>9</v>
      </c>
      <c r="C42" t="s">
        <v>16</v>
      </c>
      <c r="D42" t="s">
        <v>27</v>
      </c>
      <c r="E42">
        <v>12</v>
      </c>
      <c r="F42">
        <v>254.37</v>
      </c>
      <c r="G42" t="s">
        <v>12</v>
      </c>
      <c r="H42">
        <v>4</v>
      </c>
      <c r="I42">
        <v>2704.17</v>
      </c>
      <c r="J42">
        <v>-2449.8000000000002</v>
      </c>
      <c r="K42" t="str">
        <f t="shared" si="1"/>
        <v>September</v>
      </c>
      <c r="L42" t="str">
        <f t="shared" si="2"/>
        <v>Q3</v>
      </c>
      <c r="M42">
        <f t="shared" si="0"/>
        <v>2022</v>
      </c>
      <c r="N42" t="s">
        <v>44</v>
      </c>
    </row>
    <row r="43" spans="1:14" ht="14.55" customHeight="1" x14ac:dyDescent="0.3">
      <c r="A43" s="1">
        <v>45258</v>
      </c>
      <c r="B43" t="s">
        <v>23</v>
      </c>
      <c r="C43" t="s">
        <v>21</v>
      </c>
      <c r="D43" t="s">
        <v>36</v>
      </c>
      <c r="E43">
        <v>13</v>
      </c>
      <c r="F43">
        <v>823.88</v>
      </c>
      <c r="G43" t="s">
        <v>12</v>
      </c>
      <c r="H43">
        <v>5</v>
      </c>
      <c r="I43">
        <v>1158.3800000000001</v>
      </c>
      <c r="J43">
        <v>-334.5</v>
      </c>
      <c r="K43" t="str">
        <f t="shared" si="1"/>
        <v>November</v>
      </c>
      <c r="L43" t="str">
        <f t="shared" si="2"/>
        <v>Q4</v>
      </c>
      <c r="M43">
        <f t="shared" si="0"/>
        <v>2023</v>
      </c>
      <c r="N43" t="s">
        <v>44</v>
      </c>
    </row>
    <row r="44" spans="1:14" ht="14.55" customHeight="1" x14ac:dyDescent="0.3">
      <c r="A44" s="1">
        <v>44744</v>
      </c>
      <c r="B44" t="s">
        <v>31</v>
      </c>
      <c r="C44" t="s">
        <v>10</v>
      </c>
      <c r="D44" t="s">
        <v>28</v>
      </c>
      <c r="E44">
        <v>21</v>
      </c>
      <c r="F44">
        <v>8375.6</v>
      </c>
      <c r="G44" t="s">
        <v>20</v>
      </c>
      <c r="H44">
        <v>4</v>
      </c>
      <c r="I44">
        <v>2127.09</v>
      </c>
      <c r="J44">
        <v>6248.51</v>
      </c>
      <c r="K44" t="str">
        <f t="shared" si="1"/>
        <v>July</v>
      </c>
      <c r="L44" t="str">
        <f t="shared" si="2"/>
        <v>Q3</v>
      </c>
      <c r="M44">
        <f t="shared" si="0"/>
        <v>2022</v>
      </c>
      <c r="N44" t="s">
        <v>45</v>
      </c>
    </row>
    <row r="45" spans="1:14" ht="14.55" customHeight="1" x14ac:dyDescent="0.3">
      <c r="A45" s="1">
        <v>44721</v>
      </c>
      <c r="B45" t="s">
        <v>9</v>
      </c>
      <c r="C45" t="s">
        <v>25</v>
      </c>
      <c r="D45" t="s">
        <v>39</v>
      </c>
      <c r="E45">
        <v>27</v>
      </c>
      <c r="F45">
        <v>6601.03</v>
      </c>
      <c r="G45" t="s">
        <v>12</v>
      </c>
      <c r="H45">
        <v>1</v>
      </c>
      <c r="I45">
        <v>6107.2</v>
      </c>
      <c r="J45">
        <v>493.83</v>
      </c>
      <c r="K45" t="str">
        <f t="shared" si="1"/>
        <v>June</v>
      </c>
      <c r="L45" t="str">
        <f t="shared" si="2"/>
        <v>Q2</v>
      </c>
      <c r="M45">
        <f t="shared" si="0"/>
        <v>2022</v>
      </c>
      <c r="N45" t="s">
        <v>46</v>
      </c>
    </row>
    <row r="46" spans="1:14" ht="14.55" customHeight="1" x14ac:dyDescent="0.3">
      <c r="A46" s="1">
        <v>44771</v>
      </c>
      <c r="B46" t="s">
        <v>31</v>
      </c>
      <c r="C46" t="s">
        <v>21</v>
      </c>
      <c r="D46" t="s">
        <v>32</v>
      </c>
      <c r="E46">
        <v>11</v>
      </c>
      <c r="F46">
        <v>2383.04</v>
      </c>
      <c r="G46" t="s">
        <v>12</v>
      </c>
      <c r="H46">
        <v>2</v>
      </c>
      <c r="I46">
        <v>773.3</v>
      </c>
      <c r="J46">
        <v>1609.74</v>
      </c>
      <c r="K46" t="str">
        <f t="shared" si="1"/>
        <v>July</v>
      </c>
      <c r="L46" t="str">
        <f t="shared" si="2"/>
        <v>Q3</v>
      </c>
      <c r="M46">
        <f t="shared" si="0"/>
        <v>2022</v>
      </c>
      <c r="N46" t="s">
        <v>44</v>
      </c>
    </row>
    <row r="47" spans="1:14" ht="14.55" customHeight="1" x14ac:dyDescent="0.3">
      <c r="A47" s="1">
        <v>44823</v>
      </c>
      <c r="B47" t="s">
        <v>23</v>
      </c>
      <c r="C47" t="s">
        <v>13</v>
      </c>
      <c r="D47" t="s">
        <v>19</v>
      </c>
      <c r="E47">
        <v>30</v>
      </c>
      <c r="F47">
        <v>4321.34</v>
      </c>
      <c r="G47" t="s">
        <v>20</v>
      </c>
      <c r="H47">
        <v>1</v>
      </c>
      <c r="I47">
        <v>4530.51</v>
      </c>
      <c r="J47">
        <v>-209.17</v>
      </c>
      <c r="K47" t="str">
        <f t="shared" si="1"/>
        <v>September</v>
      </c>
      <c r="L47" t="str">
        <f t="shared" si="2"/>
        <v>Q3</v>
      </c>
      <c r="M47">
        <f t="shared" si="0"/>
        <v>2022</v>
      </c>
      <c r="N47" t="s">
        <v>44</v>
      </c>
    </row>
    <row r="48" spans="1:14" ht="14.55" customHeight="1" x14ac:dyDescent="0.3">
      <c r="A48" s="1">
        <v>45142</v>
      </c>
      <c r="B48" t="s">
        <v>18</v>
      </c>
      <c r="C48" t="s">
        <v>21</v>
      </c>
      <c r="D48" t="s">
        <v>22</v>
      </c>
      <c r="E48">
        <v>17</v>
      </c>
      <c r="F48">
        <v>2877.76</v>
      </c>
      <c r="G48" t="s">
        <v>12</v>
      </c>
      <c r="H48">
        <v>1</v>
      </c>
      <c r="I48">
        <v>1652.86</v>
      </c>
      <c r="J48">
        <v>1224.9000000000001</v>
      </c>
      <c r="K48" t="str">
        <f t="shared" si="1"/>
        <v>August</v>
      </c>
      <c r="L48" t="str">
        <f t="shared" si="2"/>
        <v>Q3</v>
      </c>
      <c r="M48">
        <f t="shared" si="0"/>
        <v>2023</v>
      </c>
      <c r="N48" t="s">
        <v>45</v>
      </c>
    </row>
    <row r="49" spans="1:14" ht="14.55" customHeight="1" x14ac:dyDescent="0.3">
      <c r="A49" s="1">
        <v>45142</v>
      </c>
      <c r="B49" t="s">
        <v>23</v>
      </c>
      <c r="C49" t="s">
        <v>25</v>
      </c>
      <c r="D49" t="s">
        <v>38</v>
      </c>
      <c r="E49">
        <v>18</v>
      </c>
      <c r="F49">
        <v>4279.21</v>
      </c>
      <c r="G49" t="s">
        <v>12</v>
      </c>
      <c r="H49">
        <v>3</v>
      </c>
      <c r="I49">
        <v>2423.65</v>
      </c>
      <c r="J49">
        <v>1855.56</v>
      </c>
      <c r="K49" t="str">
        <f t="shared" si="1"/>
        <v>August</v>
      </c>
      <c r="L49" t="str">
        <f t="shared" si="2"/>
        <v>Q3</v>
      </c>
      <c r="M49">
        <f t="shared" si="0"/>
        <v>2023</v>
      </c>
      <c r="N49" t="s">
        <v>47</v>
      </c>
    </row>
    <row r="50" spans="1:14" ht="14.55" customHeight="1" x14ac:dyDescent="0.3">
      <c r="A50" s="1">
        <v>44963</v>
      </c>
      <c r="B50" t="s">
        <v>31</v>
      </c>
      <c r="C50" t="s">
        <v>25</v>
      </c>
      <c r="D50" t="s">
        <v>38</v>
      </c>
      <c r="E50">
        <v>18</v>
      </c>
      <c r="F50">
        <v>2685.04</v>
      </c>
      <c r="G50" t="s">
        <v>20</v>
      </c>
      <c r="H50">
        <v>4</v>
      </c>
      <c r="I50">
        <v>1326.23</v>
      </c>
      <c r="J50">
        <v>1358.81</v>
      </c>
      <c r="K50" t="str">
        <f t="shared" si="1"/>
        <v>February</v>
      </c>
      <c r="L50" t="str">
        <f t="shared" si="2"/>
        <v>Q1</v>
      </c>
      <c r="M50">
        <f t="shared" si="0"/>
        <v>2023</v>
      </c>
      <c r="N50" t="s">
        <v>46</v>
      </c>
    </row>
    <row r="51" spans="1:14" ht="14.55" customHeight="1" x14ac:dyDescent="0.3">
      <c r="A51" s="1">
        <v>45006</v>
      </c>
      <c r="B51" t="s">
        <v>31</v>
      </c>
      <c r="C51" t="s">
        <v>21</v>
      </c>
      <c r="D51" t="s">
        <v>32</v>
      </c>
      <c r="E51">
        <v>9</v>
      </c>
      <c r="F51">
        <v>3552.51</v>
      </c>
      <c r="G51" t="s">
        <v>20</v>
      </c>
      <c r="H51">
        <v>5</v>
      </c>
      <c r="I51">
        <v>2233.06</v>
      </c>
      <c r="J51">
        <v>1319.45</v>
      </c>
      <c r="K51" t="str">
        <f t="shared" si="1"/>
        <v>March</v>
      </c>
      <c r="L51" t="str">
        <f t="shared" si="2"/>
        <v>Q1</v>
      </c>
      <c r="M51">
        <f t="shared" si="0"/>
        <v>2023</v>
      </c>
      <c r="N51" t="s">
        <v>45</v>
      </c>
    </row>
    <row r="52" spans="1:14" ht="14.55" customHeight="1" x14ac:dyDescent="0.3">
      <c r="A52" s="1">
        <v>45217</v>
      </c>
      <c r="B52" t="s">
        <v>23</v>
      </c>
      <c r="C52" t="s">
        <v>10</v>
      </c>
      <c r="D52" t="s">
        <v>35</v>
      </c>
      <c r="E52">
        <v>39</v>
      </c>
      <c r="F52">
        <v>17358.37</v>
      </c>
      <c r="G52" t="s">
        <v>12</v>
      </c>
      <c r="H52">
        <v>5</v>
      </c>
      <c r="I52">
        <v>3162.14</v>
      </c>
      <c r="J52">
        <v>14196.23</v>
      </c>
      <c r="K52" t="str">
        <f t="shared" si="1"/>
        <v>October</v>
      </c>
      <c r="L52" t="str">
        <f t="shared" si="2"/>
        <v>Q4</v>
      </c>
      <c r="M52">
        <f t="shared" si="0"/>
        <v>2023</v>
      </c>
      <c r="N52" t="s">
        <v>47</v>
      </c>
    </row>
    <row r="53" spans="1:14" ht="14.55" customHeight="1" x14ac:dyDescent="0.3">
      <c r="A53" s="1">
        <v>45153</v>
      </c>
      <c r="B53" t="s">
        <v>9</v>
      </c>
      <c r="C53" t="s">
        <v>10</v>
      </c>
      <c r="D53" t="s">
        <v>11</v>
      </c>
      <c r="E53">
        <v>2</v>
      </c>
      <c r="F53">
        <v>882.83</v>
      </c>
      <c r="G53" t="s">
        <v>20</v>
      </c>
      <c r="H53">
        <v>3</v>
      </c>
      <c r="I53">
        <v>64.959999999999994</v>
      </c>
      <c r="J53">
        <v>817.87</v>
      </c>
      <c r="K53" t="str">
        <f t="shared" si="1"/>
        <v>August</v>
      </c>
      <c r="L53" t="str">
        <f t="shared" si="2"/>
        <v>Q3</v>
      </c>
      <c r="M53">
        <f t="shared" si="0"/>
        <v>2023</v>
      </c>
      <c r="N53" t="s">
        <v>44</v>
      </c>
    </row>
    <row r="54" spans="1:14" ht="14.55" customHeight="1" x14ac:dyDescent="0.3">
      <c r="A54" s="1">
        <v>44633</v>
      </c>
      <c r="B54" t="s">
        <v>23</v>
      </c>
      <c r="C54" t="s">
        <v>13</v>
      </c>
      <c r="D54" t="s">
        <v>19</v>
      </c>
      <c r="E54">
        <v>39</v>
      </c>
      <c r="F54">
        <v>18468.5</v>
      </c>
      <c r="G54" t="s">
        <v>12</v>
      </c>
      <c r="H54">
        <v>5</v>
      </c>
      <c r="I54">
        <v>7027.61</v>
      </c>
      <c r="J54">
        <v>11440.89</v>
      </c>
      <c r="K54" t="str">
        <f t="shared" si="1"/>
        <v>March</v>
      </c>
      <c r="L54" t="str">
        <f t="shared" si="2"/>
        <v>Q1</v>
      </c>
      <c r="M54">
        <f t="shared" si="0"/>
        <v>2022</v>
      </c>
      <c r="N54" t="s">
        <v>44</v>
      </c>
    </row>
    <row r="55" spans="1:14" ht="14.55" customHeight="1" x14ac:dyDescent="0.3">
      <c r="A55" s="1">
        <v>44724</v>
      </c>
      <c r="B55" t="s">
        <v>23</v>
      </c>
      <c r="C55" t="s">
        <v>16</v>
      </c>
      <c r="D55" t="s">
        <v>37</v>
      </c>
      <c r="E55">
        <v>28</v>
      </c>
      <c r="F55">
        <v>13953.83</v>
      </c>
      <c r="G55" t="s">
        <v>20</v>
      </c>
      <c r="H55">
        <v>1</v>
      </c>
      <c r="I55">
        <v>4942.6400000000003</v>
      </c>
      <c r="J55">
        <v>9011.19</v>
      </c>
      <c r="K55" t="str">
        <f t="shared" si="1"/>
        <v>June</v>
      </c>
      <c r="L55" t="str">
        <f t="shared" si="2"/>
        <v>Q2</v>
      </c>
      <c r="M55">
        <f t="shared" si="0"/>
        <v>2022</v>
      </c>
      <c r="N55" t="s">
        <v>47</v>
      </c>
    </row>
    <row r="56" spans="1:14" ht="14.55" customHeight="1" x14ac:dyDescent="0.3">
      <c r="A56" s="1">
        <v>45282</v>
      </c>
      <c r="B56" t="s">
        <v>15</v>
      </c>
      <c r="C56" t="s">
        <v>16</v>
      </c>
      <c r="D56" t="s">
        <v>27</v>
      </c>
      <c r="E56">
        <v>11</v>
      </c>
      <c r="F56">
        <v>2541.92</v>
      </c>
      <c r="G56" t="s">
        <v>20</v>
      </c>
      <c r="H56">
        <v>3</v>
      </c>
      <c r="I56">
        <v>1282.07</v>
      </c>
      <c r="J56">
        <v>1259.8499999999999</v>
      </c>
      <c r="K56" t="str">
        <f t="shared" si="1"/>
        <v>December</v>
      </c>
      <c r="L56" t="str">
        <f t="shared" si="2"/>
        <v>Q4</v>
      </c>
      <c r="M56">
        <f t="shared" si="0"/>
        <v>2023</v>
      </c>
      <c r="N56" t="s">
        <v>44</v>
      </c>
    </row>
    <row r="57" spans="1:14" ht="14.55" customHeight="1" x14ac:dyDescent="0.3">
      <c r="A57" s="1">
        <v>44831</v>
      </c>
      <c r="B57" t="s">
        <v>23</v>
      </c>
      <c r="C57" t="s">
        <v>25</v>
      </c>
      <c r="D57" t="s">
        <v>30</v>
      </c>
      <c r="E57">
        <v>1</v>
      </c>
      <c r="F57">
        <v>372.52</v>
      </c>
      <c r="G57" t="s">
        <v>12</v>
      </c>
      <c r="H57">
        <v>1</v>
      </c>
      <c r="I57">
        <v>156.54</v>
      </c>
      <c r="J57">
        <v>215.98</v>
      </c>
      <c r="K57" t="str">
        <f t="shared" si="1"/>
        <v>September</v>
      </c>
      <c r="L57" t="str">
        <f t="shared" si="2"/>
        <v>Q3</v>
      </c>
      <c r="M57">
        <f t="shared" si="0"/>
        <v>2022</v>
      </c>
      <c r="N57" t="s">
        <v>47</v>
      </c>
    </row>
    <row r="58" spans="1:14" ht="14.55" customHeight="1" x14ac:dyDescent="0.3">
      <c r="A58" s="1">
        <v>45078</v>
      </c>
      <c r="B58" t="s">
        <v>31</v>
      </c>
      <c r="C58" t="s">
        <v>16</v>
      </c>
      <c r="D58" t="s">
        <v>17</v>
      </c>
      <c r="E58">
        <v>33</v>
      </c>
      <c r="F58">
        <v>9687.4</v>
      </c>
      <c r="G58" t="s">
        <v>20</v>
      </c>
      <c r="H58">
        <v>4</v>
      </c>
      <c r="I58">
        <v>4854.75</v>
      </c>
      <c r="J58">
        <v>4832.6499999999996</v>
      </c>
      <c r="K58" t="str">
        <f t="shared" si="1"/>
        <v>June</v>
      </c>
      <c r="L58" t="str">
        <f t="shared" si="2"/>
        <v>Q2</v>
      </c>
      <c r="M58">
        <f t="shared" si="0"/>
        <v>2023</v>
      </c>
      <c r="N58" t="s">
        <v>44</v>
      </c>
    </row>
    <row r="59" spans="1:14" ht="14.55" customHeight="1" x14ac:dyDescent="0.3">
      <c r="A59" s="1">
        <v>44772</v>
      </c>
      <c r="B59" t="s">
        <v>15</v>
      </c>
      <c r="C59" t="s">
        <v>25</v>
      </c>
      <c r="D59" t="s">
        <v>30</v>
      </c>
      <c r="E59">
        <v>48</v>
      </c>
      <c r="F59">
        <v>4457.95</v>
      </c>
      <c r="G59" t="s">
        <v>20</v>
      </c>
      <c r="H59">
        <v>5</v>
      </c>
      <c r="I59">
        <v>6541.78</v>
      </c>
      <c r="J59">
        <v>-2083.83</v>
      </c>
      <c r="K59" t="str">
        <f t="shared" si="1"/>
        <v>July</v>
      </c>
      <c r="L59" t="str">
        <f t="shared" si="2"/>
        <v>Q3</v>
      </c>
      <c r="M59">
        <f t="shared" si="0"/>
        <v>2022</v>
      </c>
      <c r="N59" t="s">
        <v>44</v>
      </c>
    </row>
    <row r="60" spans="1:14" ht="14.55" customHeight="1" x14ac:dyDescent="0.3">
      <c r="A60" s="1">
        <v>44941</v>
      </c>
      <c r="B60" t="s">
        <v>15</v>
      </c>
      <c r="C60" t="s">
        <v>16</v>
      </c>
      <c r="D60" t="s">
        <v>27</v>
      </c>
      <c r="E60">
        <v>40</v>
      </c>
      <c r="F60">
        <v>1296.2</v>
      </c>
      <c r="G60" t="s">
        <v>20</v>
      </c>
      <c r="H60">
        <v>3</v>
      </c>
      <c r="I60">
        <v>246.28</v>
      </c>
      <c r="J60">
        <v>1049.92</v>
      </c>
      <c r="K60" t="str">
        <f t="shared" si="1"/>
        <v>January</v>
      </c>
      <c r="L60" t="str">
        <f t="shared" si="2"/>
        <v>Q1</v>
      </c>
      <c r="M60">
        <f t="shared" si="0"/>
        <v>2023</v>
      </c>
      <c r="N60" t="s">
        <v>43</v>
      </c>
    </row>
    <row r="61" spans="1:14" ht="14.55" customHeight="1" x14ac:dyDescent="0.3">
      <c r="A61" s="1">
        <v>44823</v>
      </c>
      <c r="B61" t="s">
        <v>9</v>
      </c>
      <c r="C61" t="s">
        <v>21</v>
      </c>
      <c r="D61" t="s">
        <v>32</v>
      </c>
      <c r="E61">
        <v>48</v>
      </c>
      <c r="F61">
        <v>21116.34</v>
      </c>
      <c r="G61" t="s">
        <v>12</v>
      </c>
      <c r="H61">
        <v>4</v>
      </c>
      <c r="I61">
        <v>7595.67</v>
      </c>
      <c r="J61">
        <v>13520.67</v>
      </c>
      <c r="K61" t="str">
        <f t="shared" si="1"/>
        <v>September</v>
      </c>
      <c r="L61" t="str">
        <f t="shared" si="2"/>
        <v>Q3</v>
      </c>
      <c r="M61">
        <f t="shared" si="0"/>
        <v>2022</v>
      </c>
      <c r="N61" t="s">
        <v>47</v>
      </c>
    </row>
    <row r="62" spans="1:14" ht="14.55" customHeight="1" x14ac:dyDescent="0.3">
      <c r="A62" s="1">
        <v>44830</v>
      </c>
      <c r="B62" t="s">
        <v>18</v>
      </c>
      <c r="C62" t="s">
        <v>10</v>
      </c>
      <c r="D62" t="s">
        <v>11</v>
      </c>
      <c r="E62">
        <v>31</v>
      </c>
      <c r="F62">
        <v>5236.74</v>
      </c>
      <c r="G62" t="s">
        <v>20</v>
      </c>
      <c r="H62">
        <v>5</v>
      </c>
      <c r="I62">
        <v>7402.97</v>
      </c>
      <c r="J62">
        <v>-2166.23</v>
      </c>
      <c r="K62" t="str">
        <f t="shared" si="1"/>
        <v>September</v>
      </c>
      <c r="L62" t="str">
        <f t="shared" si="2"/>
        <v>Q3</v>
      </c>
      <c r="M62">
        <f t="shared" si="0"/>
        <v>2022</v>
      </c>
      <c r="N62" t="s">
        <v>44</v>
      </c>
    </row>
    <row r="63" spans="1:14" ht="14.55" customHeight="1" x14ac:dyDescent="0.3">
      <c r="A63" s="1">
        <v>44984</v>
      </c>
      <c r="B63" t="s">
        <v>18</v>
      </c>
      <c r="C63" t="s">
        <v>25</v>
      </c>
      <c r="D63" t="s">
        <v>38</v>
      </c>
      <c r="E63">
        <v>18</v>
      </c>
      <c r="F63">
        <v>4295.16</v>
      </c>
      <c r="G63" t="s">
        <v>12</v>
      </c>
      <c r="H63">
        <v>2</v>
      </c>
      <c r="I63">
        <v>3938.62</v>
      </c>
      <c r="J63">
        <v>356.54</v>
      </c>
      <c r="K63" t="str">
        <f t="shared" si="1"/>
        <v>February</v>
      </c>
      <c r="L63" t="str">
        <f t="shared" si="2"/>
        <v>Q1</v>
      </c>
      <c r="M63">
        <f t="shared" si="0"/>
        <v>2023</v>
      </c>
      <c r="N63" t="s">
        <v>44</v>
      </c>
    </row>
    <row r="64" spans="1:14" ht="14.55" customHeight="1" x14ac:dyDescent="0.3">
      <c r="A64" s="1">
        <v>45256</v>
      </c>
      <c r="B64" t="s">
        <v>31</v>
      </c>
      <c r="C64" t="s">
        <v>13</v>
      </c>
      <c r="D64" t="s">
        <v>19</v>
      </c>
      <c r="E64">
        <v>38</v>
      </c>
      <c r="F64">
        <v>2603.2399999999998</v>
      </c>
      <c r="G64" t="s">
        <v>20</v>
      </c>
      <c r="H64">
        <v>4</v>
      </c>
      <c r="I64">
        <v>8658.3799999999992</v>
      </c>
      <c r="J64">
        <v>-6055.14</v>
      </c>
      <c r="K64" t="str">
        <f t="shared" si="1"/>
        <v>November</v>
      </c>
      <c r="L64" t="str">
        <f t="shared" si="2"/>
        <v>Q4</v>
      </c>
      <c r="M64">
        <f t="shared" si="0"/>
        <v>2023</v>
      </c>
      <c r="N64" t="s">
        <v>44</v>
      </c>
    </row>
    <row r="65" spans="1:14" ht="14.55" customHeight="1" x14ac:dyDescent="0.3">
      <c r="A65" s="1">
        <v>45171</v>
      </c>
      <c r="B65" t="s">
        <v>9</v>
      </c>
      <c r="C65" t="s">
        <v>13</v>
      </c>
      <c r="D65" t="s">
        <v>19</v>
      </c>
      <c r="E65">
        <v>38</v>
      </c>
      <c r="F65">
        <v>11852.59</v>
      </c>
      <c r="G65" t="s">
        <v>12</v>
      </c>
      <c r="H65">
        <v>3</v>
      </c>
      <c r="I65">
        <v>7891.88</v>
      </c>
      <c r="J65">
        <v>3960.71</v>
      </c>
      <c r="K65" t="str">
        <f t="shared" si="1"/>
        <v>September</v>
      </c>
      <c r="L65" t="str">
        <f t="shared" si="2"/>
        <v>Q3</v>
      </c>
      <c r="M65">
        <f t="shared" si="0"/>
        <v>2023</v>
      </c>
      <c r="N65" t="s">
        <v>47</v>
      </c>
    </row>
    <row r="66" spans="1:14" ht="14.55" customHeight="1" x14ac:dyDescent="0.3">
      <c r="A66" s="1">
        <v>44667</v>
      </c>
      <c r="B66" t="s">
        <v>9</v>
      </c>
      <c r="C66" t="s">
        <v>25</v>
      </c>
      <c r="D66" t="s">
        <v>26</v>
      </c>
      <c r="E66">
        <v>20</v>
      </c>
      <c r="F66">
        <v>8416.1</v>
      </c>
      <c r="G66" t="s">
        <v>12</v>
      </c>
      <c r="H66">
        <v>3</v>
      </c>
      <c r="I66">
        <v>2279.83</v>
      </c>
      <c r="J66">
        <v>6136.27</v>
      </c>
      <c r="K66" t="str">
        <f t="shared" si="1"/>
        <v>April</v>
      </c>
      <c r="L66" t="str">
        <f t="shared" si="2"/>
        <v>Q2</v>
      </c>
      <c r="M66">
        <f t="shared" ref="M66:M129" si="3">YEAR(A66)</f>
        <v>2022</v>
      </c>
      <c r="N66" t="s">
        <v>44</v>
      </c>
    </row>
    <row r="67" spans="1:14" ht="14.55" customHeight="1" x14ac:dyDescent="0.3">
      <c r="A67" s="1">
        <v>45171</v>
      </c>
      <c r="B67" t="s">
        <v>18</v>
      </c>
      <c r="C67" t="s">
        <v>21</v>
      </c>
      <c r="D67" t="s">
        <v>32</v>
      </c>
      <c r="E67">
        <v>39</v>
      </c>
      <c r="F67">
        <v>3154</v>
      </c>
      <c r="G67" t="s">
        <v>12</v>
      </c>
      <c r="H67">
        <v>1</v>
      </c>
      <c r="I67">
        <v>5257.31</v>
      </c>
      <c r="J67">
        <v>-2103.31</v>
      </c>
      <c r="K67" t="str">
        <f t="shared" ref="K67:K130" si="4">TEXT(A67,"mmmm")</f>
        <v>September</v>
      </c>
      <c r="L67" t="str">
        <f t="shared" ref="L67:L130" si="5">"Q"&amp;INT((MONTH(A67)-1)/3)+1</f>
        <v>Q3</v>
      </c>
      <c r="M67">
        <f t="shared" si="3"/>
        <v>2023</v>
      </c>
      <c r="N67" t="s">
        <v>44</v>
      </c>
    </row>
    <row r="68" spans="1:14" ht="14.55" customHeight="1" x14ac:dyDescent="0.3">
      <c r="A68" s="1">
        <v>44722</v>
      </c>
      <c r="B68" t="s">
        <v>15</v>
      </c>
      <c r="C68" t="s">
        <v>16</v>
      </c>
      <c r="D68" t="s">
        <v>24</v>
      </c>
      <c r="E68">
        <v>14</v>
      </c>
      <c r="F68">
        <v>5683.65</v>
      </c>
      <c r="G68" t="s">
        <v>12</v>
      </c>
      <c r="H68">
        <v>1</v>
      </c>
      <c r="I68">
        <v>1320.14</v>
      </c>
      <c r="J68">
        <v>4363.51</v>
      </c>
      <c r="K68" t="str">
        <f t="shared" si="4"/>
        <v>June</v>
      </c>
      <c r="L68" t="str">
        <f t="shared" si="5"/>
        <v>Q2</v>
      </c>
      <c r="M68">
        <f t="shared" si="3"/>
        <v>2022</v>
      </c>
      <c r="N68" t="s">
        <v>45</v>
      </c>
    </row>
    <row r="69" spans="1:14" ht="14.55" customHeight="1" x14ac:dyDescent="0.3">
      <c r="A69" s="1">
        <v>44780</v>
      </c>
      <c r="B69" t="s">
        <v>23</v>
      </c>
      <c r="C69" t="s">
        <v>16</v>
      </c>
      <c r="D69" t="s">
        <v>17</v>
      </c>
      <c r="E69">
        <v>7</v>
      </c>
      <c r="F69">
        <v>1629.56</v>
      </c>
      <c r="G69" t="s">
        <v>20</v>
      </c>
      <c r="H69">
        <v>1</v>
      </c>
      <c r="I69">
        <v>267.11</v>
      </c>
      <c r="J69">
        <v>1362.45</v>
      </c>
      <c r="K69" t="str">
        <f t="shared" si="4"/>
        <v>August</v>
      </c>
      <c r="L69" t="str">
        <f t="shared" si="5"/>
        <v>Q3</v>
      </c>
      <c r="M69">
        <f t="shared" si="3"/>
        <v>2022</v>
      </c>
      <c r="N69" t="s">
        <v>44</v>
      </c>
    </row>
    <row r="70" spans="1:14" ht="14.55" customHeight="1" x14ac:dyDescent="0.3">
      <c r="A70" s="1">
        <v>45151</v>
      </c>
      <c r="B70" t="s">
        <v>23</v>
      </c>
      <c r="C70" t="s">
        <v>21</v>
      </c>
      <c r="D70" t="s">
        <v>22</v>
      </c>
      <c r="E70">
        <v>33</v>
      </c>
      <c r="F70">
        <v>3616.95</v>
      </c>
      <c r="G70" t="s">
        <v>12</v>
      </c>
      <c r="H70">
        <v>5</v>
      </c>
      <c r="I70">
        <v>1191.25</v>
      </c>
      <c r="J70">
        <v>2425.6999999999998</v>
      </c>
      <c r="K70" t="str">
        <f t="shared" si="4"/>
        <v>August</v>
      </c>
      <c r="L70" t="str">
        <f t="shared" si="5"/>
        <v>Q3</v>
      </c>
      <c r="M70">
        <f t="shared" si="3"/>
        <v>2023</v>
      </c>
      <c r="N70" t="s">
        <v>47</v>
      </c>
    </row>
    <row r="71" spans="1:14" ht="14.55" customHeight="1" x14ac:dyDescent="0.3">
      <c r="A71" s="1">
        <v>44699</v>
      </c>
      <c r="B71" t="s">
        <v>15</v>
      </c>
      <c r="C71" t="s">
        <v>16</v>
      </c>
      <c r="D71" t="s">
        <v>17</v>
      </c>
      <c r="E71">
        <v>35</v>
      </c>
      <c r="F71">
        <v>5038.96</v>
      </c>
      <c r="G71" t="s">
        <v>12</v>
      </c>
      <c r="H71">
        <v>4</v>
      </c>
      <c r="I71">
        <v>8240.83</v>
      </c>
      <c r="J71">
        <v>-3201.87</v>
      </c>
      <c r="K71" t="str">
        <f t="shared" si="4"/>
        <v>May</v>
      </c>
      <c r="L71" t="str">
        <f t="shared" si="5"/>
        <v>Q2</v>
      </c>
      <c r="M71">
        <f t="shared" si="3"/>
        <v>2022</v>
      </c>
      <c r="N71" t="s">
        <v>44</v>
      </c>
    </row>
    <row r="72" spans="1:14" ht="14.55" customHeight="1" x14ac:dyDescent="0.3">
      <c r="A72" s="1">
        <v>45045</v>
      </c>
      <c r="B72" t="s">
        <v>31</v>
      </c>
      <c r="C72" t="s">
        <v>25</v>
      </c>
      <c r="D72" t="s">
        <v>30</v>
      </c>
      <c r="E72">
        <v>7</v>
      </c>
      <c r="F72">
        <v>1820.46</v>
      </c>
      <c r="G72" t="s">
        <v>12</v>
      </c>
      <c r="H72">
        <v>5</v>
      </c>
      <c r="I72">
        <v>1345.23</v>
      </c>
      <c r="J72">
        <v>475.23</v>
      </c>
      <c r="K72" t="str">
        <f t="shared" si="4"/>
        <v>April</v>
      </c>
      <c r="L72" t="str">
        <f t="shared" si="5"/>
        <v>Q2</v>
      </c>
      <c r="M72">
        <f t="shared" si="3"/>
        <v>2023</v>
      </c>
      <c r="N72" t="s">
        <v>44</v>
      </c>
    </row>
    <row r="73" spans="1:14" ht="14.55" customHeight="1" x14ac:dyDescent="0.3">
      <c r="A73" s="1">
        <v>44870</v>
      </c>
      <c r="B73" t="s">
        <v>15</v>
      </c>
      <c r="C73" t="s">
        <v>16</v>
      </c>
      <c r="D73" t="s">
        <v>17</v>
      </c>
      <c r="E73">
        <v>2</v>
      </c>
      <c r="F73">
        <v>302.02</v>
      </c>
      <c r="G73" t="s">
        <v>12</v>
      </c>
      <c r="H73">
        <v>3</v>
      </c>
      <c r="I73">
        <v>456.57</v>
      </c>
      <c r="J73">
        <v>-154.55000000000001</v>
      </c>
      <c r="K73" t="str">
        <f t="shared" si="4"/>
        <v>November</v>
      </c>
      <c r="L73" t="str">
        <f t="shared" si="5"/>
        <v>Q4</v>
      </c>
      <c r="M73">
        <f t="shared" si="3"/>
        <v>2022</v>
      </c>
      <c r="N73" t="s">
        <v>44</v>
      </c>
    </row>
    <row r="74" spans="1:14" ht="14.55" customHeight="1" x14ac:dyDescent="0.3">
      <c r="A74" s="1">
        <v>45137</v>
      </c>
      <c r="B74" t="s">
        <v>9</v>
      </c>
      <c r="C74" t="s">
        <v>21</v>
      </c>
      <c r="D74" t="s">
        <v>22</v>
      </c>
      <c r="E74">
        <v>29</v>
      </c>
      <c r="F74">
        <v>4863.6400000000003</v>
      </c>
      <c r="G74" t="s">
        <v>20</v>
      </c>
      <c r="H74">
        <v>5</v>
      </c>
      <c r="I74">
        <v>3678.13</v>
      </c>
      <c r="J74">
        <v>1185.51</v>
      </c>
      <c r="K74" t="str">
        <f t="shared" si="4"/>
        <v>July</v>
      </c>
      <c r="L74" t="str">
        <f t="shared" si="5"/>
        <v>Q3</v>
      </c>
      <c r="M74">
        <f t="shared" si="3"/>
        <v>2023</v>
      </c>
      <c r="N74" t="s">
        <v>44</v>
      </c>
    </row>
    <row r="75" spans="1:14" ht="14.55" customHeight="1" x14ac:dyDescent="0.3">
      <c r="A75" s="1">
        <v>44836</v>
      </c>
      <c r="B75" t="s">
        <v>15</v>
      </c>
      <c r="C75" t="s">
        <v>16</v>
      </c>
      <c r="D75" t="s">
        <v>17</v>
      </c>
      <c r="E75">
        <v>8</v>
      </c>
      <c r="F75">
        <v>3297.56</v>
      </c>
      <c r="G75" t="s">
        <v>20</v>
      </c>
      <c r="H75">
        <v>5</v>
      </c>
      <c r="I75">
        <v>1010</v>
      </c>
      <c r="J75">
        <v>2287.56</v>
      </c>
      <c r="K75" t="str">
        <f t="shared" si="4"/>
        <v>October</v>
      </c>
      <c r="L75" t="str">
        <f t="shared" si="5"/>
        <v>Q4</v>
      </c>
      <c r="M75">
        <f t="shared" si="3"/>
        <v>2022</v>
      </c>
      <c r="N75" t="s">
        <v>45</v>
      </c>
    </row>
    <row r="76" spans="1:14" ht="14.55" customHeight="1" x14ac:dyDescent="0.3">
      <c r="A76" s="1">
        <v>45111</v>
      </c>
      <c r="B76" t="s">
        <v>23</v>
      </c>
      <c r="C76" t="s">
        <v>25</v>
      </c>
      <c r="D76" t="s">
        <v>39</v>
      </c>
      <c r="E76">
        <v>4</v>
      </c>
      <c r="F76">
        <v>1947</v>
      </c>
      <c r="G76" t="s">
        <v>12</v>
      </c>
      <c r="H76">
        <v>4</v>
      </c>
      <c r="I76">
        <v>993.24</v>
      </c>
      <c r="J76">
        <v>953.76</v>
      </c>
      <c r="K76" t="str">
        <f t="shared" si="4"/>
        <v>July</v>
      </c>
      <c r="L76" t="str">
        <f t="shared" si="5"/>
        <v>Q3</v>
      </c>
      <c r="M76">
        <f t="shared" si="3"/>
        <v>2023</v>
      </c>
      <c r="N76" t="s">
        <v>44</v>
      </c>
    </row>
    <row r="77" spans="1:14" ht="14.55" customHeight="1" x14ac:dyDescent="0.3">
      <c r="A77" s="1">
        <v>45025</v>
      </c>
      <c r="B77" t="s">
        <v>15</v>
      </c>
      <c r="C77" t="s">
        <v>16</v>
      </c>
      <c r="D77" t="s">
        <v>27</v>
      </c>
      <c r="E77">
        <v>33</v>
      </c>
      <c r="F77">
        <v>14895.16</v>
      </c>
      <c r="G77" t="s">
        <v>20</v>
      </c>
      <c r="H77">
        <v>1</v>
      </c>
      <c r="I77">
        <v>4642.05</v>
      </c>
      <c r="J77">
        <v>10253.11</v>
      </c>
      <c r="K77" t="str">
        <f t="shared" si="4"/>
        <v>April</v>
      </c>
      <c r="L77" t="str">
        <f t="shared" si="5"/>
        <v>Q2</v>
      </c>
      <c r="M77">
        <f t="shared" si="3"/>
        <v>2023</v>
      </c>
      <c r="N77" t="s">
        <v>44</v>
      </c>
    </row>
    <row r="78" spans="1:14" ht="14.55" customHeight="1" x14ac:dyDescent="0.3">
      <c r="A78" s="1">
        <v>45285</v>
      </c>
      <c r="B78" t="s">
        <v>31</v>
      </c>
      <c r="C78" t="s">
        <v>13</v>
      </c>
      <c r="D78" t="s">
        <v>29</v>
      </c>
      <c r="E78">
        <v>36</v>
      </c>
      <c r="F78">
        <v>3347.8</v>
      </c>
      <c r="G78" t="s">
        <v>12</v>
      </c>
      <c r="H78">
        <v>5</v>
      </c>
      <c r="I78">
        <v>5776.16</v>
      </c>
      <c r="J78">
        <v>-2428.36</v>
      </c>
      <c r="K78" t="str">
        <f t="shared" si="4"/>
        <v>December</v>
      </c>
      <c r="L78" t="str">
        <f t="shared" si="5"/>
        <v>Q4</v>
      </c>
      <c r="M78">
        <f t="shared" si="3"/>
        <v>2023</v>
      </c>
      <c r="N78" t="s">
        <v>43</v>
      </c>
    </row>
    <row r="79" spans="1:14" ht="14.55" customHeight="1" x14ac:dyDescent="0.3">
      <c r="A79" s="1">
        <v>44781</v>
      </c>
      <c r="B79" t="s">
        <v>23</v>
      </c>
      <c r="C79" t="s">
        <v>21</v>
      </c>
      <c r="D79" t="s">
        <v>22</v>
      </c>
      <c r="E79">
        <v>33</v>
      </c>
      <c r="F79">
        <v>12722.38</v>
      </c>
      <c r="G79" t="s">
        <v>12</v>
      </c>
      <c r="H79">
        <v>5</v>
      </c>
      <c r="I79">
        <v>2354.31</v>
      </c>
      <c r="J79">
        <v>10368.07</v>
      </c>
      <c r="K79" t="str">
        <f t="shared" si="4"/>
        <v>August</v>
      </c>
      <c r="L79" t="str">
        <f t="shared" si="5"/>
        <v>Q3</v>
      </c>
      <c r="M79">
        <f t="shared" si="3"/>
        <v>2022</v>
      </c>
      <c r="N79" t="s">
        <v>44</v>
      </c>
    </row>
    <row r="80" spans="1:14" ht="14.55" customHeight="1" x14ac:dyDescent="0.3">
      <c r="A80" s="1">
        <v>44629</v>
      </c>
      <c r="B80" t="s">
        <v>9</v>
      </c>
      <c r="C80" t="s">
        <v>13</v>
      </c>
      <c r="D80" t="s">
        <v>14</v>
      </c>
      <c r="E80">
        <v>22</v>
      </c>
      <c r="F80">
        <v>1700.5</v>
      </c>
      <c r="G80" t="s">
        <v>12</v>
      </c>
      <c r="H80">
        <v>1</v>
      </c>
      <c r="I80">
        <v>5308.2</v>
      </c>
      <c r="J80">
        <v>-3607.7</v>
      </c>
      <c r="K80" t="str">
        <f t="shared" si="4"/>
        <v>March</v>
      </c>
      <c r="L80" t="str">
        <f t="shared" si="5"/>
        <v>Q1</v>
      </c>
      <c r="M80">
        <f t="shared" si="3"/>
        <v>2022</v>
      </c>
      <c r="N80" t="s">
        <v>46</v>
      </c>
    </row>
    <row r="81" spans="1:14" ht="14.55" customHeight="1" x14ac:dyDescent="0.3">
      <c r="A81" s="1">
        <v>45032</v>
      </c>
      <c r="B81" t="s">
        <v>31</v>
      </c>
      <c r="C81" t="s">
        <v>21</v>
      </c>
      <c r="D81" t="s">
        <v>32</v>
      </c>
      <c r="E81">
        <v>45</v>
      </c>
      <c r="F81">
        <v>2852.92</v>
      </c>
      <c r="G81" t="s">
        <v>12</v>
      </c>
      <c r="H81">
        <v>1</v>
      </c>
      <c r="I81">
        <v>10089.08</v>
      </c>
      <c r="J81">
        <v>-7236.16</v>
      </c>
      <c r="K81" t="str">
        <f t="shared" si="4"/>
        <v>April</v>
      </c>
      <c r="L81" t="str">
        <f t="shared" si="5"/>
        <v>Q2</v>
      </c>
      <c r="M81">
        <f t="shared" si="3"/>
        <v>2023</v>
      </c>
      <c r="N81" t="s">
        <v>44</v>
      </c>
    </row>
    <row r="82" spans="1:14" ht="14.55" customHeight="1" x14ac:dyDescent="0.3">
      <c r="A82" s="1">
        <v>44751</v>
      </c>
      <c r="B82" t="s">
        <v>23</v>
      </c>
      <c r="C82" t="s">
        <v>10</v>
      </c>
      <c r="D82" t="s">
        <v>34</v>
      </c>
      <c r="E82">
        <v>13</v>
      </c>
      <c r="F82">
        <v>5228.1899999999996</v>
      </c>
      <c r="G82" t="s">
        <v>12</v>
      </c>
      <c r="H82">
        <v>3</v>
      </c>
      <c r="I82">
        <v>2042.42</v>
      </c>
      <c r="J82">
        <v>3185.77</v>
      </c>
      <c r="K82" t="str">
        <f t="shared" si="4"/>
        <v>July</v>
      </c>
      <c r="L82" t="str">
        <f t="shared" si="5"/>
        <v>Q3</v>
      </c>
      <c r="M82">
        <f t="shared" si="3"/>
        <v>2022</v>
      </c>
      <c r="N82" t="s">
        <v>47</v>
      </c>
    </row>
    <row r="83" spans="1:14" ht="14.55" customHeight="1" x14ac:dyDescent="0.3">
      <c r="A83" s="1">
        <v>45049</v>
      </c>
      <c r="B83" t="s">
        <v>18</v>
      </c>
      <c r="C83" t="s">
        <v>16</v>
      </c>
      <c r="D83" t="s">
        <v>17</v>
      </c>
      <c r="E83">
        <v>25</v>
      </c>
      <c r="F83">
        <v>4499.3</v>
      </c>
      <c r="G83" t="s">
        <v>20</v>
      </c>
      <c r="H83">
        <v>5</v>
      </c>
      <c r="I83">
        <v>4048.89</v>
      </c>
      <c r="J83">
        <v>450.41</v>
      </c>
      <c r="K83" t="str">
        <f t="shared" si="4"/>
        <v>May</v>
      </c>
      <c r="L83" t="str">
        <f t="shared" si="5"/>
        <v>Q2</v>
      </c>
      <c r="M83">
        <f t="shared" si="3"/>
        <v>2023</v>
      </c>
      <c r="N83" t="s">
        <v>44</v>
      </c>
    </row>
    <row r="84" spans="1:14" ht="14.55" customHeight="1" x14ac:dyDescent="0.3">
      <c r="A84" s="1">
        <v>45202</v>
      </c>
      <c r="B84" t="s">
        <v>15</v>
      </c>
      <c r="C84" t="s">
        <v>25</v>
      </c>
      <c r="D84" t="s">
        <v>38</v>
      </c>
      <c r="E84">
        <v>35</v>
      </c>
      <c r="F84">
        <v>4340.41</v>
      </c>
      <c r="G84" t="s">
        <v>20</v>
      </c>
      <c r="H84">
        <v>1</v>
      </c>
      <c r="I84">
        <v>1082.1400000000001</v>
      </c>
      <c r="J84">
        <v>3258.27</v>
      </c>
      <c r="K84" t="str">
        <f t="shared" si="4"/>
        <v>October</v>
      </c>
      <c r="L84" t="str">
        <f t="shared" si="5"/>
        <v>Q4</v>
      </c>
      <c r="M84">
        <f t="shared" si="3"/>
        <v>2023</v>
      </c>
      <c r="N84" t="s">
        <v>44</v>
      </c>
    </row>
    <row r="85" spans="1:14" ht="14.55" customHeight="1" x14ac:dyDescent="0.3">
      <c r="A85" s="1">
        <v>44708</v>
      </c>
      <c r="B85" t="s">
        <v>23</v>
      </c>
      <c r="C85" t="s">
        <v>21</v>
      </c>
      <c r="D85" t="s">
        <v>22</v>
      </c>
      <c r="E85">
        <v>11</v>
      </c>
      <c r="F85">
        <v>2776.21</v>
      </c>
      <c r="G85" t="s">
        <v>12</v>
      </c>
      <c r="H85">
        <v>4</v>
      </c>
      <c r="I85">
        <v>2562.0300000000002</v>
      </c>
      <c r="J85">
        <v>214.18</v>
      </c>
      <c r="K85" t="str">
        <f t="shared" si="4"/>
        <v>May</v>
      </c>
      <c r="L85" t="str">
        <f t="shared" si="5"/>
        <v>Q2</v>
      </c>
      <c r="M85">
        <f t="shared" si="3"/>
        <v>2022</v>
      </c>
      <c r="N85" t="s">
        <v>44</v>
      </c>
    </row>
    <row r="86" spans="1:14" ht="14.55" customHeight="1" x14ac:dyDescent="0.3">
      <c r="A86" s="1">
        <v>45004</v>
      </c>
      <c r="B86" t="s">
        <v>15</v>
      </c>
      <c r="C86" t="s">
        <v>25</v>
      </c>
      <c r="D86" t="s">
        <v>26</v>
      </c>
      <c r="E86">
        <v>36</v>
      </c>
      <c r="F86">
        <v>4676.42</v>
      </c>
      <c r="G86" t="s">
        <v>12</v>
      </c>
      <c r="H86">
        <v>1</v>
      </c>
      <c r="I86">
        <v>8295.56</v>
      </c>
      <c r="J86">
        <v>-3619.14</v>
      </c>
      <c r="K86" t="str">
        <f t="shared" si="4"/>
        <v>March</v>
      </c>
      <c r="L86" t="str">
        <f t="shared" si="5"/>
        <v>Q1</v>
      </c>
      <c r="M86">
        <f t="shared" si="3"/>
        <v>2023</v>
      </c>
      <c r="N86" t="s">
        <v>44</v>
      </c>
    </row>
    <row r="87" spans="1:14" ht="14.55" customHeight="1" x14ac:dyDescent="0.3">
      <c r="A87" s="1">
        <v>44679</v>
      </c>
      <c r="B87" t="s">
        <v>31</v>
      </c>
      <c r="C87" t="s">
        <v>10</v>
      </c>
      <c r="D87" t="s">
        <v>34</v>
      </c>
      <c r="E87">
        <v>13</v>
      </c>
      <c r="F87">
        <v>6035.57</v>
      </c>
      <c r="G87" t="s">
        <v>20</v>
      </c>
      <c r="H87">
        <v>4</v>
      </c>
      <c r="I87">
        <v>103.42</v>
      </c>
      <c r="J87">
        <v>5932.15</v>
      </c>
      <c r="K87" t="str">
        <f t="shared" si="4"/>
        <v>April</v>
      </c>
      <c r="L87" t="str">
        <f t="shared" si="5"/>
        <v>Q2</v>
      </c>
      <c r="M87">
        <f t="shared" si="3"/>
        <v>2022</v>
      </c>
      <c r="N87" t="s">
        <v>45</v>
      </c>
    </row>
    <row r="88" spans="1:14" ht="14.55" customHeight="1" x14ac:dyDescent="0.3">
      <c r="A88" s="1">
        <v>44743</v>
      </c>
      <c r="B88" t="s">
        <v>15</v>
      </c>
      <c r="C88" t="s">
        <v>13</v>
      </c>
      <c r="D88" t="s">
        <v>14</v>
      </c>
      <c r="E88">
        <v>26</v>
      </c>
      <c r="F88">
        <v>4967.71</v>
      </c>
      <c r="G88" t="s">
        <v>12</v>
      </c>
      <c r="H88">
        <v>1</v>
      </c>
      <c r="I88">
        <v>572.62</v>
      </c>
      <c r="J88">
        <v>4395.09</v>
      </c>
      <c r="K88" t="str">
        <f t="shared" si="4"/>
        <v>July</v>
      </c>
      <c r="L88" t="str">
        <f t="shared" si="5"/>
        <v>Q3</v>
      </c>
      <c r="M88">
        <f t="shared" si="3"/>
        <v>2022</v>
      </c>
      <c r="N88" t="s">
        <v>44</v>
      </c>
    </row>
    <row r="89" spans="1:14" ht="14.55" customHeight="1" x14ac:dyDescent="0.3">
      <c r="A89" s="1">
        <v>45063</v>
      </c>
      <c r="B89" t="s">
        <v>9</v>
      </c>
      <c r="C89" t="s">
        <v>25</v>
      </c>
      <c r="D89" t="s">
        <v>39</v>
      </c>
      <c r="E89">
        <v>30</v>
      </c>
      <c r="F89">
        <v>664.14</v>
      </c>
      <c r="G89" t="s">
        <v>12</v>
      </c>
      <c r="H89">
        <v>4</v>
      </c>
      <c r="I89">
        <v>6412.26</v>
      </c>
      <c r="J89">
        <v>-5748.12</v>
      </c>
      <c r="K89" t="str">
        <f t="shared" si="4"/>
        <v>May</v>
      </c>
      <c r="L89" t="str">
        <f t="shared" si="5"/>
        <v>Q2</v>
      </c>
      <c r="M89">
        <f t="shared" si="3"/>
        <v>2023</v>
      </c>
      <c r="N89" t="s">
        <v>44</v>
      </c>
    </row>
    <row r="90" spans="1:14" ht="14.55" customHeight="1" x14ac:dyDescent="0.3">
      <c r="A90" s="1">
        <v>44802</v>
      </c>
      <c r="B90" t="s">
        <v>9</v>
      </c>
      <c r="C90" t="s">
        <v>25</v>
      </c>
      <c r="D90" t="s">
        <v>26</v>
      </c>
      <c r="E90">
        <v>8</v>
      </c>
      <c r="F90">
        <v>2078.04</v>
      </c>
      <c r="G90" t="s">
        <v>12</v>
      </c>
      <c r="H90">
        <v>3</v>
      </c>
      <c r="I90">
        <v>1412.83</v>
      </c>
      <c r="J90">
        <v>665.21</v>
      </c>
      <c r="K90" t="str">
        <f t="shared" si="4"/>
        <v>August</v>
      </c>
      <c r="L90" t="str">
        <f t="shared" si="5"/>
        <v>Q3</v>
      </c>
      <c r="M90">
        <f t="shared" si="3"/>
        <v>2022</v>
      </c>
      <c r="N90" t="s">
        <v>45</v>
      </c>
    </row>
    <row r="91" spans="1:14" ht="14.55" customHeight="1" x14ac:dyDescent="0.3">
      <c r="A91" s="1">
        <v>45027</v>
      </c>
      <c r="B91" t="s">
        <v>15</v>
      </c>
      <c r="C91" t="s">
        <v>13</v>
      </c>
      <c r="D91" t="s">
        <v>14</v>
      </c>
      <c r="E91">
        <v>32</v>
      </c>
      <c r="F91">
        <v>13017.37</v>
      </c>
      <c r="G91" t="s">
        <v>12</v>
      </c>
      <c r="H91">
        <v>2</v>
      </c>
      <c r="I91">
        <v>4166.3900000000003</v>
      </c>
      <c r="J91">
        <v>8850.98</v>
      </c>
      <c r="K91" t="str">
        <f t="shared" si="4"/>
        <v>April</v>
      </c>
      <c r="L91" t="str">
        <f t="shared" si="5"/>
        <v>Q2</v>
      </c>
      <c r="M91">
        <f t="shared" si="3"/>
        <v>2023</v>
      </c>
      <c r="N91" t="s">
        <v>44</v>
      </c>
    </row>
    <row r="92" spans="1:14" ht="14.55" customHeight="1" x14ac:dyDescent="0.3">
      <c r="A92" s="1">
        <v>44849</v>
      </c>
      <c r="B92" t="s">
        <v>23</v>
      </c>
      <c r="C92" t="s">
        <v>13</v>
      </c>
      <c r="D92" t="s">
        <v>14</v>
      </c>
      <c r="E92">
        <v>40</v>
      </c>
      <c r="F92">
        <v>11185.72</v>
      </c>
      <c r="G92" t="s">
        <v>20</v>
      </c>
      <c r="H92">
        <v>1</v>
      </c>
      <c r="I92">
        <v>9967.66</v>
      </c>
      <c r="J92">
        <v>1218.06</v>
      </c>
      <c r="K92" t="str">
        <f t="shared" si="4"/>
        <v>October</v>
      </c>
      <c r="L92" t="str">
        <f t="shared" si="5"/>
        <v>Q4</v>
      </c>
      <c r="M92">
        <f t="shared" si="3"/>
        <v>2022</v>
      </c>
      <c r="N92" t="s">
        <v>45</v>
      </c>
    </row>
    <row r="93" spans="1:14" ht="14.55" customHeight="1" x14ac:dyDescent="0.3">
      <c r="A93" s="1">
        <v>45124</v>
      </c>
      <c r="B93" t="s">
        <v>31</v>
      </c>
      <c r="C93" t="s">
        <v>25</v>
      </c>
      <c r="D93" t="s">
        <v>26</v>
      </c>
      <c r="E93">
        <v>42</v>
      </c>
      <c r="F93">
        <v>12086.68</v>
      </c>
      <c r="G93" t="s">
        <v>20</v>
      </c>
      <c r="H93">
        <v>2</v>
      </c>
      <c r="I93">
        <v>1732.1</v>
      </c>
      <c r="J93">
        <v>10354.58</v>
      </c>
      <c r="K93" t="str">
        <f t="shared" si="4"/>
        <v>July</v>
      </c>
      <c r="L93" t="str">
        <f t="shared" si="5"/>
        <v>Q3</v>
      </c>
      <c r="M93">
        <f t="shared" si="3"/>
        <v>2023</v>
      </c>
      <c r="N93" t="s">
        <v>47</v>
      </c>
    </row>
    <row r="94" spans="1:14" ht="14.55" customHeight="1" x14ac:dyDescent="0.3">
      <c r="A94" s="1">
        <v>44863</v>
      </c>
      <c r="B94" t="s">
        <v>23</v>
      </c>
      <c r="C94" t="s">
        <v>10</v>
      </c>
      <c r="D94" t="s">
        <v>35</v>
      </c>
      <c r="E94">
        <v>35</v>
      </c>
      <c r="F94">
        <v>4546.1499999999996</v>
      </c>
      <c r="G94" t="s">
        <v>12</v>
      </c>
      <c r="H94">
        <v>5</v>
      </c>
      <c r="I94">
        <v>6783.6</v>
      </c>
      <c r="J94">
        <v>-2237.4499999999998</v>
      </c>
      <c r="K94" t="str">
        <f t="shared" si="4"/>
        <v>October</v>
      </c>
      <c r="L94" t="str">
        <f t="shared" si="5"/>
        <v>Q4</v>
      </c>
      <c r="M94">
        <f t="shared" si="3"/>
        <v>2022</v>
      </c>
      <c r="N94" t="s">
        <v>44</v>
      </c>
    </row>
    <row r="95" spans="1:14" ht="14.55" customHeight="1" x14ac:dyDescent="0.3">
      <c r="A95" s="1">
        <v>44596</v>
      </c>
      <c r="B95" t="s">
        <v>23</v>
      </c>
      <c r="C95" t="s">
        <v>16</v>
      </c>
      <c r="D95" t="s">
        <v>24</v>
      </c>
      <c r="E95">
        <v>45</v>
      </c>
      <c r="F95">
        <v>2193.4299999999998</v>
      </c>
      <c r="G95" t="s">
        <v>12</v>
      </c>
      <c r="H95">
        <v>4</v>
      </c>
      <c r="I95">
        <v>7785.38</v>
      </c>
      <c r="J95">
        <v>-5591.95</v>
      </c>
      <c r="K95" t="str">
        <f t="shared" si="4"/>
        <v>February</v>
      </c>
      <c r="L95" t="str">
        <f t="shared" si="5"/>
        <v>Q1</v>
      </c>
      <c r="M95">
        <f t="shared" si="3"/>
        <v>2022</v>
      </c>
      <c r="N95" t="s">
        <v>44</v>
      </c>
    </row>
    <row r="96" spans="1:14" ht="14.55" customHeight="1" x14ac:dyDescent="0.3">
      <c r="A96" s="1">
        <v>44820</v>
      </c>
      <c r="B96" t="s">
        <v>15</v>
      </c>
      <c r="C96" t="s">
        <v>25</v>
      </c>
      <c r="D96" t="s">
        <v>30</v>
      </c>
      <c r="E96">
        <v>16</v>
      </c>
      <c r="F96">
        <v>7218.59</v>
      </c>
      <c r="G96" t="s">
        <v>12</v>
      </c>
      <c r="H96">
        <v>3</v>
      </c>
      <c r="I96">
        <v>2278.4</v>
      </c>
      <c r="J96">
        <v>4940.1899999999996</v>
      </c>
      <c r="K96" t="str">
        <f t="shared" si="4"/>
        <v>September</v>
      </c>
      <c r="L96" t="str">
        <f t="shared" si="5"/>
        <v>Q3</v>
      </c>
      <c r="M96">
        <f t="shared" si="3"/>
        <v>2022</v>
      </c>
      <c r="N96" t="s">
        <v>44</v>
      </c>
    </row>
    <row r="97" spans="1:14" ht="14.55" customHeight="1" x14ac:dyDescent="0.3">
      <c r="A97" s="1">
        <v>45119</v>
      </c>
      <c r="B97" t="s">
        <v>23</v>
      </c>
      <c r="C97" t="s">
        <v>10</v>
      </c>
      <c r="D97" t="s">
        <v>35</v>
      </c>
      <c r="E97">
        <v>41</v>
      </c>
      <c r="F97">
        <v>14038.37</v>
      </c>
      <c r="G97" t="s">
        <v>12</v>
      </c>
      <c r="H97">
        <v>3</v>
      </c>
      <c r="I97">
        <v>303.29000000000002</v>
      </c>
      <c r="J97">
        <v>13735.08</v>
      </c>
      <c r="K97" t="str">
        <f t="shared" si="4"/>
        <v>July</v>
      </c>
      <c r="L97" t="str">
        <f t="shared" si="5"/>
        <v>Q3</v>
      </c>
      <c r="M97">
        <f t="shared" si="3"/>
        <v>2023</v>
      </c>
      <c r="N97" t="s">
        <v>45</v>
      </c>
    </row>
    <row r="98" spans="1:14" ht="14.55" customHeight="1" x14ac:dyDescent="0.3">
      <c r="A98" s="1">
        <v>44766</v>
      </c>
      <c r="B98" t="s">
        <v>15</v>
      </c>
      <c r="C98" t="s">
        <v>16</v>
      </c>
      <c r="D98" t="s">
        <v>24</v>
      </c>
      <c r="E98">
        <v>5</v>
      </c>
      <c r="F98">
        <v>492.57</v>
      </c>
      <c r="G98" t="s">
        <v>20</v>
      </c>
      <c r="H98">
        <v>1</v>
      </c>
      <c r="I98">
        <v>765.64</v>
      </c>
      <c r="J98">
        <v>-273.07</v>
      </c>
      <c r="K98" t="str">
        <f t="shared" si="4"/>
        <v>July</v>
      </c>
      <c r="L98" t="str">
        <f t="shared" si="5"/>
        <v>Q3</v>
      </c>
      <c r="M98">
        <f t="shared" si="3"/>
        <v>2022</v>
      </c>
      <c r="N98" t="s">
        <v>47</v>
      </c>
    </row>
    <row r="99" spans="1:14" ht="14.55" customHeight="1" x14ac:dyDescent="0.3">
      <c r="A99" s="1">
        <v>45285</v>
      </c>
      <c r="B99" t="s">
        <v>31</v>
      </c>
      <c r="C99" t="s">
        <v>21</v>
      </c>
      <c r="D99" t="s">
        <v>33</v>
      </c>
      <c r="E99">
        <v>10</v>
      </c>
      <c r="F99">
        <v>2571.37</v>
      </c>
      <c r="G99" t="s">
        <v>20</v>
      </c>
      <c r="H99">
        <v>3</v>
      </c>
      <c r="I99">
        <v>1574.32</v>
      </c>
      <c r="J99">
        <v>997.05</v>
      </c>
      <c r="K99" t="str">
        <f t="shared" si="4"/>
        <v>December</v>
      </c>
      <c r="L99" t="str">
        <f t="shared" si="5"/>
        <v>Q4</v>
      </c>
      <c r="M99">
        <f t="shared" si="3"/>
        <v>2023</v>
      </c>
      <c r="N99" t="s">
        <v>47</v>
      </c>
    </row>
    <row r="100" spans="1:14" ht="14.55" customHeight="1" x14ac:dyDescent="0.3">
      <c r="A100" s="1">
        <v>44864</v>
      </c>
      <c r="B100" t="s">
        <v>23</v>
      </c>
      <c r="C100" t="s">
        <v>25</v>
      </c>
      <c r="D100" t="s">
        <v>30</v>
      </c>
      <c r="E100">
        <v>46</v>
      </c>
      <c r="F100">
        <v>14916.13</v>
      </c>
      <c r="G100" t="s">
        <v>12</v>
      </c>
      <c r="H100">
        <v>2</v>
      </c>
      <c r="I100">
        <v>7054.92</v>
      </c>
      <c r="J100">
        <v>7861.21</v>
      </c>
      <c r="K100" t="str">
        <f t="shared" si="4"/>
        <v>October</v>
      </c>
      <c r="L100" t="str">
        <f t="shared" si="5"/>
        <v>Q4</v>
      </c>
      <c r="M100">
        <f t="shared" si="3"/>
        <v>2022</v>
      </c>
      <c r="N100" t="s">
        <v>44</v>
      </c>
    </row>
    <row r="101" spans="1:14" ht="14.55" customHeight="1" x14ac:dyDescent="0.3">
      <c r="A101" s="1">
        <v>45018</v>
      </c>
      <c r="B101" t="s">
        <v>15</v>
      </c>
      <c r="C101" t="s">
        <v>16</v>
      </c>
      <c r="D101" t="s">
        <v>27</v>
      </c>
      <c r="E101">
        <v>3</v>
      </c>
      <c r="F101">
        <v>1266.51</v>
      </c>
      <c r="G101" t="s">
        <v>12</v>
      </c>
      <c r="H101">
        <v>5</v>
      </c>
      <c r="I101">
        <v>743.74</v>
      </c>
      <c r="J101">
        <v>522.77</v>
      </c>
      <c r="K101" t="str">
        <f t="shared" si="4"/>
        <v>April</v>
      </c>
      <c r="L101" t="str">
        <f t="shared" si="5"/>
        <v>Q2</v>
      </c>
      <c r="M101">
        <f t="shared" si="3"/>
        <v>2023</v>
      </c>
      <c r="N101" t="s">
        <v>45</v>
      </c>
    </row>
    <row r="102" spans="1:14" ht="14.55" customHeight="1" x14ac:dyDescent="0.3">
      <c r="A102" s="1">
        <v>44861</v>
      </c>
      <c r="B102" t="s">
        <v>15</v>
      </c>
      <c r="C102" t="s">
        <v>25</v>
      </c>
      <c r="D102" t="s">
        <v>26</v>
      </c>
      <c r="E102">
        <v>18</v>
      </c>
      <c r="F102">
        <v>5602.64</v>
      </c>
      <c r="G102" t="s">
        <v>20</v>
      </c>
      <c r="H102">
        <v>5</v>
      </c>
      <c r="I102">
        <v>2537.84</v>
      </c>
      <c r="J102">
        <v>3064.8</v>
      </c>
      <c r="K102" t="str">
        <f t="shared" si="4"/>
        <v>October</v>
      </c>
      <c r="L102" t="str">
        <f t="shared" si="5"/>
        <v>Q4</v>
      </c>
      <c r="M102">
        <f t="shared" si="3"/>
        <v>2022</v>
      </c>
      <c r="N102" t="s">
        <v>45</v>
      </c>
    </row>
    <row r="103" spans="1:14" ht="14.55" customHeight="1" x14ac:dyDescent="0.3">
      <c r="A103" s="1">
        <v>44815</v>
      </c>
      <c r="B103" t="s">
        <v>9</v>
      </c>
      <c r="C103" t="s">
        <v>25</v>
      </c>
      <c r="D103" t="s">
        <v>38</v>
      </c>
      <c r="E103">
        <v>15</v>
      </c>
      <c r="F103">
        <v>2818.14</v>
      </c>
      <c r="G103" t="s">
        <v>20</v>
      </c>
      <c r="H103">
        <v>5</v>
      </c>
      <c r="I103">
        <v>1975.24</v>
      </c>
      <c r="J103">
        <v>842.9</v>
      </c>
      <c r="K103" t="str">
        <f t="shared" si="4"/>
        <v>September</v>
      </c>
      <c r="L103" t="str">
        <f t="shared" si="5"/>
        <v>Q3</v>
      </c>
      <c r="M103">
        <f t="shared" si="3"/>
        <v>2022</v>
      </c>
      <c r="N103" t="s">
        <v>44</v>
      </c>
    </row>
    <row r="104" spans="1:14" ht="14.55" customHeight="1" x14ac:dyDescent="0.3">
      <c r="A104" s="1">
        <v>45171</v>
      </c>
      <c r="B104" t="s">
        <v>23</v>
      </c>
      <c r="C104" t="s">
        <v>13</v>
      </c>
      <c r="D104" t="s">
        <v>14</v>
      </c>
      <c r="E104">
        <v>9</v>
      </c>
      <c r="F104">
        <v>1668.03</v>
      </c>
      <c r="G104" t="s">
        <v>20</v>
      </c>
      <c r="H104">
        <v>4</v>
      </c>
      <c r="I104">
        <v>1000.61</v>
      </c>
      <c r="J104">
        <v>667.42</v>
      </c>
      <c r="K104" t="str">
        <f t="shared" si="4"/>
        <v>September</v>
      </c>
      <c r="L104" t="str">
        <f t="shared" si="5"/>
        <v>Q3</v>
      </c>
      <c r="M104">
        <f t="shared" si="3"/>
        <v>2023</v>
      </c>
      <c r="N104" t="s">
        <v>47</v>
      </c>
    </row>
    <row r="105" spans="1:14" ht="14.55" customHeight="1" x14ac:dyDescent="0.3">
      <c r="A105" s="1">
        <v>44920</v>
      </c>
      <c r="B105" t="s">
        <v>23</v>
      </c>
      <c r="C105" t="s">
        <v>13</v>
      </c>
      <c r="D105" t="s">
        <v>40</v>
      </c>
      <c r="E105">
        <v>3</v>
      </c>
      <c r="F105">
        <v>1205.75</v>
      </c>
      <c r="G105" t="s">
        <v>12</v>
      </c>
      <c r="H105">
        <v>1</v>
      </c>
      <c r="I105">
        <v>294.70999999999998</v>
      </c>
      <c r="J105">
        <v>911.04</v>
      </c>
      <c r="K105" t="str">
        <f t="shared" si="4"/>
        <v>December</v>
      </c>
      <c r="L105" t="str">
        <f t="shared" si="5"/>
        <v>Q4</v>
      </c>
      <c r="M105">
        <f t="shared" si="3"/>
        <v>2022</v>
      </c>
      <c r="N105" t="s">
        <v>44</v>
      </c>
    </row>
    <row r="106" spans="1:14" ht="14.55" customHeight="1" x14ac:dyDescent="0.3">
      <c r="A106" s="1">
        <v>44928</v>
      </c>
      <c r="B106" t="s">
        <v>23</v>
      </c>
      <c r="C106" t="s">
        <v>21</v>
      </c>
      <c r="D106" t="s">
        <v>32</v>
      </c>
      <c r="E106">
        <v>1</v>
      </c>
      <c r="F106">
        <v>90.8</v>
      </c>
      <c r="G106" t="s">
        <v>20</v>
      </c>
      <c r="H106">
        <v>3</v>
      </c>
      <c r="I106">
        <v>160.22999999999999</v>
      </c>
      <c r="J106">
        <v>-69.430000000000007</v>
      </c>
      <c r="K106" t="str">
        <f t="shared" si="4"/>
        <v>January</v>
      </c>
      <c r="L106" t="str">
        <f t="shared" si="5"/>
        <v>Q1</v>
      </c>
      <c r="M106">
        <f t="shared" si="3"/>
        <v>2023</v>
      </c>
      <c r="N106" t="s">
        <v>44</v>
      </c>
    </row>
    <row r="107" spans="1:14" ht="14.55" customHeight="1" x14ac:dyDescent="0.3">
      <c r="A107" s="1">
        <v>45254</v>
      </c>
      <c r="B107" t="s">
        <v>9</v>
      </c>
      <c r="C107" t="s">
        <v>21</v>
      </c>
      <c r="D107" t="s">
        <v>22</v>
      </c>
      <c r="E107">
        <v>40</v>
      </c>
      <c r="F107">
        <v>14151.28</v>
      </c>
      <c r="G107" t="s">
        <v>12</v>
      </c>
      <c r="H107">
        <v>1</v>
      </c>
      <c r="I107">
        <v>3635.8</v>
      </c>
      <c r="J107">
        <v>10515.48</v>
      </c>
      <c r="K107" t="str">
        <f t="shared" si="4"/>
        <v>November</v>
      </c>
      <c r="L107" t="str">
        <f t="shared" si="5"/>
        <v>Q4</v>
      </c>
      <c r="M107">
        <f t="shared" si="3"/>
        <v>2023</v>
      </c>
      <c r="N107" t="s">
        <v>47</v>
      </c>
    </row>
    <row r="108" spans="1:14" ht="14.55" customHeight="1" x14ac:dyDescent="0.3">
      <c r="A108" s="1">
        <v>44705</v>
      </c>
      <c r="B108" t="s">
        <v>23</v>
      </c>
      <c r="C108" t="s">
        <v>21</v>
      </c>
      <c r="D108" t="s">
        <v>32</v>
      </c>
      <c r="E108">
        <v>46</v>
      </c>
      <c r="F108">
        <v>2921.32</v>
      </c>
      <c r="G108" t="s">
        <v>12</v>
      </c>
      <c r="H108">
        <v>3</v>
      </c>
      <c r="I108">
        <v>11363.45</v>
      </c>
      <c r="J108">
        <v>-8442.1299999999992</v>
      </c>
      <c r="K108" t="str">
        <f t="shared" si="4"/>
        <v>May</v>
      </c>
      <c r="L108" t="str">
        <f t="shared" si="5"/>
        <v>Q2</v>
      </c>
      <c r="M108">
        <f t="shared" si="3"/>
        <v>2022</v>
      </c>
      <c r="N108" t="s">
        <v>44</v>
      </c>
    </row>
    <row r="109" spans="1:14" ht="14.55" customHeight="1" x14ac:dyDescent="0.3">
      <c r="A109" s="1">
        <v>45253</v>
      </c>
      <c r="B109" t="s">
        <v>9</v>
      </c>
      <c r="C109" t="s">
        <v>10</v>
      </c>
      <c r="D109" t="s">
        <v>11</v>
      </c>
      <c r="E109">
        <v>19</v>
      </c>
      <c r="F109">
        <v>7240.05</v>
      </c>
      <c r="G109" t="s">
        <v>12</v>
      </c>
      <c r="H109">
        <v>5</v>
      </c>
      <c r="I109">
        <v>111.12</v>
      </c>
      <c r="J109">
        <v>7128.93</v>
      </c>
      <c r="K109" t="str">
        <f t="shared" si="4"/>
        <v>November</v>
      </c>
      <c r="L109" t="str">
        <f t="shared" si="5"/>
        <v>Q4</v>
      </c>
      <c r="M109">
        <f t="shared" si="3"/>
        <v>2023</v>
      </c>
      <c r="N109" t="s">
        <v>47</v>
      </c>
    </row>
    <row r="110" spans="1:14" ht="14.55" customHeight="1" x14ac:dyDescent="0.3">
      <c r="A110" s="1">
        <v>45094</v>
      </c>
      <c r="B110" t="s">
        <v>15</v>
      </c>
      <c r="C110" t="s">
        <v>13</v>
      </c>
      <c r="D110" t="s">
        <v>14</v>
      </c>
      <c r="E110">
        <v>42</v>
      </c>
      <c r="F110">
        <v>8301.52</v>
      </c>
      <c r="G110" t="s">
        <v>12</v>
      </c>
      <c r="H110">
        <v>1</v>
      </c>
      <c r="I110">
        <v>2013.62</v>
      </c>
      <c r="J110">
        <v>6287.9</v>
      </c>
      <c r="K110" t="str">
        <f t="shared" si="4"/>
        <v>June</v>
      </c>
      <c r="L110" t="str">
        <f t="shared" si="5"/>
        <v>Q2</v>
      </c>
      <c r="M110">
        <f t="shared" si="3"/>
        <v>2023</v>
      </c>
      <c r="N110" t="s">
        <v>44</v>
      </c>
    </row>
    <row r="111" spans="1:14" ht="14.55" customHeight="1" x14ac:dyDescent="0.3">
      <c r="A111" s="1">
        <v>44845</v>
      </c>
      <c r="B111" t="s">
        <v>18</v>
      </c>
      <c r="C111" t="s">
        <v>16</v>
      </c>
      <c r="D111" t="s">
        <v>37</v>
      </c>
      <c r="E111">
        <v>36</v>
      </c>
      <c r="F111">
        <v>7159.67</v>
      </c>
      <c r="G111" t="s">
        <v>20</v>
      </c>
      <c r="H111">
        <v>1</v>
      </c>
      <c r="I111">
        <v>1057.54</v>
      </c>
      <c r="J111">
        <v>6102.13</v>
      </c>
      <c r="K111" t="str">
        <f t="shared" si="4"/>
        <v>October</v>
      </c>
      <c r="L111" t="str">
        <f t="shared" si="5"/>
        <v>Q4</v>
      </c>
      <c r="M111">
        <f t="shared" si="3"/>
        <v>2022</v>
      </c>
      <c r="N111" t="s">
        <v>44</v>
      </c>
    </row>
    <row r="112" spans="1:14" ht="14.55" customHeight="1" x14ac:dyDescent="0.3">
      <c r="A112" s="1">
        <v>44833</v>
      </c>
      <c r="B112" t="s">
        <v>15</v>
      </c>
      <c r="C112" t="s">
        <v>25</v>
      </c>
      <c r="D112" t="s">
        <v>38</v>
      </c>
      <c r="E112">
        <v>5</v>
      </c>
      <c r="F112">
        <v>1174.32</v>
      </c>
      <c r="G112" t="s">
        <v>12</v>
      </c>
      <c r="H112">
        <v>3</v>
      </c>
      <c r="I112">
        <v>1236.5899999999999</v>
      </c>
      <c r="J112">
        <v>-62.27</v>
      </c>
      <c r="K112" t="str">
        <f t="shared" si="4"/>
        <v>September</v>
      </c>
      <c r="L112" t="str">
        <f t="shared" si="5"/>
        <v>Q3</v>
      </c>
      <c r="M112">
        <f t="shared" si="3"/>
        <v>2022</v>
      </c>
      <c r="N112" t="s">
        <v>47</v>
      </c>
    </row>
    <row r="113" spans="1:14" ht="14.55" customHeight="1" x14ac:dyDescent="0.3">
      <c r="A113" s="1">
        <v>45062</v>
      </c>
      <c r="B113" t="s">
        <v>18</v>
      </c>
      <c r="C113" t="s">
        <v>25</v>
      </c>
      <c r="D113" t="s">
        <v>38</v>
      </c>
      <c r="E113">
        <v>36</v>
      </c>
      <c r="F113">
        <v>1759.75</v>
      </c>
      <c r="G113" t="s">
        <v>12</v>
      </c>
      <c r="H113">
        <v>5</v>
      </c>
      <c r="I113">
        <v>7261.15</v>
      </c>
      <c r="J113">
        <v>-5501.4</v>
      </c>
      <c r="K113" t="str">
        <f t="shared" si="4"/>
        <v>May</v>
      </c>
      <c r="L113" t="str">
        <f t="shared" si="5"/>
        <v>Q2</v>
      </c>
      <c r="M113">
        <f t="shared" si="3"/>
        <v>2023</v>
      </c>
      <c r="N113" t="s">
        <v>44</v>
      </c>
    </row>
    <row r="114" spans="1:14" ht="14.55" customHeight="1" x14ac:dyDescent="0.3">
      <c r="A114" s="1">
        <v>44810</v>
      </c>
      <c r="B114" t="s">
        <v>18</v>
      </c>
      <c r="C114" t="s">
        <v>10</v>
      </c>
      <c r="D114" t="s">
        <v>28</v>
      </c>
      <c r="E114">
        <v>31</v>
      </c>
      <c r="F114">
        <v>11188.18</v>
      </c>
      <c r="G114" t="s">
        <v>20</v>
      </c>
      <c r="H114">
        <v>4</v>
      </c>
      <c r="I114">
        <v>646.59</v>
      </c>
      <c r="J114">
        <v>10541.59</v>
      </c>
      <c r="K114" t="str">
        <f t="shared" si="4"/>
        <v>September</v>
      </c>
      <c r="L114" t="str">
        <f t="shared" si="5"/>
        <v>Q3</v>
      </c>
      <c r="M114">
        <f t="shared" si="3"/>
        <v>2022</v>
      </c>
      <c r="N114" t="s">
        <v>45</v>
      </c>
    </row>
    <row r="115" spans="1:14" ht="14.55" customHeight="1" x14ac:dyDescent="0.3">
      <c r="A115" s="1">
        <v>44775</v>
      </c>
      <c r="B115" t="s">
        <v>15</v>
      </c>
      <c r="C115" t="s">
        <v>13</v>
      </c>
      <c r="D115" t="s">
        <v>40</v>
      </c>
      <c r="E115">
        <v>20</v>
      </c>
      <c r="F115">
        <v>5118.13</v>
      </c>
      <c r="G115" t="s">
        <v>12</v>
      </c>
      <c r="H115">
        <v>3</v>
      </c>
      <c r="I115">
        <v>497.02</v>
      </c>
      <c r="J115">
        <v>4621.1099999999997</v>
      </c>
      <c r="K115" t="str">
        <f t="shared" si="4"/>
        <v>August</v>
      </c>
      <c r="L115" t="str">
        <f t="shared" si="5"/>
        <v>Q3</v>
      </c>
      <c r="M115">
        <f t="shared" si="3"/>
        <v>2022</v>
      </c>
      <c r="N115" t="s">
        <v>44</v>
      </c>
    </row>
    <row r="116" spans="1:14" ht="14.55" customHeight="1" x14ac:dyDescent="0.3">
      <c r="A116" s="1">
        <v>45266</v>
      </c>
      <c r="B116" t="s">
        <v>18</v>
      </c>
      <c r="C116" t="s">
        <v>16</v>
      </c>
      <c r="D116" t="s">
        <v>27</v>
      </c>
      <c r="E116">
        <v>5</v>
      </c>
      <c r="F116">
        <v>222.51</v>
      </c>
      <c r="G116" t="s">
        <v>12</v>
      </c>
      <c r="H116">
        <v>5</v>
      </c>
      <c r="I116">
        <v>881.61</v>
      </c>
      <c r="J116">
        <v>-659.1</v>
      </c>
      <c r="K116" t="str">
        <f t="shared" si="4"/>
        <v>December</v>
      </c>
      <c r="L116" t="str">
        <f t="shared" si="5"/>
        <v>Q4</v>
      </c>
      <c r="M116">
        <f t="shared" si="3"/>
        <v>2023</v>
      </c>
      <c r="N116" t="s">
        <v>47</v>
      </c>
    </row>
    <row r="117" spans="1:14" ht="14.55" customHeight="1" x14ac:dyDescent="0.3">
      <c r="A117" s="1">
        <v>45247</v>
      </c>
      <c r="B117" t="s">
        <v>18</v>
      </c>
      <c r="C117" t="s">
        <v>25</v>
      </c>
      <c r="D117" t="s">
        <v>38</v>
      </c>
      <c r="E117">
        <v>31</v>
      </c>
      <c r="F117">
        <v>5395.07</v>
      </c>
      <c r="G117" t="s">
        <v>20</v>
      </c>
      <c r="H117">
        <v>4</v>
      </c>
      <c r="I117">
        <v>6157.3</v>
      </c>
      <c r="J117">
        <v>-762.23</v>
      </c>
      <c r="K117" t="str">
        <f t="shared" si="4"/>
        <v>November</v>
      </c>
      <c r="L117" t="str">
        <f t="shared" si="5"/>
        <v>Q4</v>
      </c>
      <c r="M117">
        <f t="shared" si="3"/>
        <v>2023</v>
      </c>
      <c r="N117" t="s">
        <v>47</v>
      </c>
    </row>
    <row r="118" spans="1:14" ht="14.55" customHeight="1" x14ac:dyDescent="0.3">
      <c r="A118" s="1">
        <v>45088</v>
      </c>
      <c r="B118" t="s">
        <v>31</v>
      </c>
      <c r="C118" t="s">
        <v>13</v>
      </c>
      <c r="D118" t="s">
        <v>40</v>
      </c>
      <c r="E118">
        <v>3</v>
      </c>
      <c r="F118">
        <v>630.92999999999995</v>
      </c>
      <c r="G118" t="s">
        <v>12</v>
      </c>
      <c r="H118">
        <v>3</v>
      </c>
      <c r="I118">
        <v>364.29</v>
      </c>
      <c r="J118">
        <v>266.64</v>
      </c>
      <c r="K118" t="str">
        <f t="shared" si="4"/>
        <v>June</v>
      </c>
      <c r="L118" t="str">
        <f t="shared" si="5"/>
        <v>Q2</v>
      </c>
      <c r="M118">
        <f t="shared" si="3"/>
        <v>2023</v>
      </c>
      <c r="N118" t="s">
        <v>45</v>
      </c>
    </row>
    <row r="119" spans="1:14" ht="14.55" customHeight="1" x14ac:dyDescent="0.3">
      <c r="A119" s="1">
        <v>44808</v>
      </c>
      <c r="B119" t="s">
        <v>23</v>
      </c>
      <c r="C119" t="s">
        <v>10</v>
      </c>
      <c r="D119" t="s">
        <v>11</v>
      </c>
      <c r="E119">
        <v>12</v>
      </c>
      <c r="F119">
        <v>3457.27</v>
      </c>
      <c r="G119" t="s">
        <v>12</v>
      </c>
      <c r="H119">
        <v>2</v>
      </c>
      <c r="I119">
        <v>1078.1500000000001</v>
      </c>
      <c r="J119">
        <v>2379.12</v>
      </c>
      <c r="K119" t="str">
        <f t="shared" si="4"/>
        <v>September</v>
      </c>
      <c r="L119" t="str">
        <f t="shared" si="5"/>
        <v>Q3</v>
      </c>
      <c r="M119">
        <f t="shared" si="3"/>
        <v>2022</v>
      </c>
      <c r="N119" t="s">
        <v>44</v>
      </c>
    </row>
    <row r="120" spans="1:14" ht="14.55" customHeight="1" x14ac:dyDescent="0.3">
      <c r="A120" s="1">
        <v>44843</v>
      </c>
      <c r="B120" t="s">
        <v>23</v>
      </c>
      <c r="C120" t="s">
        <v>10</v>
      </c>
      <c r="D120" t="s">
        <v>11</v>
      </c>
      <c r="E120">
        <v>8</v>
      </c>
      <c r="F120">
        <v>2376.31</v>
      </c>
      <c r="G120" t="s">
        <v>20</v>
      </c>
      <c r="H120">
        <v>3</v>
      </c>
      <c r="I120">
        <v>141.16</v>
      </c>
      <c r="J120">
        <v>2235.15</v>
      </c>
      <c r="K120" t="str">
        <f t="shared" si="4"/>
        <v>October</v>
      </c>
      <c r="L120" t="str">
        <f t="shared" si="5"/>
        <v>Q4</v>
      </c>
      <c r="M120">
        <f t="shared" si="3"/>
        <v>2022</v>
      </c>
      <c r="N120" t="s">
        <v>45</v>
      </c>
    </row>
    <row r="121" spans="1:14" ht="14.55" customHeight="1" x14ac:dyDescent="0.3">
      <c r="A121" s="1">
        <v>44667</v>
      </c>
      <c r="B121" t="s">
        <v>15</v>
      </c>
      <c r="C121" t="s">
        <v>25</v>
      </c>
      <c r="D121" t="s">
        <v>30</v>
      </c>
      <c r="E121">
        <v>15</v>
      </c>
      <c r="F121">
        <v>5383.81</v>
      </c>
      <c r="G121" t="s">
        <v>12</v>
      </c>
      <c r="H121">
        <v>3</v>
      </c>
      <c r="I121">
        <v>2454.92</v>
      </c>
      <c r="J121">
        <v>2928.89</v>
      </c>
      <c r="K121" t="str">
        <f t="shared" si="4"/>
        <v>April</v>
      </c>
      <c r="L121" t="str">
        <f t="shared" si="5"/>
        <v>Q2</v>
      </c>
      <c r="M121">
        <f t="shared" si="3"/>
        <v>2022</v>
      </c>
      <c r="N121" t="s">
        <v>45</v>
      </c>
    </row>
    <row r="122" spans="1:14" ht="14.55" customHeight="1" x14ac:dyDescent="0.3">
      <c r="A122" s="1">
        <v>44801</v>
      </c>
      <c r="B122" t="s">
        <v>9</v>
      </c>
      <c r="C122" t="s">
        <v>13</v>
      </c>
      <c r="D122" t="s">
        <v>14</v>
      </c>
      <c r="E122">
        <v>19</v>
      </c>
      <c r="F122">
        <v>4893.25</v>
      </c>
      <c r="G122" t="s">
        <v>12</v>
      </c>
      <c r="H122">
        <v>4</v>
      </c>
      <c r="I122">
        <v>875.11</v>
      </c>
      <c r="J122">
        <v>4018.14</v>
      </c>
      <c r="K122" t="str">
        <f t="shared" si="4"/>
        <v>August</v>
      </c>
      <c r="L122" t="str">
        <f t="shared" si="5"/>
        <v>Q3</v>
      </c>
      <c r="M122">
        <f t="shared" si="3"/>
        <v>2022</v>
      </c>
      <c r="N122" t="s">
        <v>44</v>
      </c>
    </row>
    <row r="123" spans="1:14" ht="14.55" customHeight="1" x14ac:dyDescent="0.3">
      <c r="A123" s="1">
        <v>44886</v>
      </c>
      <c r="B123" t="s">
        <v>15</v>
      </c>
      <c r="C123" t="s">
        <v>25</v>
      </c>
      <c r="D123" t="s">
        <v>26</v>
      </c>
      <c r="E123">
        <v>1</v>
      </c>
      <c r="F123">
        <v>128.44</v>
      </c>
      <c r="G123" t="s">
        <v>12</v>
      </c>
      <c r="H123">
        <v>1</v>
      </c>
      <c r="I123">
        <v>8.82</v>
      </c>
      <c r="J123">
        <v>119.62</v>
      </c>
      <c r="K123" t="str">
        <f t="shared" si="4"/>
        <v>November</v>
      </c>
      <c r="L123" t="str">
        <f t="shared" si="5"/>
        <v>Q4</v>
      </c>
      <c r="M123">
        <f t="shared" si="3"/>
        <v>2022</v>
      </c>
      <c r="N123" t="s">
        <v>45</v>
      </c>
    </row>
    <row r="124" spans="1:14" ht="14.55" customHeight="1" x14ac:dyDescent="0.3">
      <c r="A124" s="1">
        <v>44918</v>
      </c>
      <c r="B124" t="s">
        <v>31</v>
      </c>
      <c r="C124" t="s">
        <v>10</v>
      </c>
      <c r="D124" t="s">
        <v>28</v>
      </c>
      <c r="E124">
        <v>19</v>
      </c>
      <c r="F124">
        <v>4564.18</v>
      </c>
      <c r="G124" t="s">
        <v>20</v>
      </c>
      <c r="H124">
        <v>3</v>
      </c>
      <c r="I124">
        <v>1508.36</v>
      </c>
      <c r="J124">
        <v>3055.82</v>
      </c>
      <c r="K124" t="str">
        <f t="shared" si="4"/>
        <v>December</v>
      </c>
      <c r="L124" t="str">
        <f t="shared" si="5"/>
        <v>Q4</v>
      </c>
      <c r="M124">
        <f t="shared" si="3"/>
        <v>2022</v>
      </c>
      <c r="N124" t="s">
        <v>45</v>
      </c>
    </row>
    <row r="125" spans="1:14" ht="14.55" customHeight="1" x14ac:dyDescent="0.3">
      <c r="A125" s="1">
        <v>44800</v>
      </c>
      <c r="B125" t="s">
        <v>18</v>
      </c>
      <c r="C125" t="s">
        <v>25</v>
      </c>
      <c r="D125" t="s">
        <v>30</v>
      </c>
      <c r="E125">
        <v>32</v>
      </c>
      <c r="F125">
        <v>13086.66</v>
      </c>
      <c r="G125" t="s">
        <v>20</v>
      </c>
      <c r="H125">
        <v>2</v>
      </c>
      <c r="I125">
        <v>7509.32</v>
      </c>
      <c r="J125">
        <v>5577.34</v>
      </c>
      <c r="K125" t="str">
        <f t="shared" si="4"/>
        <v>August</v>
      </c>
      <c r="L125" t="str">
        <f t="shared" si="5"/>
        <v>Q3</v>
      </c>
      <c r="M125">
        <f t="shared" si="3"/>
        <v>2022</v>
      </c>
      <c r="N125" t="s">
        <v>45</v>
      </c>
    </row>
    <row r="126" spans="1:14" ht="14.55" customHeight="1" x14ac:dyDescent="0.3">
      <c r="A126" s="1">
        <v>45119</v>
      </c>
      <c r="B126" t="s">
        <v>15</v>
      </c>
      <c r="C126" t="s">
        <v>25</v>
      </c>
      <c r="D126" t="s">
        <v>38</v>
      </c>
      <c r="E126">
        <v>32</v>
      </c>
      <c r="F126">
        <v>12014.19</v>
      </c>
      <c r="G126" t="s">
        <v>12</v>
      </c>
      <c r="H126">
        <v>3</v>
      </c>
      <c r="I126">
        <v>3569.5</v>
      </c>
      <c r="J126">
        <v>8444.69</v>
      </c>
      <c r="K126" t="str">
        <f t="shared" si="4"/>
        <v>July</v>
      </c>
      <c r="L126" t="str">
        <f t="shared" si="5"/>
        <v>Q3</v>
      </c>
      <c r="M126">
        <f t="shared" si="3"/>
        <v>2023</v>
      </c>
      <c r="N126" t="s">
        <v>44</v>
      </c>
    </row>
    <row r="127" spans="1:14" ht="14.55" customHeight="1" x14ac:dyDescent="0.3">
      <c r="A127" s="1">
        <v>44781</v>
      </c>
      <c r="B127" t="s">
        <v>23</v>
      </c>
      <c r="C127" t="s">
        <v>25</v>
      </c>
      <c r="D127" t="s">
        <v>26</v>
      </c>
      <c r="E127">
        <v>50</v>
      </c>
      <c r="F127">
        <v>22622.79</v>
      </c>
      <c r="G127" t="s">
        <v>12</v>
      </c>
      <c r="H127">
        <v>4</v>
      </c>
      <c r="I127">
        <v>1973.2</v>
      </c>
      <c r="J127">
        <v>20649.59</v>
      </c>
      <c r="K127" t="str">
        <f t="shared" si="4"/>
        <v>August</v>
      </c>
      <c r="L127" t="str">
        <f t="shared" si="5"/>
        <v>Q3</v>
      </c>
      <c r="M127">
        <f t="shared" si="3"/>
        <v>2022</v>
      </c>
      <c r="N127" t="s">
        <v>44</v>
      </c>
    </row>
    <row r="128" spans="1:14" ht="14.55" customHeight="1" x14ac:dyDescent="0.3">
      <c r="A128" s="1">
        <v>44706</v>
      </c>
      <c r="B128" t="s">
        <v>23</v>
      </c>
      <c r="C128" t="s">
        <v>25</v>
      </c>
      <c r="D128" t="s">
        <v>30</v>
      </c>
      <c r="E128">
        <v>2</v>
      </c>
      <c r="F128">
        <v>103.48</v>
      </c>
      <c r="G128" t="s">
        <v>20</v>
      </c>
      <c r="H128">
        <v>5</v>
      </c>
      <c r="I128">
        <v>434.7</v>
      </c>
      <c r="J128">
        <v>-331.22</v>
      </c>
      <c r="K128" t="str">
        <f t="shared" si="4"/>
        <v>May</v>
      </c>
      <c r="L128" t="str">
        <f t="shared" si="5"/>
        <v>Q2</v>
      </c>
      <c r="M128">
        <f t="shared" si="3"/>
        <v>2022</v>
      </c>
      <c r="N128" t="s">
        <v>43</v>
      </c>
    </row>
    <row r="129" spans="1:14" ht="14.55" customHeight="1" x14ac:dyDescent="0.3">
      <c r="A129" s="1">
        <v>44665</v>
      </c>
      <c r="B129" t="s">
        <v>15</v>
      </c>
      <c r="C129" t="s">
        <v>16</v>
      </c>
      <c r="D129" t="s">
        <v>17</v>
      </c>
      <c r="E129">
        <v>39</v>
      </c>
      <c r="F129">
        <v>4950.1899999999996</v>
      </c>
      <c r="G129" t="s">
        <v>12</v>
      </c>
      <c r="H129">
        <v>3</v>
      </c>
      <c r="I129">
        <v>3048.14</v>
      </c>
      <c r="J129">
        <v>1902.05</v>
      </c>
      <c r="K129" t="str">
        <f t="shared" si="4"/>
        <v>April</v>
      </c>
      <c r="L129" t="str">
        <f t="shared" si="5"/>
        <v>Q2</v>
      </c>
      <c r="M129">
        <f t="shared" si="3"/>
        <v>2022</v>
      </c>
      <c r="N129" t="s">
        <v>44</v>
      </c>
    </row>
    <row r="130" spans="1:14" ht="14.55" customHeight="1" x14ac:dyDescent="0.3">
      <c r="A130" s="1">
        <v>45144</v>
      </c>
      <c r="B130" t="s">
        <v>18</v>
      </c>
      <c r="C130" t="s">
        <v>21</v>
      </c>
      <c r="D130" t="s">
        <v>36</v>
      </c>
      <c r="E130">
        <v>31</v>
      </c>
      <c r="F130">
        <v>4975.3100000000004</v>
      </c>
      <c r="G130" t="s">
        <v>20</v>
      </c>
      <c r="H130">
        <v>2</v>
      </c>
      <c r="I130">
        <v>214.27</v>
      </c>
      <c r="J130">
        <v>4761.04</v>
      </c>
      <c r="K130" t="str">
        <f t="shared" si="4"/>
        <v>August</v>
      </c>
      <c r="L130" t="str">
        <f t="shared" si="5"/>
        <v>Q3</v>
      </c>
      <c r="M130">
        <f t="shared" ref="M130:M193" si="6">YEAR(A130)</f>
        <v>2023</v>
      </c>
      <c r="N130" t="s">
        <v>44</v>
      </c>
    </row>
    <row r="131" spans="1:14" ht="14.55" customHeight="1" x14ac:dyDescent="0.3">
      <c r="A131" s="1">
        <v>44950</v>
      </c>
      <c r="B131" t="s">
        <v>23</v>
      </c>
      <c r="C131" t="s">
        <v>10</v>
      </c>
      <c r="D131" t="s">
        <v>11</v>
      </c>
      <c r="E131">
        <v>15</v>
      </c>
      <c r="F131">
        <v>3442.4</v>
      </c>
      <c r="G131" t="s">
        <v>20</v>
      </c>
      <c r="H131">
        <v>3</v>
      </c>
      <c r="I131">
        <v>3499.22</v>
      </c>
      <c r="J131">
        <v>-56.82</v>
      </c>
      <c r="K131" t="str">
        <f t="shared" ref="K131:K194" si="7">TEXT(A131,"mmmm")</f>
        <v>January</v>
      </c>
      <c r="L131" t="str">
        <f t="shared" ref="L131:L194" si="8">"Q"&amp;INT((MONTH(A131)-1)/3)+1</f>
        <v>Q1</v>
      </c>
      <c r="M131">
        <f t="shared" si="6"/>
        <v>2023</v>
      </c>
      <c r="N131" t="s">
        <v>45</v>
      </c>
    </row>
    <row r="132" spans="1:14" ht="14.55" customHeight="1" x14ac:dyDescent="0.3">
      <c r="A132" s="1">
        <v>45260</v>
      </c>
      <c r="B132" t="s">
        <v>23</v>
      </c>
      <c r="C132" t="s">
        <v>25</v>
      </c>
      <c r="D132" t="s">
        <v>39</v>
      </c>
      <c r="E132">
        <v>44</v>
      </c>
      <c r="F132">
        <v>7290.26</v>
      </c>
      <c r="G132" t="s">
        <v>20</v>
      </c>
      <c r="H132">
        <v>1</v>
      </c>
      <c r="I132">
        <v>6233.44</v>
      </c>
      <c r="J132">
        <v>1056.82</v>
      </c>
      <c r="K132" t="str">
        <f t="shared" si="7"/>
        <v>November</v>
      </c>
      <c r="L132" t="str">
        <f t="shared" si="8"/>
        <v>Q4</v>
      </c>
      <c r="M132">
        <f t="shared" si="6"/>
        <v>2023</v>
      </c>
      <c r="N132" t="s">
        <v>44</v>
      </c>
    </row>
    <row r="133" spans="1:14" ht="14.55" customHeight="1" x14ac:dyDescent="0.3">
      <c r="A133" s="1">
        <v>44727</v>
      </c>
      <c r="B133" t="s">
        <v>23</v>
      </c>
      <c r="C133" t="s">
        <v>16</v>
      </c>
      <c r="D133" t="s">
        <v>17</v>
      </c>
      <c r="E133">
        <v>8</v>
      </c>
      <c r="F133">
        <v>3906.7</v>
      </c>
      <c r="G133" t="s">
        <v>12</v>
      </c>
      <c r="H133">
        <v>2</v>
      </c>
      <c r="I133">
        <v>550.47</v>
      </c>
      <c r="J133">
        <v>3356.23</v>
      </c>
      <c r="K133" t="str">
        <f t="shared" si="7"/>
        <v>June</v>
      </c>
      <c r="L133" t="str">
        <f t="shared" si="8"/>
        <v>Q2</v>
      </c>
      <c r="M133">
        <f t="shared" si="6"/>
        <v>2022</v>
      </c>
      <c r="N133" t="s">
        <v>45</v>
      </c>
    </row>
    <row r="134" spans="1:14" ht="14.55" customHeight="1" x14ac:dyDescent="0.3">
      <c r="A134" s="1">
        <v>44982</v>
      </c>
      <c r="B134" t="s">
        <v>15</v>
      </c>
      <c r="C134" t="s">
        <v>10</v>
      </c>
      <c r="D134" t="s">
        <v>11</v>
      </c>
      <c r="E134">
        <v>38</v>
      </c>
      <c r="F134">
        <v>12938.7</v>
      </c>
      <c r="G134" t="s">
        <v>12</v>
      </c>
      <c r="H134">
        <v>5</v>
      </c>
      <c r="I134">
        <v>9159.6200000000008</v>
      </c>
      <c r="J134">
        <v>3779.08</v>
      </c>
      <c r="K134" t="str">
        <f t="shared" si="7"/>
        <v>February</v>
      </c>
      <c r="L134" t="str">
        <f t="shared" si="8"/>
        <v>Q1</v>
      </c>
      <c r="M134">
        <f t="shared" si="6"/>
        <v>2023</v>
      </c>
      <c r="N134" t="s">
        <v>43</v>
      </c>
    </row>
    <row r="135" spans="1:14" ht="14.55" customHeight="1" x14ac:dyDescent="0.3">
      <c r="A135" s="1">
        <v>44759</v>
      </c>
      <c r="B135" t="s">
        <v>18</v>
      </c>
      <c r="C135" t="s">
        <v>16</v>
      </c>
      <c r="D135" t="s">
        <v>24</v>
      </c>
      <c r="E135">
        <v>15</v>
      </c>
      <c r="F135">
        <v>2644.13</v>
      </c>
      <c r="G135" t="s">
        <v>20</v>
      </c>
      <c r="H135">
        <v>5</v>
      </c>
      <c r="I135">
        <v>1288.96</v>
      </c>
      <c r="J135">
        <v>1355.17</v>
      </c>
      <c r="K135" t="str">
        <f t="shared" si="7"/>
        <v>July</v>
      </c>
      <c r="L135" t="str">
        <f t="shared" si="8"/>
        <v>Q3</v>
      </c>
      <c r="M135">
        <f t="shared" si="6"/>
        <v>2022</v>
      </c>
      <c r="N135" t="s">
        <v>44</v>
      </c>
    </row>
    <row r="136" spans="1:14" ht="14.55" customHeight="1" x14ac:dyDescent="0.3">
      <c r="A136" s="1">
        <v>44776</v>
      </c>
      <c r="B136" t="s">
        <v>18</v>
      </c>
      <c r="C136" t="s">
        <v>13</v>
      </c>
      <c r="D136" t="s">
        <v>19</v>
      </c>
      <c r="E136">
        <v>5</v>
      </c>
      <c r="F136">
        <v>1947.37</v>
      </c>
      <c r="G136" t="s">
        <v>20</v>
      </c>
      <c r="H136">
        <v>5</v>
      </c>
      <c r="I136">
        <v>44.47</v>
      </c>
      <c r="J136">
        <v>1902.9</v>
      </c>
      <c r="K136" t="str">
        <f t="shared" si="7"/>
        <v>August</v>
      </c>
      <c r="L136" t="str">
        <f t="shared" si="8"/>
        <v>Q3</v>
      </c>
      <c r="M136">
        <f t="shared" si="6"/>
        <v>2022</v>
      </c>
      <c r="N136" t="s">
        <v>44</v>
      </c>
    </row>
    <row r="137" spans="1:14" ht="14.55" customHeight="1" x14ac:dyDescent="0.3">
      <c r="A137" s="1">
        <v>45000</v>
      </c>
      <c r="B137" t="s">
        <v>23</v>
      </c>
      <c r="C137" t="s">
        <v>21</v>
      </c>
      <c r="D137" t="s">
        <v>36</v>
      </c>
      <c r="E137">
        <v>17</v>
      </c>
      <c r="F137">
        <v>3153.33</v>
      </c>
      <c r="G137" t="s">
        <v>12</v>
      </c>
      <c r="H137">
        <v>1</v>
      </c>
      <c r="I137">
        <v>859.15</v>
      </c>
      <c r="J137">
        <v>2294.1799999999998</v>
      </c>
      <c r="K137" t="str">
        <f t="shared" si="7"/>
        <v>March</v>
      </c>
      <c r="L137" t="str">
        <f t="shared" si="8"/>
        <v>Q1</v>
      </c>
      <c r="M137">
        <f t="shared" si="6"/>
        <v>2023</v>
      </c>
      <c r="N137" t="s">
        <v>45</v>
      </c>
    </row>
    <row r="138" spans="1:14" ht="14.55" customHeight="1" x14ac:dyDescent="0.3">
      <c r="A138" s="1">
        <v>44712</v>
      </c>
      <c r="B138" t="s">
        <v>23</v>
      </c>
      <c r="C138" t="s">
        <v>13</v>
      </c>
      <c r="D138" t="s">
        <v>19</v>
      </c>
      <c r="E138">
        <v>12</v>
      </c>
      <c r="F138">
        <v>5539.81</v>
      </c>
      <c r="G138" t="s">
        <v>12</v>
      </c>
      <c r="H138">
        <v>1</v>
      </c>
      <c r="I138">
        <v>2253.59</v>
      </c>
      <c r="J138">
        <v>3286.22</v>
      </c>
      <c r="K138" t="str">
        <f t="shared" si="7"/>
        <v>May</v>
      </c>
      <c r="L138" t="str">
        <f t="shared" si="8"/>
        <v>Q2</v>
      </c>
      <c r="M138">
        <f t="shared" si="6"/>
        <v>2022</v>
      </c>
      <c r="N138" t="s">
        <v>45</v>
      </c>
    </row>
    <row r="139" spans="1:14" ht="14.55" customHeight="1" x14ac:dyDescent="0.3">
      <c r="A139" s="1">
        <v>45029</v>
      </c>
      <c r="B139" t="s">
        <v>15</v>
      </c>
      <c r="C139" t="s">
        <v>10</v>
      </c>
      <c r="D139" t="s">
        <v>28</v>
      </c>
      <c r="E139">
        <v>37</v>
      </c>
      <c r="F139">
        <v>834.5</v>
      </c>
      <c r="G139" t="s">
        <v>12</v>
      </c>
      <c r="H139">
        <v>4</v>
      </c>
      <c r="I139">
        <v>3459.38</v>
      </c>
      <c r="J139">
        <v>-2624.88</v>
      </c>
      <c r="K139" t="str">
        <f t="shared" si="7"/>
        <v>April</v>
      </c>
      <c r="L139" t="str">
        <f t="shared" si="8"/>
        <v>Q2</v>
      </c>
      <c r="M139">
        <f t="shared" si="6"/>
        <v>2023</v>
      </c>
      <c r="N139" t="s">
        <v>45</v>
      </c>
    </row>
    <row r="140" spans="1:14" ht="14.55" customHeight="1" x14ac:dyDescent="0.3">
      <c r="A140" s="1">
        <v>44974</v>
      </c>
      <c r="B140" t="s">
        <v>23</v>
      </c>
      <c r="C140" t="s">
        <v>25</v>
      </c>
      <c r="D140" t="s">
        <v>30</v>
      </c>
      <c r="E140">
        <v>13</v>
      </c>
      <c r="F140">
        <v>986.36</v>
      </c>
      <c r="G140" t="s">
        <v>12</v>
      </c>
      <c r="H140">
        <v>2</v>
      </c>
      <c r="I140">
        <v>2595.37</v>
      </c>
      <c r="J140">
        <v>-1609.01</v>
      </c>
      <c r="K140" t="str">
        <f t="shared" si="7"/>
        <v>February</v>
      </c>
      <c r="L140" t="str">
        <f t="shared" si="8"/>
        <v>Q1</v>
      </c>
      <c r="M140">
        <f t="shared" si="6"/>
        <v>2023</v>
      </c>
      <c r="N140" t="s">
        <v>44</v>
      </c>
    </row>
    <row r="141" spans="1:14" ht="14.55" customHeight="1" x14ac:dyDescent="0.3">
      <c r="A141" s="1">
        <v>44761</v>
      </c>
      <c r="B141" t="s">
        <v>15</v>
      </c>
      <c r="C141" t="s">
        <v>13</v>
      </c>
      <c r="D141" t="s">
        <v>29</v>
      </c>
      <c r="E141">
        <v>8</v>
      </c>
      <c r="F141">
        <v>390.21</v>
      </c>
      <c r="G141" t="s">
        <v>20</v>
      </c>
      <c r="H141">
        <v>2</v>
      </c>
      <c r="I141">
        <v>580.39</v>
      </c>
      <c r="J141">
        <v>-190.18</v>
      </c>
      <c r="K141" t="str">
        <f t="shared" si="7"/>
        <v>July</v>
      </c>
      <c r="L141" t="str">
        <f t="shared" si="8"/>
        <v>Q3</v>
      </c>
      <c r="M141">
        <f t="shared" si="6"/>
        <v>2022</v>
      </c>
      <c r="N141" t="s">
        <v>45</v>
      </c>
    </row>
    <row r="142" spans="1:14" ht="14.55" customHeight="1" x14ac:dyDescent="0.3">
      <c r="A142" s="1">
        <v>45232</v>
      </c>
      <c r="B142" t="s">
        <v>31</v>
      </c>
      <c r="C142" t="s">
        <v>13</v>
      </c>
      <c r="D142" t="s">
        <v>14</v>
      </c>
      <c r="E142">
        <v>44</v>
      </c>
      <c r="F142">
        <v>20220.849999999999</v>
      </c>
      <c r="G142" t="s">
        <v>20</v>
      </c>
      <c r="H142">
        <v>2</v>
      </c>
      <c r="I142">
        <v>9939.94</v>
      </c>
      <c r="J142">
        <v>10280.91</v>
      </c>
      <c r="K142" t="str">
        <f t="shared" si="7"/>
        <v>November</v>
      </c>
      <c r="L142" t="str">
        <f t="shared" si="8"/>
        <v>Q4</v>
      </c>
      <c r="M142">
        <f t="shared" si="6"/>
        <v>2023</v>
      </c>
      <c r="N142" t="s">
        <v>44</v>
      </c>
    </row>
    <row r="143" spans="1:14" ht="14.55" customHeight="1" x14ac:dyDescent="0.3">
      <c r="A143" s="1">
        <v>45182</v>
      </c>
      <c r="B143" t="s">
        <v>31</v>
      </c>
      <c r="C143" t="s">
        <v>13</v>
      </c>
      <c r="D143" t="s">
        <v>14</v>
      </c>
      <c r="E143">
        <v>40</v>
      </c>
      <c r="F143">
        <v>1592.7</v>
      </c>
      <c r="G143" t="s">
        <v>20</v>
      </c>
      <c r="H143">
        <v>2</v>
      </c>
      <c r="I143">
        <v>2612.94</v>
      </c>
      <c r="J143">
        <v>-1020.24</v>
      </c>
      <c r="K143" t="str">
        <f t="shared" si="7"/>
        <v>September</v>
      </c>
      <c r="L143" t="str">
        <f t="shared" si="8"/>
        <v>Q3</v>
      </c>
      <c r="M143">
        <f t="shared" si="6"/>
        <v>2023</v>
      </c>
      <c r="N143" t="s">
        <v>44</v>
      </c>
    </row>
    <row r="144" spans="1:14" ht="14.55" customHeight="1" x14ac:dyDescent="0.3">
      <c r="A144" s="1">
        <v>44644</v>
      </c>
      <c r="B144" t="s">
        <v>31</v>
      </c>
      <c r="C144" t="s">
        <v>10</v>
      </c>
      <c r="D144" t="s">
        <v>34</v>
      </c>
      <c r="E144">
        <v>4</v>
      </c>
      <c r="F144">
        <v>1414.97</v>
      </c>
      <c r="G144" t="s">
        <v>20</v>
      </c>
      <c r="H144">
        <v>2</v>
      </c>
      <c r="I144">
        <v>962.52</v>
      </c>
      <c r="J144">
        <v>452.45</v>
      </c>
      <c r="K144" t="str">
        <f t="shared" si="7"/>
        <v>March</v>
      </c>
      <c r="L144" t="str">
        <f t="shared" si="8"/>
        <v>Q1</v>
      </c>
      <c r="M144">
        <f t="shared" si="6"/>
        <v>2022</v>
      </c>
      <c r="N144" t="s">
        <v>45</v>
      </c>
    </row>
    <row r="145" spans="1:14" ht="14.55" customHeight="1" x14ac:dyDescent="0.3">
      <c r="A145" s="1">
        <v>44988</v>
      </c>
      <c r="B145" t="s">
        <v>9</v>
      </c>
      <c r="C145" t="s">
        <v>13</v>
      </c>
      <c r="D145" t="s">
        <v>29</v>
      </c>
      <c r="E145">
        <v>5</v>
      </c>
      <c r="F145">
        <v>1348.9</v>
      </c>
      <c r="G145" t="s">
        <v>12</v>
      </c>
      <c r="H145">
        <v>4</v>
      </c>
      <c r="I145">
        <v>1101.76</v>
      </c>
      <c r="J145">
        <v>247.14</v>
      </c>
      <c r="K145" t="str">
        <f t="shared" si="7"/>
        <v>March</v>
      </c>
      <c r="L145" t="str">
        <f t="shared" si="8"/>
        <v>Q1</v>
      </c>
      <c r="M145">
        <f t="shared" si="6"/>
        <v>2023</v>
      </c>
      <c r="N145" t="s">
        <v>45</v>
      </c>
    </row>
    <row r="146" spans="1:14" ht="14.55" customHeight="1" x14ac:dyDescent="0.3">
      <c r="A146" s="1">
        <v>45226</v>
      </c>
      <c r="B146" t="s">
        <v>23</v>
      </c>
      <c r="C146" t="s">
        <v>10</v>
      </c>
      <c r="D146" t="s">
        <v>28</v>
      </c>
      <c r="E146">
        <v>12</v>
      </c>
      <c r="F146">
        <v>5094.12</v>
      </c>
      <c r="G146" t="s">
        <v>20</v>
      </c>
      <c r="H146">
        <v>5</v>
      </c>
      <c r="I146">
        <v>277.26</v>
      </c>
      <c r="J146">
        <v>4816.8599999999997</v>
      </c>
      <c r="K146" t="str">
        <f t="shared" si="7"/>
        <v>October</v>
      </c>
      <c r="L146" t="str">
        <f t="shared" si="8"/>
        <v>Q4</v>
      </c>
      <c r="M146">
        <f t="shared" si="6"/>
        <v>2023</v>
      </c>
      <c r="N146" t="s">
        <v>46</v>
      </c>
    </row>
    <row r="147" spans="1:14" ht="14.55" customHeight="1" x14ac:dyDescent="0.3">
      <c r="A147" s="1">
        <v>44995</v>
      </c>
      <c r="B147" t="s">
        <v>23</v>
      </c>
      <c r="C147" t="s">
        <v>16</v>
      </c>
      <c r="D147" t="s">
        <v>24</v>
      </c>
      <c r="E147">
        <v>45</v>
      </c>
      <c r="F147">
        <v>8712.65</v>
      </c>
      <c r="G147" t="s">
        <v>12</v>
      </c>
      <c r="H147">
        <v>5</v>
      </c>
      <c r="I147">
        <v>9405.6200000000008</v>
      </c>
      <c r="J147">
        <v>-692.97</v>
      </c>
      <c r="K147" t="str">
        <f t="shared" si="7"/>
        <v>March</v>
      </c>
      <c r="L147" t="str">
        <f t="shared" si="8"/>
        <v>Q1</v>
      </c>
      <c r="M147">
        <f t="shared" si="6"/>
        <v>2023</v>
      </c>
      <c r="N147" t="s">
        <v>45</v>
      </c>
    </row>
    <row r="148" spans="1:14" ht="14.55" customHeight="1" x14ac:dyDescent="0.3">
      <c r="A148" s="1">
        <v>45230</v>
      </c>
      <c r="B148" t="s">
        <v>9</v>
      </c>
      <c r="C148" t="s">
        <v>13</v>
      </c>
      <c r="D148" t="s">
        <v>29</v>
      </c>
      <c r="E148">
        <v>6</v>
      </c>
      <c r="F148">
        <v>2378.25</v>
      </c>
      <c r="G148" t="s">
        <v>20</v>
      </c>
      <c r="H148">
        <v>4</v>
      </c>
      <c r="I148">
        <v>1362.33</v>
      </c>
      <c r="J148">
        <v>1015.92</v>
      </c>
      <c r="K148" t="str">
        <f t="shared" si="7"/>
        <v>October</v>
      </c>
      <c r="L148" t="str">
        <f t="shared" si="8"/>
        <v>Q4</v>
      </c>
      <c r="M148">
        <f t="shared" si="6"/>
        <v>2023</v>
      </c>
      <c r="N148" t="s">
        <v>47</v>
      </c>
    </row>
    <row r="149" spans="1:14" ht="14.55" customHeight="1" x14ac:dyDescent="0.3">
      <c r="A149" s="1">
        <v>44792</v>
      </c>
      <c r="B149" t="s">
        <v>31</v>
      </c>
      <c r="C149" t="s">
        <v>13</v>
      </c>
      <c r="D149" t="s">
        <v>29</v>
      </c>
      <c r="E149">
        <v>44</v>
      </c>
      <c r="F149">
        <v>14703.62</v>
      </c>
      <c r="G149" t="s">
        <v>12</v>
      </c>
      <c r="H149">
        <v>2</v>
      </c>
      <c r="I149">
        <v>7756.94</v>
      </c>
      <c r="J149">
        <v>6946.68</v>
      </c>
      <c r="K149" t="str">
        <f t="shared" si="7"/>
        <v>August</v>
      </c>
      <c r="L149" t="str">
        <f t="shared" si="8"/>
        <v>Q3</v>
      </c>
      <c r="M149">
        <f t="shared" si="6"/>
        <v>2022</v>
      </c>
      <c r="N149" t="s">
        <v>45</v>
      </c>
    </row>
    <row r="150" spans="1:14" ht="14.55" customHeight="1" x14ac:dyDescent="0.3">
      <c r="A150" s="1">
        <v>45143</v>
      </c>
      <c r="B150" t="s">
        <v>18</v>
      </c>
      <c r="C150" t="s">
        <v>10</v>
      </c>
      <c r="D150" t="s">
        <v>11</v>
      </c>
      <c r="E150">
        <v>48</v>
      </c>
      <c r="F150">
        <v>5125.6400000000003</v>
      </c>
      <c r="G150" t="s">
        <v>12</v>
      </c>
      <c r="H150">
        <v>1</v>
      </c>
      <c r="I150">
        <v>10260.82</v>
      </c>
      <c r="J150">
        <v>-5135.18</v>
      </c>
      <c r="K150" t="str">
        <f t="shared" si="7"/>
        <v>August</v>
      </c>
      <c r="L150" t="str">
        <f t="shared" si="8"/>
        <v>Q3</v>
      </c>
      <c r="M150">
        <f t="shared" si="6"/>
        <v>2023</v>
      </c>
      <c r="N150" t="s">
        <v>44</v>
      </c>
    </row>
    <row r="151" spans="1:14" ht="14.55" customHeight="1" x14ac:dyDescent="0.3">
      <c r="A151" s="1">
        <v>44600</v>
      </c>
      <c r="B151" t="s">
        <v>15</v>
      </c>
      <c r="C151" t="s">
        <v>10</v>
      </c>
      <c r="D151" t="s">
        <v>34</v>
      </c>
      <c r="E151">
        <v>40</v>
      </c>
      <c r="F151">
        <v>7729.4</v>
      </c>
      <c r="G151" t="s">
        <v>20</v>
      </c>
      <c r="H151">
        <v>4</v>
      </c>
      <c r="I151">
        <v>6743.06</v>
      </c>
      <c r="J151">
        <v>986.34</v>
      </c>
      <c r="K151" t="str">
        <f t="shared" si="7"/>
        <v>February</v>
      </c>
      <c r="L151" t="str">
        <f t="shared" si="8"/>
        <v>Q1</v>
      </c>
      <c r="M151">
        <f t="shared" si="6"/>
        <v>2022</v>
      </c>
      <c r="N151" t="s">
        <v>47</v>
      </c>
    </row>
    <row r="152" spans="1:14" ht="14.55" customHeight="1" x14ac:dyDescent="0.3">
      <c r="A152" s="1">
        <v>44704</v>
      </c>
      <c r="B152" t="s">
        <v>15</v>
      </c>
      <c r="C152" t="s">
        <v>13</v>
      </c>
      <c r="D152" t="s">
        <v>40</v>
      </c>
      <c r="E152">
        <v>28</v>
      </c>
      <c r="F152">
        <v>1706.27</v>
      </c>
      <c r="G152" t="s">
        <v>20</v>
      </c>
      <c r="H152">
        <v>5</v>
      </c>
      <c r="I152">
        <v>1058.06</v>
      </c>
      <c r="J152">
        <v>648.21</v>
      </c>
      <c r="K152" t="str">
        <f t="shared" si="7"/>
        <v>May</v>
      </c>
      <c r="L152" t="str">
        <f t="shared" si="8"/>
        <v>Q2</v>
      </c>
      <c r="M152">
        <f t="shared" si="6"/>
        <v>2022</v>
      </c>
      <c r="N152" t="s">
        <v>44</v>
      </c>
    </row>
    <row r="153" spans="1:14" ht="14.55" customHeight="1" x14ac:dyDescent="0.3">
      <c r="A153" s="1">
        <v>44964</v>
      </c>
      <c r="B153" t="s">
        <v>9</v>
      </c>
      <c r="C153" t="s">
        <v>10</v>
      </c>
      <c r="D153" t="s">
        <v>11</v>
      </c>
      <c r="E153">
        <v>42</v>
      </c>
      <c r="F153">
        <v>12100.39</v>
      </c>
      <c r="G153" t="s">
        <v>20</v>
      </c>
      <c r="H153">
        <v>1</v>
      </c>
      <c r="I153">
        <v>8635.59</v>
      </c>
      <c r="J153">
        <v>3464.8</v>
      </c>
      <c r="K153" t="str">
        <f t="shared" si="7"/>
        <v>February</v>
      </c>
      <c r="L153" t="str">
        <f t="shared" si="8"/>
        <v>Q1</v>
      </c>
      <c r="M153">
        <f t="shared" si="6"/>
        <v>2023</v>
      </c>
      <c r="N153" t="s">
        <v>45</v>
      </c>
    </row>
    <row r="154" spans="1:14" ht="14.55" customHeight="1" x14ac:dyDescent="0.3">
      <c r="A154" s="1">
        <v>44761</v>
      </c>
      <c r="B154" t="s">
        <v>9</v>
      </c>
      <c r="C154" t="s">
        <v>25</v>
      </c>
      <c r="D154" t="s">
        <v>38</v>
      </c>
      <c r="E154">
        <v>41</v>
      </c>
      <c r="F154">
        <v>20444.23</v>
      </c>
      <c r="G154" t="s">
        <v>20</v>
      </c>
      <c r="H154">
        <v>5</v>
      </c>
      <c r="I154">
        <v>2755.95</v>
      </c>
      <c r="J154">
        <v>17688.28</v>
      </c>
      <c r="K154" t="str">
        <f t="shared" si="7"/>
        <v>July</v>
      </c>
      <c r="L154" t="str">
        <f t="shared" si="8"/>
        <v>Q3</v>
      </c>
      <c r="M154">
        <f t="shared" si="6"/>
        <v>2022</v>
      </c>
      <c r="N154" t="s">
        <v>44</v>
      </c>
    </row>
    <row r="155" spans="1:14" ht="14.55" customHeight="1" x14ac:dyDescent="0.3">
      <c r="A155" s="1">
        <v>45197</v>
      </c>
      <c r="B155" t="s">
        <v>15</v>
      </c>
      <c r="C155" t="s">
        <v>21</v>
      </c>
      <c r="D155" t="s">
        <v>36</v>
      </c>
      <c r="E155">
        <v>25</v>
      </c>
      <c r="F155">
        <v>6936.27</v>
      </c>
      <c r="G155" t="s">
        <v>12</v>
      </c>
      <c r="H155">
        <v>1</v>
      </c>
      <c r="I155">
        <v>5527.45</v>
      </c>
      <c r="J155">
        <v>1408.82</v>
      </c>
      <c r="K155" t="str">
        <f t="shared" si="7"/>
        <v>September</v>
      </c>
      <c r="L155" t="str">
        <f t="shared" si="8"/>
        <v>Q3</v>
      </c>
      <c r="M155">
        <f t="shared" si="6"/>
        <v>2023</v>
      </c>
      <c r="N155" t="s">
        <v>44</v>
      </c>
    </row>
    <row r="156" spans="1:14" ht="14.55" customHeight="1" x14ac:dyDescent="0.3">
      <c r="A156" s="1">
        <v>45106</v>
      </c>
      <c r="B156" t="s">
        <v>9</v>
      </c>
      <c r="C156" t="s">
        <v>16</v>
      </c>
      <c r="D156" t="s">
        <v>17</v>
      </c>
      <c r="E156">
        <v>49</v>
      </c>
      <c r="F156">
        <v>7163.09</v>
      </c>
      <c r="G156" t="s">
        <v>20</v>
      </c>
      <c r="H156">
        <v>5</v>
      </c>
      <c r="I156">
        <v>7180.57</v>
      </c>
      <c r="J156">
        <v>-17.48</v>
      </c>
      <c r="K156" t="str">
        <f t="shared" si="7"/>
        <v>June</v>
      </c>
      <c r="L156" t="str">
        <f t="shared" si="8"/>
        <v>Q2</v>
      </c>
      <c r="M156">
        <f t="shared" si="6"/>
        <v>2023</v>
      </c>
      <c r="N156" t="s">
        <v>44</v>
      </c>
    </row>
    <row r="157" spans="1:14" ht="14.55" customHeight="1" x14ac:dyDescent="0.3">
      <c r="A157" s="1">
        <v>45157</v>
      </c>
      <c r="B157" t="s">
        <v>23</v>
      </c>
      <c r="C157" t="s">
        <v>16</v>
      </c>
      <c r="D157" t="s">
        <v>17</v>
      </c>
      <c r="E157">
        <v>29</v>
      </c>
      <c r="F157">
        <v>12517.51</v>
      </c>
      <c r="G157" t="s">
        <v>20</v>
      </c>
      <c r="H157">
        <v>1</v>
      </c>
      <c r="I157">
        <v>3278.84</v>
      </c>
      <c r="J157">
        <v>9238.67</v>
      </c>
      <c r="K157" t="str">
        <f t="shared" si="7"/>
        <v>August</v>
      </c>
      <c r="L157" t="str">
        <f t="shared" si="8"/>
        <v>Q3</v>
      </c>
      <c r="M157">
        <f t="shared" si="6"/>
        <v>2023</v>
      </c>
      <c r="N157" t="s">
        <v>45</v>
      </c>
    </row>
    <row r="158" spans="1:14" ht="14.55" customHeight="1" x14ac:dyDescent="0.3">
      <c r="A158" s="1">
        <v>44583</v>
      </c>
      <c r="B158" t="s">
        <v>23</v>
      </c>
      <c r="C158" t="s">
        <v>13</v>
      </c>
      <c r="D158" t="s">
        <v>19</v>
      </c>
      <c r="E158">
        <v>1</v>
      </c>
      <c r="F158">
        <v>210.4</v>
      </c>
      <c r="G158" t="s">
        <v>20</v>
      </c>
      <c r="H158">
        <v>2</v>
      </c>
      <c r="I158">
        <v>84.42</v>
      </c>
      <c r="J158">
        <v>125.98</v>
      </c>
      <c r="K158" t="str">
        <f t="shared" si="7"/>
        <v>January</v>
      </c>
      <c r="L158" t="str">
        <f t="shared" si="8"/>
        <v>Q1</v>
      </c>
      <c r="M158">
        <f t="shared" si="6"/>
        <v>2022</v>
      </c>
      <c r="N158" t="s">
        <v>47</v>
      </c>
    </row>
    <row r="159" spans="1:14" ht="14.55" customHeight="1" x14ac:dyDescent="0.3">
      <c r="A159" s="1">
        <v>45140</v>
      </c>
      <c r="B159" t="s">
        <v>15</v>
      </c>
      <c r="C159" t="s">
        <v>16</v>
      </c>
      <c r="D159" t="s">
        <v>37</v>
      </c>
      <c r="E159">
        <v>18</v>
      </c>
      <c r="F159">
        <v>8827.44</v>
      </c>
      <c r="G159" t="s">
        <v>20</v>
      </c>
      <c r="H159">
        <v>1</v>
      </c>
      <c r="I159">
        <v>4082.79</v>
      </c>
      <c r="J159">
        <v>4744.6499999999996</v>
      </c>
      <c r="K159" t="str">
        <f t="shared" si="7"/>
        <v>August</v>
      </c>
      <c r="L159" t="str">
        <f t="shared" si="8"/>
        <v>Q3</v>
      </c>
      <c r="M159">
        <f t="shared" si="6"/>
        <v>2023</v>
      </c>
      <c r="N159" t="s">
        <v>43</v>
      </c>
    </row>
    <row r="160" spans="1:14" ht="14.55" customHeight="1" x14ac:dyDescent="0.3">
      <c r="A160" s="1">
        <v>45012</v>
      </c>
      <c r="B160" t="s">
        <v>23</v>
      </c>
      <c r="C160" t="s">
        <v>25</v>
      </c>
      <c r="D160" t="s">
        <v>38</v>
      </c>
      <c r="E160">
        <v>9</v>
      </c>
      <c r="F160">
        <v>1034.9000000000001</v>
      </c>
      <c r="G160" t="s">
        <v>20</v>
      </c>
      <c r="H160">
        <v>4</v>
      </c>
      <c r="I160">
        <v>1601.21</v>
      </c>
      <c r="J160">
        <v>-566.30999999999995</v>
      </c>
      <c r="K160" t="str">
        <f t="shared" si="7"/>
        <v>March</v>
      </c>
      <c r="L160" t="str">
        <f t="shared" si="8"/>
        <v>Q1</v>
      </c>
      <c r="M160">
        <f t="shared" si="6"/>
        <v>2023</v>
      </c>
      <c r="N160" t="s">
        <v>44</v>
      </c>
    </row>
    <row r="161" spans="1:14" ht="14.55" customHeight="1" x14ac:dyDescent="0.3">
      <c r="A161" s="1">
        <v>44715</v>
      </c>
      <c r="B161" t="s">
        <v>15</v>
      </c>
      <c r="C161" t="s">
        <v>21</v>
      </c>
      <c r="D161" t="s">
        <v>33</v>
      </c>
      <c r="E161">
        <v>17</v>
      </c>
      <c r="F161">
        <v>1750.19</v>
      </c>
      <c r="G161" t="s">
        <v>12</v>
      </c>
      <c r="H161">
        <v>2</v>
      </c>
      <c r="I161">
        <v>3583.79</v>
      </c>
      <c r="J161">
        <v>-1833.6</v>
      </c>
      <c r="K161" t="str">
        <f t="shared" si="7"/>
        <v>June</v>
      </c>
      <c r="L161" t="str">
        <f t="shared" si="8"/>
        <v>Q2</v>
      </c>
      <c r="M161">
        <f t="shared" si="6"/>
        <v>2022</v>
      </c>
      <c r="N161" t="s">
        <v>47</v>
      </c>
    </row>
    <row r="162" spans="1:14" ht="14.55" customHeight="1" x14ac:dyDescent="0.3">
      <c r="A162" s="1">
        <v>45014</v>
      </c>
      <c r="B162" t="s">
        <v>23</v>
      </c>
      <c r="C162" t="s">
        <v>10</v>
      </c>
      <c r="D162" t="s">
        <v>34</v>
      </c>
      <c r="E162">
        <v>23</v>
      </c>
      <c r="F162">
        <v>628.30999999999995</v>
      </c>
      <c r="G162" t="s">
        <v>12</v>
      </c>
      <c r="H162">
        <v>3</v>
      </c>
      <c r="I162">
        <v>1503.9</v>
      </c>
      <c r="J162">
        <v>-875.59</v>
      </c>
      <c r="K162" t="str">
        <f t="shared" si="7"/>
        <v>March</v>
      </c>
      <c r="L162" t="str">
        <f t="shared" si="8"/>
        <v>Q1</v>
      </c>
      <c r="M162">
        <f t="shared" si="6"/>
        <v>2023</v>
      </c>
      <c r="N162" t="s">
        <v>45</v>
      </c>
    </row>
    <row r="163" spans="1:14" ht="14.55" customHeight="1" x14ac:dyDescent="0.3">
      <c r="A163" s="1">
        <v>45069</v>
      </c>
      <c r="B163" t="s">
        <v>31</v>
      </c>
      <c r="C163" t="s">
        <v>16</v>
      </c>
      <c r="D163" t="s">
        <v>37</v>
      </c>
      <c r="E163">
        <v>14</v>
      </c>
      <c r="F163">
        <v>2528.84</v>
      </c>
      <c r="G163" t="s">
        <v>12</v>
      </c>
      <c r="H163">
        <v>5</v>
      </c>
      <c r="I163">
        <v>1402.59</v>
      </c>
      <c r="J163">
        <v>1126.25</v>
      </c>
      <c r="K163" t="str">
        <f t="shared" si="7"/>
        <v>May</v>
      </c>
      <c r="L163" t="str">
        <f t="shared" si="8"/>
        <v>Q2</v>
      </c>
      <c r="M163">
        <f t="shared" si="6"/>
        <v>2023</v>
      </c>
      <c r="N163" t="s">
        <v>44</v>
      </c>
    </row>
    <row r="164" spans="1:14" ht="14.55" customHeight="1" x14ac:dyDescent="0.3">
      <c r="A164" s="1">
        <v>44687</v>
      </c>
      <c r="B164" t="s">
        <v>18</v>
      </c>
      <c r="C164" t="s">
        <v>21</v>
      </c>
      <c r="D164" t="s">
        <v>33</v>
      </c>
      <c r="E164">
        <v>27</v>
      </c>
      <c r="F164">
        <v>11992.06</v>
      </c>
      <c r="G164" t="s">
        <v>20</v>
      </c>
      <c r="H164">
        <v>2</v>
      </c>
      <c r="I164">
        <v>2460.9</v>
      </c>
      <c r="J164">
        <v>9531.16</v>
      </c>
      <c r="K164" t="str">
        <f t="shared" si="7"/>
        <v>May</v>
      </c>
      <c r="L164" t="str">
        <f t="shared" si="8"/>
        <v>Q2</v>
      </c>
      <c r="M164">
        <f t="shared" si="6"/>
        <v>2022</v>
      </c>
      <c r="N164" t="s">
        <v>47</v>
      </c>
    </row>
    <row r="165" spans="1:14" ht="14.55" customHeight="1" x14ac:dyDescent="0.3">
      <c r="A165" s="1">
        <v>44919</v>
      </c>
      <c r="B165" t="s">
        <v>23</v>
      </c>
      <c r="C165" t="s">
        <v>21</v>
      </c>
      <c r="D165" t="s">
        <v>36</v>
      </c>
      <c r="E165">
        <v>35</v>
      </c>
      <c r="F165">
        <v>1388.57</v>
      </c>
      <c r="G165" t="s">
        <v>20</v>
      </c>
      <c r="H165">
        <v>4</v>
      </c>
      <c r="I165">
        <v>3776.82</v>
      </c>
      <c r="J165">
        <v>-2388.25</v>
      </c>
      <c r="K165" t="str">
        <f t="shared" si="7"/>
        <v>December</v>
      </c>
      <c r="L165" t="str">
        <f t="shared" si="8"/>
        <v>Q4</v>
      </c>
      <c r="M165">
        <f t="shared" si="6"/>
        <v>2022</v>
      </c>
      <c r="N165" t="s">
        <v>44</v>
      </c>
    </row>
    <row r="166" spans="1:14" ht="14.55" customHeight="1" x14ac:dyDescent="0.3">
      <c r="A166" s="1">
        <v>45067</v>
      </c>
      <c r="B166" t="s">
        <v>9</v>
      </c>
      <c r="C166" t="s">
        <v>16</v>
      </c>
      <c r="D166" t="s">
        <v>24</v>
      </c>
      <c r="E166">
        <v>47</v>
      </c>
      <c r="F166">
        <v>11682.36</v>
      </c>
      <c r="G166" t="s">
        <v>20</v>
      </c>
      <c r="H166">
        <v>5</v>
      </c>
      <c r="I166">
        <v>8465.8799999999992</v>
      </c>
      <c r="J166">
        <v>3216.48</v>
      </c>
      <c r="K166" t="str">
        <f t="shared" si="7"/>
        <v>May</v>
      </c>
      <c r="L166" t="str">
        <f t="shared" si="8"/>
        <v>Q2</v>
      </c>
      <c r="M166">
        <f t="shared" si="6"/>
        <v>2023</v>
      </c>
      <c r="N166" t="s">
        <v>44</v>
      </c>
    </row>
    <row r="167" spans="1:14" ht="14.55" customHeight="1" x14ac:dyDescent="0.3">
      <c r="A167" s="1">
        <v>45121</v>
      </c>
      <c r="B167" t="s">
        <v>18</v>
      </c>
      <c r="C167" t="s">
        <v>13</v>
      </c>
      <c r="D167" t="s">
        <v>40</v>
      </c>
      <c r="E167">
        <v>6</v>
      </c>
      <c r="F167">
        <v>1599.61</v>
      </c>
      <c r="G167" t="s">
        <v>12</v>
      </c>
      <c r="H167">
        <v>2</v>
      </c>
      <c r="I167">
        <v>1282.94</v>
      </c>
      <c r="J167">
        <v>316.67</v>
      </c>
      <c r="K167" t="str">
        <f t="shared" si="7"/>
        <v>July</v>
      </c>
      <c r="L167" t="str">
        <f t="shared" si="8"/>
        <v>Q3</v>
      </c>
      <c r="M167">
        <f t="shared" si="6"/>
        <v>2023</v>
      </c>
      <c r="N167" t="s">
        <v>44</v>
      </c>
    </row>
    <row r="168" spans="1:14" ht="14.55" customHeight="1" x14ac:dyDescent="0.3">
      <c r="A168" s="1">
        <v>44740</v>
      </c>
      <c r="B168" t="s">
        <v>9</v>
      </c>
      <c r="C168" t="s">
        <v>25</v>
      </c>
      <c r="D168" t="s">
        <v>39</v>
      </c>
      <c r="E168">
        <v>49</v>
      </c>
      <c r="F168">
        <v>21137.9</v>
      </c>
      <c r="G168" t="s">
        <v>12</v>
      </c>
      <c r="H168">
        <v>1</v>
      </c>
      <c r="I168">
        <v>11796.37</v>
      </c>
      <c r="J168">
        <v>9341.5300000000007</v>
      </c>
      <c r="K168" t="str">
        <f t="shared" si="7"/>
        <v>June</v>
      </c>
      <c r="L168" t="str">
        <f t="shared" si="8"/>
        <v>Q2</v>
      </c>
      <c r="M168">
        <f t="shared" si="6"/>
        <v>2022</v>
      </c>
      <c r="N168" t="s">
        <v>47</v>
      </c>
    </row>
    <row r="169" spans="1:14" ht="14.55" customHeight="1" x14ac:dyDescent="0.3">
      <c r="A169" s="1">
        <v>45202</v>
      </c>
      <c r="B169" t="s">
        <v>15</v>
      </c>
      <c r="C169" t="s">
        <v>25</v>
      </c>
      <c r="D169" t="s">
        <v>38</v>
      </c>
      <c r="E169">
        <v>29</v>
      </c>
      <c r="F169">
        <v>5716.47</v>
      </c>
      <c r="G169" t="s">
        <v>12</v>
      </c>
      <c r="H169">
        <v>2</v>
      </c>
      <c r="I169">
        <v>1284.3900000000001</v>
      </c>
      <c r="J169">
        <v>4432.08</v>
      </c>
      <c r="K169" t="str">
        <f t="shared" si="7"/>
        <v>October</v>
      </c>
      <c r="L169" t="str">
        <f t="shared" si="8"/>
        <v>Q4</v>
      </c>
      <c r="M169">
        <f t="shared" si="6"/>
        <v>2023</v>
      </c>
      <c r="N169" t="s">
        <v>44</v>
      </c>
    </row>
    <row r="170" spans="1:14" ht="14.55" customHeight="1" x14ac:dyDescent="0.3">
      <c r="A170" s="1">
        <v>44806</v>
      </c>
      <c r="B170" t="s">
        <v>23</v>
      </c>
      <c r="C170" t="s">
        <v>13</v>
      </c>
      <c r="D170" t="s">
        <v>19</v>
      </c>
      <c r="E170">
        <v>41</v>
      </c>
      <c r="F170">
        <v>15766.06</v>
      </c>
      <c r="G170" t="s">
        <v>12</v>
      </c>
      <c r="H170">
        <v>3</v>
      </c>
      <c r="I170">
        <v>5469.54</v>
      </c>
      <c r="J170">
        <v>10296.52</v>
      </c>
      <c r="K170" t="str">
        <f t="shared" si="7"/>
        <v>September</v>
      </c>
      <c r="L170" t="str">
        <f t="shared" si="8"/>
        <v>Q3</v>
      </c>
      <c r="M170">
        <f t="shared" si="6"/>
        <v>2022</v>
      </c>
      <c r="N170" t="s">
        <v>47</v>
      </c>
    </row>
    <row r="171" spans="1:14" ht="14.55" customHeight="1" x14ac:dyDescent="0.3">
      <c r="A171" s="1">
        <v>45061</v>
      </c>
      <c r="B171" t="s">
        <v>18</v>
      </c>
      <c r="C171" t="s">
        <v>16</v>
      </c>
      <c r="D171" t="s">
        <v>24</v>
      </c>
      <c r="E171">
        <v>24</v>
      </c>
      <c r="F171">
        <v>6922.87</v>
      </c>
      <c r="G171" t="s">
        <v>20</v>
      </c>
      <c r="H171">
        <v>3</v>
      </c>
      <c r="I171">
        <v>5735.8</v>
      </c>
      <c r="J171">
        <v>1187.07</v>
      </c>
      <c r="K171" t="str">
        <f t="shared" si="7"/>
        <v>May</v>
      </c>
      <c r="L171" t="str">
        <f t="shared" si="8"/>
        <v>Q2</v>
      </c>
      <c r="M171">
        <f t="shared" si="6"/>
        <v>2023</v>
      </c>
      <c r="N171" t="s">
        <v>47</v>
      </c>
    </row>
    <row r="172" spans="1:14" ht="14.55" customHeight="1" x14ac:dyDescent="0.3">
      <c r="A172" s="1">
        <v>44968</v>
      </c>
      <c r="B172" t="s">
        <v>15</v>
      </c>
      <c r="C172" t="s">
        <v>10</v>
      </c>
      <c r="D172" t="s">
        <v>28</v>
      </c>
      <c r="E172">
        <v>21</v>
      </c>
      <c r="F172">
        <v>9381.77</v>
      </c>
      <c r="G172" t="s">
        <v>12</v>
      </c>
      <c r="H172">
        <v>1</v>
      </c>
      <c r="I172">
        <v>4391.62</v>
      </c>
      <c r="J172">
        <v>4990.1499999999996</v>
      </c>
      <c r="K172" t="str">
        <f t="shared" si="7"/>
        <v>February</v>
      </c>
      <c r="L172" t="str">
        <f t="shared" si="8"/>
        <v>Q1</v>
      </c>
      <c r="M172">
        <f t="shared" si="6"/>
        <v>2023</v>
      </c>
      <c r="N172" t="s">
        <v>45</v>
      </c>
    </row>
    <row r="173" spans="1:14" ht="14.55" customHeight="1" x14ac:dyDescent="0.3">
      <c r="A173" s="1">
        <v>44815</v>
      </c>
      <c r="B173" t="s">
        <v>31</v>
      </c>
      <c r="C173" t="s">
        <v>21</v>
      </c>
      <c r="D173" t="s">
        <v>36</v>
      </c>
      <c r="E173">
        <v>45</v>
      </c>
      <c r="F173">
        <v>14630.71</v>
      </c>
      <c r="G173" t="s">
        <v>20</v>
      </c>
      <c r="H173">
        <v>4</v>
      </c>
      <c r="I173">
        <v>6947.72</v>
      </c>
      <c r="J173">
        <v>7682.99</v>
      </c>
      <c r="K173" t="str">
        <f t="shared" si="7"/>
        <v>September</v>
      </c>
      <c r="L173" t="str">
        <f t="shared" si="8"/>
        <v>Q3</v>
      </c>
      <c r="M173">
        <f t="shared" si="6"/>
        <v>2022</v>
      </c>
      <c r="N173" t="s">
        <v>44</v>
      </c>
    </row>
    <row r="174" spans="1:14" ht="14.55" customHeight="1" x14ac:dyDescent="0.3">
      <c r="A174" s="1">
        <v>44857</v>
      </c>
      <c r="B174" t="s">
        <v>31</v>
      </c>
      <c r="C174" t="s">
        <v>13</v>
      </c>
      <c r="D174" t="s">
        <v>29</v>
      </c>
      <c r="E174">
        <v>21</v>
      </c>
      <c r="F174">
        <v>7663.47</v>
      </c>
      <c r="G174" t="s">
        <v>20</v>
      </c>
      <c r="H174">
        <v>2</v>
      </c>
      <c r="I174">
        <v>3975.78</v>
      </c>
      <c r="J174">
        <v>3687.69</v>
      </c>
      <c r="K174" t="str">
        <f t="shared" si="7"/>
        <v>October</v>
      </c>
      <c r="L174" t="str">
        <f t="shared" si="8"/>
        <v>Q4</v>
      </c>
      <c r="M174">
        <f t="shared" si="6"/>
        <v>2022</v>
      </c>
      <c r="N174" t="s">
        <v>47</v>
      </c>
    </row>
    <row r="175" spans="1:14" ht="14.55" customHeight="1" x14ac:dyDescent="0.3">
      <c r="A175" s="1">
        <v>44985</v>
      </c>
      <c r="B175" t="s">
        <v>9</v>
      </c>
      <c r="C175" t="s">
        <v>21</v>
      </c>
      <c r="D175" t="s">
        <v>36</v>
      </c>
      <c r="E175">
        <v>9</v>
      </c>
      <c r="F175">
        <v>4295.24</v>
      </c>
      <c r="G175" t="s">
        <v>12</v>
      </c>
      <c r="H175">
        <v>3</v>
      </c>
      <c r="I175">
        <v>53.63</v>
      </c>
      <c r="J175">
        <v>4241.6099999999997</v>
      </c>
      <c r="K175" t="str">
        <f t="shared" si="7"/>
        <v>February</v>
      </c>
      <c r="L175" t="str">
        <f t="shared" si="8"/>
        <v>Q1</v>
      </c>
      <c r="M175">
        <f t="shared" si="6"/>
        <v>2023</v>
      </c>
      <c r="N175" t="s">
        <v>43</v>
      </c>
    </row>
    <row r="176" spans="1:14" ht="14.55" customHeight="1" x14ac:dyDescent="0.3">
      <c r="A176" s="1">
        <v>45183</v>
      </c>
      <c r="B176" t="s">
        <v>23</v>
      </c>
      <c r="C176" t="s">
        <v>16</v>
      </c>
      <c r="D176" t="s">
        <v>17</v>
      </c>
      <c r="E176">
        <v>2</v>
      </c>
      <c r="F176">
        <v>601.9</v>
      </c>
      <c r="G176" t="s">
        <v>12</v>
      </c>
      <c r="H176">
        <v>5</v>
      </c>
      <c r="I176">
        <v>272.72000000000003</v>
      </c>
      <c r="J176">
        <v>329.18</v>
      </c>
      <c r="K176" t="str">
        <f t="shared" si="7"/>
        <v>September</v>
      </c>
      <c r="L176" t="str">
        <f t="shared" si="8"/>
        <v>Q3</v>
      </c>
      <c r="M176">
        <f t="shared" si="6"/>
        <v>2023</v>
      </c>
      <c r="N176" t="s">
        <v>47</v>
      </c>
    </row>
    <row r="177" spans="1:14" ht="14.55" customHeight="1" x14ac:dyDescent="0.3">
      <c r="A177" s="1">
        <v>44911</v>
      </c>
      <c r="B177" t="s">
        <v>9</v>
      </c>
      <c r="C177" t="s">
        <v>16</v>
      </c>
      <c r="D177" t="s">
        <v>37</v>
      </c>
      <c r="E177">
        <v>36</v>
      </c>
      <c r="F177">
        <v>10018.43</v>
      </c>
      <c r="G177" t="s">
        <v>12</v>
      </c>
      <c r="H177">
        <v>2</v>
      </c>
      <c r="I177">
        <v>1027.8599999999999</v>
      </c>
      <c r="J177">
        <v>8990.57</v>
      </c>
      <c r="K177" t="str">
        <f t="shared" si="7"/>
        <v>December</v>
      </c>
      <c r="L177" t="str">
        <f t="shared" si="8"/>
        <v>Q4</v>
      </c>
      <c r="M177">
        <f t="shared" si="6"/>
        <v>2022</v>
      </c>
      <c r="N177" t="s">
        <v>47</v>
      </c>
    </row>
    <row r="178" spans="1:14" ht="14.55" customHeight="1" x14ac:dyDescent="0.3">
      <c r="A178" s="1">
        <v>44741</v>
      </c>
      <c r="B178" t="s">
        <v>31</v>
      </c>
      <c r="C178" t="s">
        <v>10</v>
      </c>
      <c r="D178" t="s">
        <v>28</v>
      </c>
      <c r="E178">
        <v>31</v>
      </c>
      <c r="F178">
        <v>10685.43</v>
      </c>
      <c r="G178" t="s">
        <v>20</v>
      </c>
      <c r="H178">
        <v>3</v>
      </c>
      <c r="I178">
        <v>3752.13</v>
      </c>
      <c r="J178">
        <v>6933.3</v>
      </c>
      <c r="K178" t="str">
        <f t="shared" si="7"/>
        <v>June</v>
      </c>
      <c r="L178" t="str">
        <f t="shared" si="8"/>
        <v>Q2</v>
      </c>
      <c r="M178">
        <f t="shared" si="6"/>
        <v>2022</v>
      </c>
      <c r="N178" t="s">
        <v>44</v>
      </c>
    </row>
    <row r="179" spans="1:14" ht="14.55" customHeight="1" x14ac:dyDescent="0.3">
      <c r="A179" s="1">
        <v>45230</v>
      </c>
      <c r="B179" t="s">
        <v>31</v>
      </c>
      <c r="C179" t="s">
        <v>21</v>
      </c>
      <c r="D179" t="s">
        <v>32</v>
      </c>
      <c r="E179">
        <v>14</v>
      </c>
      <c r="F179">
        <v>5724.09</v>
      </c>
      <c r="G179" t="s">
        <v>20</v>
      </c>
      <c r="H179">
        <v>3</v>
      </c>
      <c r="I179">
        <v>2954.53</v>
      </c>
      <c r="J179">
        <v>2769.56</v>
      </c>
      <c r="K179" t="str">
        <f t="shared" si="7"/>
        <v>October</v>
      </c>
      <c r="L179" t="str">
        <f t="shared" si="8"/>
        <v>Q4</v>
      </c>
      <c r="M179">
        <f t="shared" si="6"/>
        <v>2023</v>
      </c>
      <c r="N179" t="s">
        <v>47</v>
      </c>
    </row>
    <row r="180" spans="1:14" ht="14.55" customHeight="1" x14ac:dyDescent="0.3">
      <c r="A180" s="1">
        <v>45082</v>
      </c>
      <c r="B180" t="s">
        <v>15</v>
      </c>
      <c r="C180" t="s">
        <v>25</v>
      </c>
      <c r="D180" t="s">
        <v>38</v>
      </c>
      <c r="E180">
        <v>22</v>
      </c>
      <c r="F180">
        <v>979.36</v>
      </c>
      <c r="G180" t="s">
        <v>20</v>
      </c>
      <c r="H180">
        <v>1</v>
      </c>
      <c r="I180">
        <v>1678.26</v>
      </c>
      <c r="J180">
        <v>-698.9</v>
      </c>
      <c r="K180" t="str">
        <f t="shared" si="7"/>
        <v>June</v>
      </c>
      <c r="L180" t="str">
        <f t="shared" si="8"/>
        <v>Q2</v>
      </c>
      <c r="M180">
        <f t="shared" si="6"/>
        <v>2023</v>
      </c>
      <c r="N180" t="s">
        <v>44</v>
      </c>
    </row>
    <row r="181" spans="1:14" ht="14.55" customHeight="1" x14ac:dyDescent="0.3">
      <c r="A181" s="1">
        <v>45141</v>
      </c>
      <c r="B181" t="s">
        <v>15</v>
      </c>
      <c r="C181" t="s">
        <v>13</v>
      </c>
      <c r="D181" t="s">
        <v>14</v>
      </c>
      <c r="E181">
        <v>2</v>
      </c>
      <c r="F181">
        <v>656.47</v>
      </c>
      <c r="G181" t="s">
        <v>12</v>
      </c>
      <c r="H181">
        <v>3</v>
      </c>
      <c r="I181">
        <v>16.43</v>
      </c>
      <c r="J181">
        <v>640.04</v>
      </c>
      <c r="K181" t="str">
        <f t="shared" si="7"/>
        <v>August</v>
      </c>
      <c r="L181" t="str">
        <f t="shared" si="8"/>
        <v>Q3</v>
      </c>
      <c r="M181">
        <f t="shared" si="6"/>
        <v>2023</v>
      </c>
      <c r="N181" t="s">
        <v>44</v>
      </c>
    </row>
    <row r="182" spans="1:14" ht="14.55" customHeight="1" x14ac:dyDescent="0.3">
      <c r="A182" s="1">
        <v>44901</v>
      </c>
      <c r="B182" t="s">
        <v>9</v>
      </c>
      <c r="C182" t="s">
        <v>10</v>
      </c>
      <c r="D182" t="s">
        <v>11</v>
      </c>
      <c r="E182">
        <v>46</v>
      </c>
      <c r="F182">
        <v>743.49</v>
      </c>
      <c r="G182" t="s">
        <v>12</v>
      </c>
      <c r="H182">
        <v>3</v>
      </c>
      <c r="I182">
        <v>4154.4399999999996</v>
      </c>
      <c r="J182">
        <v>-3410.95</v>
      </c>
      <c r="K182" t="str">
        <f t="shared" si="7"/>
        <v>December</v>
      </c>
      <c r="L182" t="str">
        <f t="shared" si="8"/>
        <v>Q4</v>
      </c>
      <c r="M182">
        <f t="shared" si="6"/>
        <v>2022</v>
      </c>
      <c r="N182" t="s">
        <v>47</v>
      </c>
    </row>
    <row r="183" spans="1:14" ht="14.55" customHeight="1" x14ac:dyDescent="0.3">
      <c r="A183" s="1">
        <v>45279</v>
      </c>
      <c r="B183" t="s">
        <v>23</v>
      </c>
      <c r="C183" t="s">
        <v>10</v>
      </c>
      <c r="D183" t="s">
        <v>11</v>
      </c>
      <c r="E183">
        <v>10</v>
      </c>
      <c r="F183">
        <v>1019.29</v>
      </c>
      <c r="G183" t="s">
        <v>12</v>
      </c>
      <c r="H183">
        <v>3</v>
      </c>
      <c r="I183">
        <v>1220.53</v>
      </c>
      <c r="J183">
        <v>-201.24</v>
      </c>
      <c r="K183" t="str">
        <f t="shared" si="7"/>
        <v>December</v>
      </c>
      <c r="L183" t="str">
        <f t="shared" si="8"/>
        <v>Q4</v>
      </c>
      <c r="M183">
        <f t="shared" si="6"/>
        <v>2023</v>
      </c>
      <c r="N183" t="s">
        <v>44</v>
      </c>
    </row>
    <row r="184" spans="1:14" ht="14.55" customHeight="1" x14ac:dyDescent="0.3">
      <c r="A184" s="1">
        <v>44767</v>
      </c>
      <c r="B184" t="s">
        <v>23</v>
      </c>
      <c r="C184" t="s">
        <v>10</v>
      </c>
      <c r="D184" t="s">
        <v>11</v>
      </c>
      <c r="E184">
        <v>16</v>
      </c>
      <c r="F184">
        <v>7097.62</v>
      </c>
      <c r="G184" t="s">
        <v>12</v>
      </c>
      <c r="H184">
        <v>3</v>
      </c>
      <c r="I184">
        <v>2961.31</v>
      </c>
      <c r="J184">
        <v>4136.3100000000004</v>
      </c>
      <c r="K184" t="str">
        <f t="shared" si="7"/>
        <v>July</v>
      </c>
      <c r="L184" t="str">
        <f t="shared" si="8"/>
        <v>Q3</v>
      </c>
      <c r="M184">
        <f t="shared" si="6"/>
        <v>2022</v>
      </c>
      <c r="N184" t="s">
        <v>44</v>
      </c>
    </row>
    <row r="185" spans="1:14" ht="14.55" customHeight="1" x14ac:dyDescent="0.3">
      <c r="A185" s="1">
        <v>45267</v>
      </c>
      <c r="B185" t="s">
        <v>9</v>
      </c>
      <c r="C185" t="s">
        <v>16</v>
      </c>
      <c r="D185" t="s">
        <v>37</v>
      </c>
      <c r="E185">
        <v>17</v>
      </c>
      <c r="F185">
        <v>1861.94</v>
      </c>
      <c r="G185" t="s">
        <v>12</v>
      </c>
      <c r="H185">
        <v>1</v>
      </c>
      <c r="I185">
        <v>1242.19</v>
      </c>
      <c r="J185">
        <v>619.75</v>
      </c>
      <c r="K185" t="str">
        <f t="shared" si="7"/>
        <v>December</v>
      </c>
      <c r="L185" t="str">
        <f t="shared" si="8"/>
        <v>Q4</v>
      </c>
      <c r="M185">
        <f t="shared" si="6"/>
        <v>2023</v>
      </c>
      <c r="N185" t="s">
        <v>47</v>
      </c>
    </row>
    <row r="186" spans="1:14" ht="14.55" customHeight="1" x14ac:dyDescent="0.3">
      <c r="A186" s="1">
        <v>45077</v>
      </c>
      <c r="B186" t="s">
        <v>9</v>
      </c>
      <c r="C186" t="s">
        <v>13</v>
      </c>
      <c r="D186" t="s">
        <v>19</v>
      </c>
      <c r="E186">
        <v>10</v>
      </c>
      <c r="F186">
        <v>1722.51</v>
      </c>
      <c r="G186" t="s">
        <v>20</v>
      </c>
      <c r="H186">
        <v>3</v>
      </c>
      <c r="I186">
        <v>1146.9100000000001</v>
      </c>
      <c r="J186">
        <v>575.6</v>
      </c>
      <c r="K186" t="str">
        <f t="shared" si="7"/>
        <v>May</v>
      </c>
      <c r="L186" t="str">
        <f t="shared" si="8"/>
        <v>Q2</v>
      </c>
      <c r="M186">
        <f t="shared" si="6"/>
        <v>2023</v>
      </c>
      <c r="N186" t="s">
        <v>44</v>
      </c>
    </row>
    <row r="187" spans="1:14" ht="14.55" customHeight="1" x14ac:dyDescent="0.3">
      <c r="A187" s="1">
        <v>44653</v>
      </c>
      <c r="B187" t="s">
        <v>31</v>
      </c>
      <c r="C187" t="s">
        <v>25</v>
      </c>
      <c r="D187" t="s">
        <v>38</v>
      </c>
      <c r="E187">
        <v>34</v>
      </c>
      <c r="F187">
        <v>16648.830000000002</v>
      </c>
      <c r="G187" t="s">
        <v>12</v>
      </c>
      <c r="H187">
        <v>3</v>
      </c>
      <c r="I187">
        <v>2046.46</v>
      </c>
      <c r="J187">
        <v>14602.37</v>
      </c>
      <c r="K187" t="str">
        <f t="shared" si="7"/>
        <v>April</v>
      </c>
      <c r="L187" t="str">
        <f t="shared" si="8"/>
        <v>Q2</v>
      </c>
      <c r="M187">
        <f t="shared" si="6"/>
        <v>2022</v>
      </c>
      <c r="N187" t="s">
        <v>47</v>
      </c>
    </row>
    <row r="188" spans="1:14" ht="14.55" customHeight="1" x14ac:dyDescent="0.3">
      <c r="A188" s="1">
        <v>44852</v>
      </c>
      <c r="B188" t="s">
        <v>15</v>
      </c>
      <c r="C188" t="s">
        <v>16</v>
      </c>
      <c r="D188" t="s">
        <v>37</v>
      </c>
      <c r="E188">
        <v>49</v>
      </c>
      <c r="F188">
        <v>22291.82</v>
      </c>
      <c r="G188" t="s">
        <v>20</v>
      </c>
      <c r="H188">
        <v>1</v>
      </c>
      <c r="I188">
        <v>2021.93</v>
      </c>
      <c r="J188">
        <v>20269.89</v>
      </c>
      <c r="K188" t="str">
        <f t="shared" si="7"/>
        <v>October</v>
      </c>
      <c r="L188" t="str">
        <f t="shared" si="8"/>
        <v>Q4</v>
      </c>
      <c r="M188">
        <f t="shared" si="6"/>
        <v>2022</v>
      </c>
      <c r="N188" t="s">
        <v>43</v>
      </c>
    </row>
    <row r="189" spans="1:14" ht="14.55" customHeight="1" x14ac:dyDescent="0.3">
      <c r="A189" s="1">
        <v>44885</v>
      </c>
      <c r="B189" t="s">
        <v>23</v>
      </c>
      <c r="C189" t="s">
        <v>25</v>
      </c>
      <c r="D189" t="s">
        <v>38</v>
      </c>
      <c r="E189">
        <v>18</v>
      </c>
      <c r="F189">
        <v>8629.34</v>
      </c>
      <c r="G189" t="s">
        <v>12</v>
      </c>
      <c r="H189">
        <v>5</v>
      </c>
      <c r="I189">
        <v>1099.04</v>
      </c>
      <c r="J189">
        <v>7530.3</v>
      </c>
      <c r="K189" t="str">
        <f t="shared" si="7"/>
        <v>November</v>
      </c>
      <c r="L189" t="str">
        <f t="shared" si="8"/>
        <v>Q4</v>
      </c>
      <c r="M189">
        <f t="shared" si="6"/>
        <v>2022</v>
      </c>
      <c r="N189" t="s">
        <v>44</v>
      </c>
    </row>
    <row r="190" spans="1:14" ht="14.55" customHeight="1" x14ac:dyDescent="0.3">
      <c r="A190" s="1">
        <v>45289</v>
      </c>
      <c r="B190" t="s">
        <v>18</v>
      </c>
      <c r="C190" t="s">
        <v>16</v>
      </c>
      <c r="D190" t="s">
        <v>17</v>
      </c>
      <c r="E190">
        <v>29</v>
      </c>
      <c r="F190">
        <v>2191.92</v>
      </c>
      <c r="G190" t="s">
        <v>12</v>
      </c>
      <c r="H190">
        <v>2</v>
      </c>
      <c r="I190">
        <v>5751.89</v>
      </c>
      <c r="J190">
        <v>-3559.97</v>
      </c>
      <c r="K190" t="str">
        <f t="shared" si="7"/>
        <v>December</v>
      </c>
      <c r="L190" t="str">
        <f t="shared" si="8"/>
        <v>Q4</v>
      </c>
      <c r="M190">
        <f t="shared" si="6"/>
        <v>2023</v>
      </c>
      <c r="N190" t="s">
        <v>44</v>
      </c>
    </row>
    <row r="191" spans="1:14" ht="14.55" customHeight="1" x14ac:dyDescent="0.3">
      <c r="A191" s="1">
        <v>44648</v>
      </c>
      <c r="B191" t="s">
        <v>23</v>
      </c>
      <c r="C191" t="s">
        <v>13</v>
      </c>
      <c r="D191" t="s">
        <v>40</v>
      </c>
      <c r="E191">
        <v>46</v>
      </c>
      <c r="F191">
        <v>20885.71</v>
      </c>
      <c r="G191" t="s">
        <v>12</v>
      </c>
      <c r="H191">
        <v>4</v>
      </c>
      <c r="I191">
        <v>5414.01</v>
      </c>
      <c r="J191">
        <v>15471.7</v>
      </c>
      <c r="K191" t="str">
        <f t="shared" si="7"/>
        <v>March</v>
      </c>
      <c r="L191" t="str">
        <f t="shared" si="8"/>
        <v>Q1</v>
      </c>
      <c r="M191">
        <f t="shared" si="6"/>
        <v>2022</v>
      </c>
      <c r="N191" t="s">
        <v>44</v>
      </c>
    </row>
    <row r="192" spans="1:14" ht="14.55" customHeight="1" x14ac:dyDescent="0.3">
      <c r="A192" s="1">
        <v>44712</v>
      </c>
      <c r="B192" t="s">
        <v>15</v>
      </c>
      <c r="C192" t="s">
        <v>21</v>
      </c>
      <c r="D192" t="s">
        <v>22</v>
      </c>
      <c r="E192">
        <v>6</v>
      </c>
      <c r="F192">
        <v>809.16</v>
      </c>
      <c r="G192" t="s">
        <v>12</v>
      </c>
      <c r="H192">
        <v>2</v>
      </c>
      <c r="I192">
        <v>1005.3</v>
      </c>
      <c r="J192">
        <v>-196.14</v>
      </c>
      <c r="K192" t="str">
        <f t="shared" si="7"/>
        <v>May</v>
      </c>
      <c r="L192" t="str">
        <f t="shared" si="8"/>
        <v>Q2</v>
      </c>
      <c r="M192">
        <f t="shared" si="6"/>
        <v>2022</v>
      </c>
      <c r="N192" t="s">
        <v>47</v>
      </c>
    </row>
    <row r="193" spans="1:14" ht="14.55" customHeight="1" x14ac:dyDescent="0.3">
      <c r="A193" s="1">
        <v>45291</v>
      </c>
      <c r="B193" t="s">
        <v>15</v>
      </c>
      <c r="C193" t="s">
        <v>16</v>
      </c>
      <c r="D193" t="s">
        <v>17</v>
      </c>
      <c r="E193">
        <v>41</v>
      </c>
      <c r="F193">
        <v>4988.41</v>
      </c>
      <c r="G193" t="s">
        <v>20</v>
      </c>
      <c r="H193">
        <v>3</v>
      </c>
      <c r="I193">
        <v>10213.41</v>
      </c>
      <c r="J193">
        <v>-5225</v>
      </c>
      <c r="K193" t="str">
        <f t="shared" si="7"/>
        <v>December</v>
      </c>
      <c r="L193" t="str">
        <f t="shared" si="8"/>
        <v>Q4</v>
      </c>
      <c r="M193">
        <f t="shared" si="6"/>
        <v>2023</v>
      </c>
      <c r="N193" t="s">
        <v>44</v>
      </c>
    </row>
    <row r="194" spans="1:14" ht="14.55" customHeight="1" x14ac:dyDescent="0.3">
      <c r="A194" s="1">
        <v>44765</v>
      </c>
      <c r="B194" t="s">
        <v>23</v>
      </c>
      <c r="C194" t="s">
        <v>16</v>
      </c>
      <c r="D194" t="s">
        <v>24</v>
      </c>
      <c r="E194">
        <v>42</v>
      </c>
      <c r="F194">
        <v>3048.02</v>
      </c>
      <c r="G194" t="s">
        <v>20</v>
      </c>
      <c r="H194">
        <v>5</v>
      </c>
      <c r="I194">
        <v>6765.77</v>
      </c>
      <c r="J194">
        <v>-3717.75</v>
      </c>
      <c r="K194" t="str">
        <f t="shared" si="7"/>
        <v>July</v>
      </c>
      <c r="L194" t="str">
        <f t="shared" si="8"/>
        <v>Q3</v>
      </c>
      <c r="M194">
        <f t="shared" ref="M194:M257" si="9">YEAR(A194)</f>
        <v>2022</v>
      </c>
      <c r="N194" t="s">
        <v>44</v>
      </c>
    </row>
    <row r="195" spans="1:14" ht="14.55" customHeight="1" x14ac:dyDescent="0.3">
      <c r="A195" s="1">
        <v>44742</v>
      </c>
      <c r="B195" t="s">
        <v>23</v>
      </c>
      <c r="C195" t="s">
        <v>25</v>
      </c>
      <c r="D195" t="s">
        <v>30</v>
      </c>
      <c r="E195">
        <v>34</v>
      </c>
      <c r="F195">
        <v>10878.06</v>
      </c>
      <c r="G195" t="s">
        <v>20</v>
      </c>
      <c r="H195">
        <v>3</v>
      </c>
      <c r="I195">
        <v>3436.73</v>
      </c>
      <c r="J195">
        <v>7441.33</v>
      </c>
      <c r="K195" t="str">
        <f t="shared" ref="K195:K258" si="10">TEXT(A195,"mmmm")</f>
        <v>June</v>
      </c>
      <c r="L195" t="str">
        <f t="shared" ref="L195:L258" si="11">"Q"&amp;INT((MONTH(A195)-1)/3)+1</f>
        <v>Q2</v>
      </c>
      <c r="M195">
        <f t="shared" si="9"/>
        <v>2022</v>
      </c>
      <c r="N195" t="s">
        <v>43</v>
      </c>
    </row>
    <row r="196" spans="1:14" ht="14.55" customHeight="1" x14ac:dyDescent="0.3">
      <c r="A196" s="1">
        <v>44922</v>
      </c>
      <c r="B196" t="s">
        <v>18</v>
      </c>
      <c r="C196" t="s">
        <v>16</v>
      </c>
      <c r="D196" t="s">
        <v>37</v>
      </c>
      <c r="E196">
        <v>28</v>
      </c>
      <c r="F196">
        <v>1785.75</v>
      </c>
      <c r="G196" t="s">
        <v>12</v>
      </c>
      <c r="H196">
        <v>2</v>
      </c>
      <c r="I196">
        <v>1238.3599999999999</v>
      </c>
      <c r="J196">
        <v>547.39</v>
      </c>
      <c r="K196" t="str">
        <f t="shared" si="10"/>
        <v>December</v>
      </c>
      <c r="L196" t="str">
        <f t="shared" si="11"/>
        <v>Q4</v>
      </c>
      <c r="M196">
        <f t="shared" si="9"/>
        <v>2022</v>
      </c>
      <c r="N196" t="s">
        <v>47</v>
      </c>
    </row>
    <row r="197" spans="1:14" ht="14.55" customHeight="1" x14ac:dyDescent="0.3">
      <c r="A197" s="1">
        <v>44811</v>
      </c>
      <c r="B197" t="s">
        <v>15</v>
      </c>
      <c r="C197" t="s">
        <v>10</v>
      </c>
      <c r="D197" t="s">
        <v>35</v>
      </c>
      <c r="E197">
        <v>5</v>
      </c>
      <c r="F197">
        <v>1811.92</v>
      </c>
      <c r="G197" t="s">
        <v>12</v>
      </c>
      <c r="H197">
        <v>3</v>
      </c>
      <c r="I197">
        <v>607.48</v>
      </c>
      <c r="J197">
        <v>1204.44</v>
      </c>
      <c r="K197" t="str">
        <f t="shared" si="10"/>
        <v>September</v>
      </c>
      <c r="L197" t="str">
        <f t="shared" si="11"/>
        <v>Q3</v>
      </c>
      <c r="M197">
        <f t="shared" si="9"/>
        <v>2022</v>
      </c>
      <c r="N197" t="s">
        <v>47</v>
      </c>
    </row>
    <row r="198" spans="1:14" ht="14.55" customHeight="1" x14ac:dyDescent="0.3">
      <c r="A198" s="1">
        <v>44778</v>
      </c>
      <c r="B198" t="s">
        <v>31</v>
      </c>
      <c r="C198" t="s">
        <v>13</v>
      </c>
      <c r="D198" t="s">
        <v>19</v>
      </c>
      <c r="E198">
        <v>42</v>
      </c>
      <c r="F198">
        <v>894.18</v>
      </c>
      <c r="G198" t="s">
        <v>12</v>
      </c>
      <c r="H198">
        <v>5</v>
      </c>
      <c r="I198">
        <v>7824.87</v>
      </c>
      <c r="J198">
        <v>-6930.69</v>
      </c>
      <c r="K198" t="str">
        <f t="shared" si="10"/>
        <v>August</v>
      </c>
      <c r="L198" t="str">
        <f t="shared" si="11"/>
        <v>Q3</v>
      </c>
      <c r="M198">
        <f t="shared" si="9"/>
        <v>2022</v>
      </c>
      <c r="N198" t="s">
        <v>45</v>
      </c>
    </row>
    <row r="199" spans="1:14" ht="14.55" customHeight="1" x14ac:dyDescent="0.3">
      <c r="A199" s="1">
        <v>44817</v>
      </c>
      <c r="B199" t="s">
        <v>15</v>
      </c>
      <c r="C199" t="s">
        <v>16</v>
      </c>
      <c r="D199" t="s">
        <v>24</v>
      </c>
      <c r="E199">
        <v>44</v>
      </c>
      <c r="F199">
        <v>13375.67</v>
      </c>
      <c r="G199" t="s">
        <v>12</v>
      </c>
      <c r="H199">
        <v>3</v>
      </c>
      <c r="I199">
        <v>6672.59</v>
      </c>
      <c r="J199">
        <v>6703.08</v>
      </c>
      <c r="K199" t="str">
        <f t="shared" si="10"/>
        <v>September</v>
      </c>
      <c r="L199" t="str">
        <f t="shared" si="11"/>
        <v>Q3</v>
      </c>
      <c r="M199">
        <f t="shared" si="9"/>
        <v>2022</v>
      </c>
      <c r="N199" t="s">
        <v>47</v>
      </c>
    </row>
    <row r="200" spans="1:14" ht="14.55" customHeight="1" x14ac:dyDescent="0.3">
      <c r="A200" s="1">
        <v>45055</v>
      </c>
      <c r="B200" t="s">
        <v>15</v>
      </c>
      <c r="C200" t="s">
        <v>16</v>
      </c>
      <c r="D200" t="s">
        <v>17</v>
      </c>
      <c r="E200">
        <v>44</v>
      </c>
      <c r="F200">
        <v>10746.96</v>
      </c>
      <c r="G200" t="s">
        <v>20</v>
      </c>
      <c r="H200">
        <v>4</v>
      </c>
      <c r="I200">
        <v>2403.0100000000002</v>
      </c>
      <c r="J200">
        <v>8343.9500000000007</v>
      </c>
      <c r="K200" t="str">
        <f t="shared" si="10"/>
        <v>May</v>
      </c>
      <c r="L200" t="str">
        <f t="shared" si="11"/>
        <v>Q2</v>
      </c>
      <c r="M200">
        <f t="shared" si="9"/>
        <v>2023</v>
      </c>
      <c r="N200" t="s">
        <v>45</v>
      </c>
    </row>
    <row r="201" spans="1:14" ht="14.55" customHeight="1" x14ac:dyDescent="0.3">
      <c r="A201" s="1">
        <v>44658</v>
      </c>
      <c r="B201" t="s">
        <v>9</v>
      </c>
      <c r="C201" t="s">
        <v>21</v>
      </c>
      <c r="D201" t="s">
        <v>22</v>
      </c>
      <c r="E201">
        <v>32</v>
      </c>
      <c r="F201">
        <v>6784.15</v>
      </c>
      <c r="G201" t="s">
        <v>20</v>
      </c>
      <c r="H201">
        <v>5</v>
      </c>
      <c r="I201">
        <v>7112.47</v>
      </c>
      <c r="J201">
        <v>-328.32</v>
      </c>
      <c r="K201" t="str">
        <f t="shared" si="10"/>
        <v>April</v>
      </c>
      <c r="L201" t="str">
        <f t="shared" si="11"/>
        <v>Q2</v>
      </c>
      <c r="M201">
        <f t="shared" si="9"/>
        <v>2022</v>
      </c>
      <c r="N201" t="s">
        <v>47</v>
      </c>
    </row>
    <row r="202" spans="1:14" ht="14.55" customHeight="1" x14ac:dyDescent="0.3">
      <c r="A202" s="1">
        <v>45177</v>
      </c>
      <c r="B202" t="s">
        <v>23</v>
      </c>
      <c r="C202" t="s">
        <v>16</v>
      </c>
      <c r="D202" t="s">
        <v>17</v>
      </c>
      <c r="E202">
        <v>7</v>
      </c>
      <c r="F202">
        <v>594.35</v>
      </c>
      <c r="G202" t="s">
        <v>20</v>
      </c>
      <c r="H202">
        <v>3</v>
      </c>
      <c r="I202">
        <v>482.67</v>
      </c>
      <c r="J202">
        <v>111.68</v>
      </c>
      <c r="K202" t="str">
        <f t="shared" si="10"/>
        <v>September</v>
      </c>
      <c r="L202" t="str">
        <f t="shared" si="11"/>
        <v>Q3</v>
      </c>
      <c r="M202">
        <f t="shared" si="9"/>
        <v>2023</v>
      </c>
      <c r="N202" t="s">
        <v>43</v>
      </c>
    </row>
    <row r="203" spans="1:14" ht="14.55" customHeight="1" x14ac:dyDescent="0.3">
      <c r="A203" s="1">
        <v>45081</v>
      </c>
      <c r="B203" t="s">
        <v>15</v>
      </c>
      <c r="C203" t="s">
        <v>10</v>
      </c>
      <c r="D203" t="s">
        <v>34</v>
      </c>
      <c r="E203">
        <v>2</v>
      </c>
      <c r="F203">
        <v>641.79999999999995</v>
      </c>
      <c r="G203" t="s">
        <v>12</v>
      </c>
      <c r="H203">
        <v>2</v>
      </c>
      <c r="I203">
        <v>404.43</v>
      </c>
      <c r="J203">
        <v>237.37</v>
      </c>
      <c r="K203" t="str">
        <f t="shared" si="10"/>
        <v>June</v>
      </c>
      <c r="L203" t="str">
        <f t="shared" si="11"/>
        <v>Q2</v>
      </c>
      <c r="M203">
        <f t="shared" si="9"/>
        <v>2023</v>
      </c>
      <c r="N203" t="s">
        <v>45</v>
      </c>
    </row>
    <row r="204" spans="1:14" ht="14.55" customHeight="1" x14ac:dyDescent="0.3">
      <c r="A204" s="1">
        <v>45049</v>
      </c>
      <c r="B204" t="s">
        <v>23</v>
      </c>
      <c r="C204" t="s">
        <v>21</v>
      </c>
      <c r="D204" t="s">
        <v>36</v>
      </c>
      <c r="E204">
        <v>47</v>
      </c>
      <c r="F204">
        <v>4781.95</v>
      </c>
      <c r="G204" t="s">
        <v>20</v>
      </c>
      <c r="H204">
        <v>4</v>
      </c>
      <c r="I204">
        <v>5937.86</v>
      </c>
      <c r="J204">
        <v>-1155.9100000000001</v>
      </c>
      <c r="K204" t="str">
        <f t="shared" si="10"/>
        <v>May</v>
      </c>
      <c r="L204" t="str">
        <f t="shared" si="11"/>
        <v>Q2</v>
      </c>
      <c r="M204">
        <f t="shared" si="9"/>
        <v>2023</v>
      </c>
      <c r="N204" t="s">
        <v>47</v>
      </c>
    </row>
    <row r="205" spans="1:14" ht="14.55" customHeight="1" x14ac:dyDescent="0.3">
      <c r="A205" s="1">
        <v>44735</v>
      </c>
      <c r="B205" t="s">
        <v>15</v>
      </c>
      <c r="C205" t="s">
        <v>21</v>
      </c>
      <c r="D205" t="s">
        <v>32</v>
      </c>
      <c r="E205">
        <v>3</v>
      </c>
      <c r="F205">
        <v>125</v>
      </c>
      <c r="G205" t="s">
        <v>20</v>
      </c>
      <c r="H205">
        <v>1</v>
      </c>
      <c r="I205">
        <v>239.13</v>
      </c>
      <c r="J205">
        <v>-114.13</v>
      </c>
      <c r="K205" t="str">
        <f t="shared" si="10"/>
        <v>June</v>
      </c>
      <c r="L205" t="str">
        <f t="shared" si="11"/>
        <v>Q2</v>
      </c>
      <c r="M205">
        <f t="shared" si="9"/>
        <v>2022</v>
      </c>
      <c r="N205" t="s">
        <v>47</v>
      </c>
    </row>
    <row r="206" spans="1:14" ht="14.55" customHeight="1" x14ac:dyDescent="0.3">
      <c r="A206" s="1">
        <v>44836</v>
      </c>
      <c r="B206" t="s">
        <v>31</v>
      </c>
      <c r="C206" t="s">
        <v>16</v>
      </c>
      <c r="D206" t="s">
        <v>37</v>
      </c>
      <c r="E206">
        <v>13</v>
      </c>
      <c r="F206">
        <v>5309.43</v>
      </c>
      <c r="G206" t="s">
        <v>20</v>
      </c>
      <c r="H206">
        <v>5</v>
      </c>
      <c r="I206">
        <v>812.92</v>
      </c>
      <c r="J206">
        <v>4496.51</v>
      </c>
      <c r="K206" t="str">
        <f t="shared" si="10"/>
        <v>October</v>
      </c>
      <c r="L206" t="str">
        <f t="shared" si="11"/>
        <v>Q4</v>
      </c>
      <c r="M206">
        <f t="shared" si="9"/>
        <v>2022</v>
      </c>
      <c r="N206" t="s">
        <v>44</v>
      </c>
    </row>
    <row r="207" spans="1:14" ht="14.55" customHeight="1" x14ac:dyDescent="0.3">
      <c r="A207" s="1">
        <v>44629</v>
      </c>
      <c r="B207" t="s">
        <v>15</v>
      </c>
      <c r="C207" t="s">
        <v>13</v>
      </c>
      <c r="D207" t="s">
        <v>19</v>
      </c>
      <c r="E207">
        <v>39</v>
      </c>
      <c r="F207">
        <v>1107.29</v>
      </c>
      <c r="G207" t="s">
        <v>12</v>
      </c>
      <c r="H207">
        <v>5</v>
      </c>
      <c r="I207">
        <v>2614.89</v>
      </c>
      <c r="J207">
        <v>-1507.6</v>
      </c>
      <c r="K207" t="str">
        <f t="shared" si="10"/>
        <v>March</v>
      </c>
      <c r="L207" t="str">
        <f t="shared" si="11"/>
        <v>Q1</v>
      </c>
      <c r="M207">
        <f t="shared" si="9"/>
        <v>2022</v>
      </c>
      <c r="N207" t="s">
        <v>44</v>
      </c>
    </row>
    <row r="208" spans="1:14" ht="14.55" customHeight="1" x14ac:dyDescent="0.3">
      <c r="A208" s="1">
        <v>44764</v>
      </c>
      <c r="B208" t="s">
        <v>31</v>
      </c>
      <c r="C208" t="s">
        <v>13</v>
      </c>
      <c r="D208" t="s">
        <v>19</v>
      </c>
      <c r="E208">
        <v>40</v>
      </c>
      <c r="F208">
        <v>17757.37</v>
      </c>
      <c r="G208" t="s">
        <v>12</v>
      </c>
      <c r="H208">
        <v>1</v>
      </c>
      <c r="I208">
        <v>5851.26</v>
      </c>
      <c r="J208">
        <v>11906.11</v>
      </c>
      <c r="K208" t="str">
        <f t="shared" si="10"/>
        <v>July</v>
      </c>
      <c r="L208" t="str">
        <f t="shared" si="11"/>
        <v>Q3</v>
      </c>
      <c r="M208">
        <f t="shared" si="9"/>
        <v>2022</v>
      </c>
      <c r="N208" t="s">
        <v>47</v>
      </c>
    </row>
    <row r="209" spans="1:14" ht="14.55" customHeight="1" x14ac:dyDescent="0.3">
      <c r="A209" s="1">
        <v>44975</v>
      </c>
      <c r="B209" t="s">
        <v>9</v>
      </c>
      <c r="C209" t="s">
        <v>13</v>
      </c>
      <c r="D209" t="s">
        <v>29</v>
      </c>
      <c r="E209">
        <v>29</v>
      </c>
      <c r="F209">
        <v>11259.88</v>
      </c>
      <c r="G209" t="s">
        <v>20</v>
      </c>
      <c r="H209">
        <v>4</v>
      </c>
      <c r="I209">
        <v>3062.55</v>
      </c>
      <c r="J209">
        <v>8197.33</v>
      </c>
      <c r="K209" t="str">
        <f t="shared" si="10"/>
        <v>February</v>
      </c>
      <c r="L209" t="str">
        <f t="shared" si="11"/>
        <v>Q1</v>
      </c>
      <c r="M209">
        <f t="shared" si="9"/>
        <v>2023</v>
      </c>
      <c r="N209" t="s">
        <v>44</v>
      </c>
    </row>
    <row r="210" spans="1:14" ht="14.55" customHeight="1" x14ac:dyDescent="0.3">
      <c r="A210" s="1">
        <v>44877</v>
      </c>
      <c r="B210" t="s">
        <v>31</v>
      </c>
      <c r="C210" t="s">
        <v>10</v>
      </c>
      <c r="D210" t="s">
        <v>35</v>
      </c>
      <c r="E210">
        <v>21</v>
      </c>
      <c r="F210">
        <v>1672.36</v>
      </c>
      <c r="G210" t="s">
        <v>12</v>
      </c>
      <c r="H210">
        <v>1</v>
      </c>
      <c r="I210">
        <v>636.59</v>
      </c>
      <c r="J210">
        <v>1035.77</v>
      </c>
      <c r="K210" t="str">
        <f t="shared" si="10"/>
        <v>November</v>
      </c>
      <c r="L210" t="str">
        <f t="shared" si="11"/>
        <v>Q4</v>
      </c>
      <c r="M210">
        <f t="shared" si="9"/>
        <v>2022</v>
      </c>
      <c r="N210" t="s">
        <v>44</v>
      </c>
    </row>
    <row r="211" spans="1:14" ht="14.55" customHeight="1" x14ac:dyDescent="0.3">
      <c r="A211" s="1">
        <v>44995</v>
      </c>
      <c r="B211" t="s">
        <v>18</v>
      </c>
      <c r="C211" t="s">
        <v>10</v>
      </c>
      <c r="D211" t="s">
        <v>28</v>
      </c>
      <c r="E211">
        <v>28</v>
      </c>
      <c r="F211">
        <v>1232.2</v>
      </c>
      <c r="G211" t="s">
        <v>20</v>
      </c>
      <c r="H211">
        <v>4</v>
      </c>
      <c r="I211">
        <v>4111.75</v>
      </c>
      <c r="J211">
        <v>-2879.55</v>
      </c>
      <c r="K211" t="str">
        <f t="shared" si="10"/>
        <v>March</v>
      </c>
      <c r="L211" t="str">
        <f t="shared" si="11"/>
        <v>Q1</v>
      </c>
      <c r="M211">
        <f t="shared" si="9"/>
        <v>2023</v>
      </c>
      <c r="N211" t="s">
        <v>44</v>
      </c>
    </row>
    <row r="212" spans="1:14" ht="14.55" customHeight="1" x14ac:dyDescent="0.3">
      <c r="A212" s="1">
        <v>44952</v>
      </c>
      <c r="B212" t="s">
        <v>23</v>
      </c>
      <c r="C212" t="s">
        <v>13</v>
      </c>
      <c r="D212" t="s">
        <v>14</v>
      </c>
      <c r="E212">
        <v>6</v>
      </c>
      <c r="F212">
        <v>2774.43</v>
      </c>
      <c r="G212" t="s">
        <v>20</v>
      </c>
      <c r="H212">
        <v>4</v>
      </c>
      <c r="I212">
        <v>1148.73</v>
      </c>
      <c r="J212">
        <v>1625.7</v>
      </c>
      <c r="K212" t="str">
        <f t="shared" si="10"/>
        <v>January</v>
      </c>
      <c r="L212" t="str">
        <f t="shared" si="11"/>
        <v>Q1</v>
      </c>
      <c r="M212">
        <f t="shared" si="9"/>
        <v>2023</v>
      </c>
      <c r="N212" t="s">
        <v>45</v>
      </c>
    </row>
    <row r="213" spans="1:14" ht="14.55" customHeight="1" x14ac:dyDescent="0.3">
      <c r="A213" s="1">
        <v>44730</v>
      </c>
      <c r="B213" t="s">
        <v>15</v>
      </c>
      <c r="C213" t="s">
        <v>13</v>
      </c>
      <c r="D213" t="s">
        <v>19</v>
      </c>
      <c r="E213">
        <v>6</v>
      </c>
      <c r="F213">
        <v>2318.21</v>
      </c>
      <c r="G213" t="s">
        <v>12</v>
      </c>
      <c r="H213">
        <v>3</v>
      </c>
      <c r="I213">
        <v>380.15</v>
      </c>
      <c r="J213">
        <v>1938.06</v>
      </c>
      <c r="K213" t="str">
        <f t="shared" si="10"/>
        <v>June</v>
      </c>
      <c r="L213" t="str">
        <f t="shared" si="11"/>
        <v>Q2</v>
      </c>
      <c r="M213">
        <f t="shared" si="9"/>
        <v>2022</v>
      </c>
      <c r="N213" t="s">
        <v>47</v>
      </c>
    </row>
    <row r="214" spans="1:14" ht="14.55" customHeight="1" x14ac:dyDescent="0.3">
      <c r="A214" s="1">
        <v>44659</v>
      </c>
      <c r="B214" t="s">
        <v>23</v>
      </c>
      <c r="C214" t="s">
        <v>16</v>
      </c>
      <c r="D214" t="s">
        <v>37</v>
      </c>
      <c r="E214">
        <v>27</v>
      </c>
      <c r="F214">
        <v>10981.95</v>
      </c>
      <c r="G214" t="s">
        <v>12</v>
      </c>
      <c r="H214">
        <v>3</v>
      </c>
      <c r="I214">
        <v>5830.26</v>
      </c>
      <c r="J214">
        <v>5151.6899999999996</v>
      </c>
      <c r="K214" t="str">
        <f t="shared" si="10"/>
        <v>April</v>
      </c>
      <c r="L214" t="str">
        <f t="shared" si="11"/>
        <v>Q2</v>
      </c>
      <c r="M214">
        <f t="shared" si="9"/>
        <v>2022</v>
      </c>
      <c r="N214" t="s">
        <v>47</v>
      </c>
    </row>
    <row r="215" spans="1:14" ht="14.55" customHeight="1" x14ac:dyDescent="0.3">
      <c r="A215" s="1">
        <v>45208</v>
      </c>
      <c r="B215" t="s">
        <v>23</v>
      </c>
      <c r="C215" t="s">
        <v>10</v>
      </c>
      <c r="D215" t="s">
        <v>34</v>
      </c>
      <c r="E215">
        <v>2</v>
      </c>
      <c r="F215">
        <v>470.39</v>
      </c>
      <c r="G215" t="s">
        <v>20</v>
      </c>
      <c r="H215">
        <v>4</v>
      </c>
      <c r="I215">
        <v>126.94</v>
      </c>
      <c r="J215">
        <v>343.45</v>
      </c>
      <c r="K215" t="str">
        <f t="shared" si="10"/>
        <v>October</v>
      </c>
      <c r="L215" t="str">
        <f t="shared" si="11"/>
        <v>Q4</v>
      </c>
      <c r="M215">
        <f t="shared" si="9"/>
        <v>2023</v>
      </c>
      <c r="N215" t="s">
        <v>47</v>
      </c>
    </row>
    <row r="216" spans="1:14" ht="14.55" customHeight="1" x14ac:dyDescent="0.3">
      <c r="A216" s="1">
        <v>44796</v>
      </c>
      <c r="B216" t="s">
        <v>9</v>
      </c>
      <c r="C216" t="s">
        <v>25</v>
      </c>
      <c r="D216" t="s">
        <v>26</v>
      </c>
      <c r="E216">
        <v>30</v>
      </c>
      <c r="F216">
        <v>3144.65</v>
      </c>
      <c r="G216" t="s">
        <v>12</v>
      </c>
      <c r="H216">
        <v>5</v>
      </c>
      <c r="I216">
        <v>6967.12</v>
      </c>
      <c r="J216">
        <v>-3822.47</v>
      </c>
      <c r="K216" t="str">
        <f t="shared" si="10"/>
        <v>August</v>
      </c>
      <c r="L216" t="str">
        <f t="shared" si="11"/>
        <v>Q3</v>
      </c>
      <c r="M216">
        <f t="shared" si="9"/>
        <v>2022</v>
      </c>
      <c r="N216" t="s">
        <v>43</v>
      </c>
    </row>
    <row r="217" spans="1:14" ht="14.55" customHeight="1" x14ac:dyDescent="0.3">
      <c r="A217" s="1">
        <v>45182</v>
      </c>
      <c r="B217" t="s">
        <v>23</v>
      </c>
      <c r="C217" t="s">
        <v>16</v>
      </c>
      <c r="D217" t="s">
        <v>37</v>
      </c>
      <c r="E217">
        <v>19</v>
      </c>
      <c r="F217">
        <v>5458.09</v>
      </c>
      <c r="G217" t="s">
        <v>12</v>
      </c>
      <c r="H217">
        <v>3</v>
      </c>
      <c r="I217">
        <v>1862.19</v>
      </c>
      <c r="J217">
        <v>3595.9</v>
      </c>
      <c r="K217" t="str">
        <f t="shared" si="10"/>
        <v>September</v>
      </c>
      <c r="L217" t="str">
        <f t="shared" si="11"/>
        <v>Q3</v>
      </c>
      <c r="M217">
        <f t="shared" si="9"/>
        <v>2023</v>
      </c>
      <c r="N217" t="s">
        <v>43</v>
      </c>
    </row>
    <row r="218" spans="1:14" ht="14.55" customHeight="1" x14ac:dyDescent="0.3">
      <c r="A218" s="1">
        <v>45224</v>
      </c>
      <c r="B218" t="s">
        <v>23</v>
      </c>
      <c r="C218" t="s">
        <v>21</v>
      </c>
      <c r="D218" t="s">
        <v>33</v>
      </c>
      <c r="E218">
        <v>30</v>
      </c>
      <c r="F218">
        <v>2163.61</v>
      </c>
      <c r="G218" t="s">
        <v>12</v>
      </c>
      <c r="H218">
        <v>2</v>
      </c>
      <c r="I218">
        <v>1059.24</v>
      </c>
      <c r="J218">
        <v>1104.3699999999999</v>
      </c>
      <c r="K218" t="str">
        <f t="shared" si="10"/>
        <v>October</v>
      </c>
      <c r="L218" t="str">
        <f t="shared" si="11"/>
        <v>Q4</v>
      </c>
      <c r="M218">
        <f t="shared" si="9"/>
        <v>2023</v>
      </c>
      <c r="N218" t="s">
        <v>43</v>
      </c>
    </row>
    <row r="219" spans="1:14" ht="14.55" customHeight="1" x14ac:dyDescent="0.3">
      <c r="A219" s="1">
        <v>44708</v>
      </c>
      <c r="B219" t="s">
        <v>23</v>
      </c>
      <c r="C219" t="s">
        <v>25</v>
      </c>
      <c r="D219" t="s">
        <v>26</v>
      </c>
      <c r="E219">
        <v>14</v>
      </c>
      <c r="F219">
        <v>4503.17</v>
      </c>
      <c r="G219" t="s">
        <v>12</v>
      </c>
      <c r="H219">
        <v>2</v>
      </c>
      <c r="I219">
        <v>155.46</v>
      </c>
      <c r="J219">
        <v>4347.71</v>
      </c>
      <c r="K219" t="str">
        <f t="shared" si="10"/>
        <v>May</v>
      </c>
      <c r="L219" t="str">
        <f t="shared" si="11"/>
        <v>Q2</v>
      </c>
      <c r="M219">
        <f t="shared" si="9"/>
        <v>2022</v>
      </c>
      <c r="N219" t="s">
        <v>47</v>
      </c>
    </row>
    <row r="220" spans="1:14" ht="14.55" customHeight="1" x14ac:dyDescent="0.3">
      <c r="A220" s="1">
        <v>44856</v>
      </c>
      <c r="B220" t="s">
        <v>15</v>
      </c>
      <c r="C220" t="s">
        <v>25</v>
      </c>
      <c r="D220" t="s">
        <v>38</v>
      </c>
      <c r="E220">
        <v>7</v>
      </c>
      <c r="F220">
        <v>445.83</v>
      </c>
      <c r="G220" t="s">
        <v>20</v>
      </c>
      <c r="H220">
        <v>1</v>
      </c>
      <c r="I220">
        <v>769.91</v>
      </c>
      <c r="J220">
        <v>-324.08</v>
      </c>
      <c r="K220" t="str">
        <f t="shared" si="10"/>
        <v>October</v>
      </c>
      <c r="L220" t="str">
        <f t="shared" si="11"/>
        <v>Q4</v>
      </c>
      <c r="M220">
        <f t="shared" si="9"/>
        <v>2022</v>
      </c>
      <c r="N220" t="s">
        <v>45</v>
      </c>
    </row>
    <row r="221" spans="1:14" ht="14.55" customHeight="1" x14ac:dyDescent="0.3">
      <c r="A221" s="1">
        <v>45042</v>
      </c>
      <c r="B221" t="s">
        <v>31</v>
      </c>
      <c r="C221" t="s">
        <v>13</v>
      </c>
      <c r="D221" t="s">
        <v>19</v>
      </c>
      <c r="E221">
        <v>9</v>
      </c>
      <c r="F221">
        <v>419.81</v>
      </c>
      <c r="G221" t="s">
        <v>20</v>
      </c>
      <c r="H221">
        <v>2</v>
      </c>
      <c r="I221">
        <v>1804.95</v>
      </c>
      <c r="J221">
        <v>-1385.14</v>
      </c>
      <c r="K221" t="str">
        <f t="shared" si="10"/>
        <v>April</v>
      </c>
      <c r="L221" t="str">
        <f t="shared" si="11"/>
        <v>Q2</v>
      </c>
      <c r="M221">
        <f t="shared" si="9"/>
        <v>2023</v>
      </c>
      <c r="N221" t="s">
        <v>43</v>
      </c>
    </row>
    <row r="222" spans="1:14" ht="14.55" customHeight="1" x14ac:dyDescent="0.3">
      <c r="A222" s="1">
        <v>44989</v>
      </c>
      <c r="B222" t="s">
        <v>15</v>
      </c>
      <c r="C222" t="s">
        <v>16</v>
      </c>
      <c r="D222" t="s">
        <v>24</v>
      </c>
      <c r="E222">
        <v>30</v>
      </c>
      <c r="F222">
        <v>13219.18</v>
      </c>
      <c r="G222" t="s">
        <v>20</v>
      </c>
      <c r="H222">
        <v>3</v>
      </c>
      <c r="I222">
        <v>3897.44</v>
      </c>
      <c r="J222">
        <v>9321.74</v>
      </c>
      <c r="K222" t="str">
        <f t="shared" si="10"/>
        <v>March</v>
      </c>
      <c r="L222" t="str">
        <f t="shared" si="11"/>
        <v>Q1</v>
      </c>
      <c r="M222">
        <f t="shared" si="9"/>
        <v>2023</v>
      </c>
      <c r="N222" t="s">
        <v>44</v>
      </c>
    </row>
    <row r="223" spans="1:14" ht="14.55" customHeight="1" x14ac:dyDescent="0.3">
      <c r="A223" s="1">
        <v>44767</v>
      </c>
      <c r="B223" t="s">
        <v>23</v>
      </c>
      <c r="C223" t="s">
        <v>10</v>
      </c>
      <c r="D223" t="s">
        <v>28</v>
      </c>
      <c r="E223">
        <v>13</v>
      </c>
      <c r="F223">
        <v>1525.73</v>
      </c>
      <c r="G223" t="s">
        <v>12</v>
      </c>
      <c r="H223">
        <v>2</v>
      </c>
      <c r="I223">
        <v>2334.17</v>
      </c>
      <c r="J223">
        <v>-808.44</v>
      </c>
      <c r="K223" t="str">
        <f t="shared" si="10"/>
        <v>July</v>
      </c>
      <c r="L223" t="str">
        <f t="shared" si="11"/>
        <v>Q3</v>
      </c>
      <c r="M223">
        <f t="shared" si="9"/>
        <v>2022</v>
      </c>
      <c r="N223" t="s">
        <v>45</v>
      </c>
    </row>
    <row r="224" spans="1:14" ht="14.55" customHeight="1" x14ac:dyDescent="0.3">
      <c r="A224" s="1">
        <v>45073</v>
      </c>
      <c r="B224" t="s">
        <v>15</v>
      </c>
      <c r="C224" t="s">
        <v>25</v>
      </c>
      <c r="D224" t="s">
        <v>30</v>
      </c>
      <c r="E224">
        <v>8</v>
      </c>
      <c r="F224">
        <v>1197.0899999999999</v>
      </c>
      <c r="G224" t="s">
        <v>20</v>
      </c>
      <c r="H224">
        <v>4</v>
      </c>
      <c r="I224">
        <v>900.95</v>
      </c>
      <c r="J224">
        <v>296.14</v>
      </c>
      <c r="K224" t="str">
        <f t="shared" si="10"/>
        <v>May</v>
      </c>
      <c r="L224" t="str">
        <f t="shared" si="11"/>
        <v>Q2</v>
      </c>
      <c r="M224">
        <f t="shared" si="9"/>
        <v>2023</v>
      </c>
      <c r="N224" t="s">
        <v>44</v>
      </c>
    </row>
    <row r="225" spans="1:14" ht="14.55" customHeight="1" x14ac:dyDescent="0.3">
      <c r="A225" s="1">
        <v>45247</v>
      </c>
      <c r="B225" t="s">
        <v>31</v>
      </c>
      <c r="C225" t="s">
        <v>21</v>
      </c>
      <c r="D225" t="s">
        <v>32</v>
      </c>
      <c r="E225">
        <v>19</v>
      </c>
      <c r="F225">
        <v>4874.17</v>
      </c>
      <c r="G225" t="s">
        <v>12</v>
      </c>
      <c r="H225">
        <v>2</v>
      </c>
      <c r="I225">
        <v>1630.91</v>
      </c>
      <c r="J225">
        <v>3243.26</v>
      </c>
      <c r="K225" t="str">
        <f t="shared" si="10"/>
        <v>November</v>
      </c>
      <c r="L225" t="str">
        <f t="shared" si="11"/>
        <v>Q4</v>
      </c>
      <c r="M225">
        <f t="shared" si="9"/>
        <v>2023</v>
      </c>
      <c r="N225" t="s">
        <v>47</v>
      </c>
    </row>
    <row r="226" spans="1:14" ht="14.55" customHeight="1" x14ac:dyDescent="0.3">
      <c r="A226" s="1">
        <v>44921</v>
      </c>
      <c r="B226" t="s">
        <v>9</v>
      </c>
      <c r="C226" t="s">
        <v>21</v>
      </c>
      <c r="D226" t="s">
        <v>33</v>
      </c>
      <c r="E226">
        <v>40</v>
      </c>
      <c r="F226">
        <v>19120.07</v>
      </c>
      <c r="G226" t="s">
        <v>20</v>
      </c>
      <c r="H226">
        <v>2</v>
      </c>
      <c r="I226">
        <v>7553.42</v>
      </c>
      <c r="J226">
        <v>11566.65</v>
      </c>
      <c r="K226" t="str">
        <f t="shared" si="10"/>
        <v>December</v>
      </c>
      <c r="L226" t="str">
        <f t="shared" si="11"/>
        <v>Q4</v>
      </c>
      <c r="M226">
        <f t="shared" si="9"/>
        <v>2022</v>
      </c>
      <c r="N226" t="s">
        <v>44</v>
      </c>
    </row>
    <row r="227" spans="1:14" ht="14.55" customHeight="1" x14ac:dyDescent="0.3">
      <c r="A227" s="1">
        <v>44845</v>
      </c>
      <c r="B227" t="s">
        <v>18</v>
      </c>
      <c r="C227" t="s">
        <v>16</v>
      </c>
      <c r="D227" t="s">
        <v>37</v>
      </c>
      <c r="E227">
        <v>30</v>
      </c>
      <c r="F227">
        <v>2124.25</v>
      </c>
      <c r="G227" t="s">
        <v>12</v>
      </c>
      <c r="H227">
        <v>3</v>
      </c>
      <c r="I227">
        <v>5387.46</v>
      </c>
      <c r="J227">
        <v>-3263.21</v>
      </c>
      <c r="K227" t="str">
        <f t="shared" si="10"/>
        <v>October</v>
      </c>
      <c r="L227" t="str">
        <f t="shared" si="11"/>
        <v>Q4</v>
      </c>
      <c r="M227">
        <f t="shared" si="9"/>
        <v>2022</v>
      </c>
      <c r="N227" t="s">
        <v>44</v>
      </c>
    </row>
    <row r="228" spans="1:14" ht="14.55" customHeight="1" x14ac:dyDescent="0.3">
      <c r="A228" s="1">
        <v>44565</v>
      </c>
      <c r="B228" t="s">
        <v>9</v>
      </c>
      <c r="C228" t="s">
        <v>21</v>
      </c>
      <c r="D228" t="s">
        <v>36</v>
      </c>
      <c r="E228">
        <v>34</v>
      </c>
      <c r="F228">
        <v>15245.3</v>
      </c>
      <c r="G228" t="s">
        <v>20</v>
      </c>
      <c r="H228">
        <v>1</v>
      </c>
      <c r="I228">
        <v>324.27</v>
      </c>
      <c r="J228">
        <v>14921.03</v>
      </c>
      <c r="K228" t="str">
        <f t="shared" si="10"/>
        <v>January</v>
      </c>
      <c r="L228" t="str">
        <f t="shared" si="11"/>
        <v>Q1</v>
      </c>
      <c r="M228">
        <f t="shared" si="9"/>
        <v>2022</v>
      </c>
      <c r="N228" t="s">
        <v>47</v>
      </c>
    </row>
    <row r="229" spans="1:14" ht="14.55" customHeight="1" x14ac:dyDescent="0.3">
      <c r="A229" s="1">
        <v>44973</v>
      </c>
      <c r="B229" t="s">
        <v>23</v>
      </c>
      <c r="C229" t="s">
        <v>25</v>
      </c>
      <c r="D229" t="s">
        <v>26</v>
      </c>
      <c r="E229">
        <v>17</v>
      </c>
      <c r="F229">
        <v>8468.09</v>
      </c>
      <c r="G229" t="s">
        <v>20</v>
      </c>
      <c r="H229">
        <v>5</v>
      </c>
      <c r="I229">
        <v>1595.71</v>
      </c>
      <c r="J229">
        <v>6872.38</v>
      </c>
      <c r="K229" t="str">
        <f t="shared" si="10"/>
        <v>February</v>
      </c>
      <c r="L229" t="str">
        <f t="shared" si="11"/>
        <v>Q1</v>
      </c>
      <c r="M229">
        <f t="shared" si="9"/>
        <v>2023</v>
      </c>
      <c r="N229" t="s">
        <v>43</v>
      </c>
    </row>
    <row r="230" spans="1:14" ht="14.55" customHeight="1" x14ac:dyDescent="0.3">
      <c r="A230" s="1">
        <v>44825</v>
      </c>
      <c r="B230" t="s">
        <v>9</v>
      </c>
      <c r="C230" t="s">
        <v>10</v>
      </c>
      <c r="D230" t="s">
        <v>28</v>
      </c>
      <c r="E230">
        <v>20</v>
      </c>
      <c r="F230">
        <v>3278.07</v>
      </c>
      <c r="G230" t="s">
        <v>20</v>
      </c>
      <c r="H230">
        <v>5</v>
      </c>
      <c r="I230">
        <v>2068.98</v>
      </c>
      <c r="J230">
        <v>1209.0899999999999</v>
      </c>
      <c r="K230" t="str">
        <f t="shared" si="10"/>
        <v>September</v>
      </c>
      <c r="L230" t="str">
        <f t="shared" si="11"/>
        <v>Q3</v>
      </c>
      <c r="M230">
        <f t="shared" si="9"/>
        <v>2022</v>
      </c>
      <c r="N230" t="s">
        <v>44</v>
      </c>
    </row>
    <row r="231" spans="1:14" ht="14.55" customHeight="1" x14ac:dyDescent="0.3">
      <c r="A231" s="1">
        <v>45147</v>
      </c>
      <c r="B231" t="s">
        <v>31</v>
      </c>
      <c r="C231" t="s">
        <v>13</v>
      </c>
      <c r="D231" t="s">
        <v>19</v>
      </c>
      <c r="E231">
        <v>32</v>
      </c>
      <c r="F231">
        <v>13936.06</v>
      </c>
      <c r="G231" t="s">
        <v>20</v>
      </c>
      <c r="H231">
        <v>2</v>
      </c>
      <c r="I231">
        <v>6153.07</v>
      </c>
      <c r="J231">
        <v>7782.99</v>
      </c>
      <c r="K231" t="str">
        <f t="shared" si="10"/>
        <v>August</v>
      </c>
      <c r="L231" t="str">
        <f t="shared" si="11"/>
        <v>Q3</v>
      </c>
      <c r="M231">
        <f t="shared" si="9"/>
        <v>2023</v>
      </c>
      <c r="N231" t="s">
        <v>45</v>
      </c>
    </row>
    <row r="232" spans="1:14" ht="14.55" customHeight="1" x14ac:dyDescent="0.3">
      <c r="A232" s="1">
        <v>44757</v>
      </c>
      <c r="B232" t="s">
        <v>31</v>
      </c>
      <c r="C232" t="s">
        <v>10</v>
      </c>
      <c r="D232" t="s">
        <v>34</v>
      </c>
      <c r="E232">
        <v>23</v>
      </c>
      <c r="F232">
        <v>7548.04</v>
      </c>
      <c r="G232" t="s">
        <v>12</v>
      </c>
      <c r="H232">
        <v>1</v>
      </c>
      <c r="I232">
        <v>145.09</v>
      </c>
      <c r="J232">
        <v>7402.95</v>
      </c>
      <c r="K232" t="str">
        <f t="shared" si="10"/>
        <v>July</v>
      </c>
      <c r="L232" t="str">
        <f t="shared" si="11"/>
        <v>Q3</v>
      </c>
      <c r="M232">
        <f t="shared" si="9"/>
        <v>2022</v>
      </c>
      <c r="N232" t="s">
        <v>44</v>
      </c>
    </row>
    <row r="233" spans="1:14" ht="14.55" customHeight="1" x14ac:dyDescent="0.3">
      <c r="A233" s="1">
        <v>44713</v>
      </c>
      <c r="B233" t="s">
        <v>23</v>
      </c>
      <c r="C233" t="s">
        <v>25</v>
      </c>
      <c r="D233" t="s">
        <v>39</v>
      </c>
      <c r="E233">
        <v>33</v>
      </c>
      <c r="F233">
        <v>5052.33</v>
      </c>
      <c r="G233" t="s">
        <v>12</v>
      </c>
      <c r="H233">
        <v>1</v>
      </c>
      <c r="I233">
        <v>3651.58</v>
      </c>
      <c r="J233">
        <v>1400.75</v>
      </c>
      <c r="K233" t="str">
        <f t="shared" si="10"/>
        <v>June</v>
      </c>
      <c r="L233" t="str">
        <f t="shared" si="11"/>
        <v>Q2</v>
      </c>
      <c r="M233">
        <f t="shared" si="9"/>
        <v>2022</v>
      </c>
      <c r="N233" t="s">
        <v>44</v>
      </c>
    </row>
    <row r="234" spans="1:14" ht="14.55" customHeight="1" x14ac:dyDescent="0.3">
      <c r="A234" s="1">
        <v>45046</v>
      </c>
      <c r="B234" t="s">
        <v>23</v>
      </c>
      <c r="C234" t="s">
        <v>10</v>
      </c>
      <c r="D234" t="s">
        <v>28</v>
      </c>
      <c r="E234">
        <v>7</v>
      </c>
      <c r="F234">
        <v>2911.7</v>
      </c>
      <c r="G234" t="s">
        <v>12</v>
      </c>
      <c r="H234">
        <v>2</v>
      </c>
      <c r="I234">
        <v>1605.03</v>
      </c>
      <c r="J234">
        <v>1306.67</v>
      </c>
      <c r="K234" t="str">
        <f t="shared" si="10"/>
        <v>April</v>
      </c>
      <c r="L234" t="str">
        <f t="shared" si="11"/>
        <v>Q2</v>
      </c>
      <c r="M234">
        <f t="shared" si="9"/>
        <v>2023</v>
      </c>
      <c r="N234" t="s">
        <v>47</v>
      </c>
    </row>
    <row r="235" spans="1:14" ht="14.55" customHeight="1" x14ac:dyDescent="0.3">
      <c r="A235" s="1">
        <v>44898</v>
      </c>
      <c r="B235" t="s">
        <v>9</v>
      </c>
      <c r="C235" t="s">
        <v>10</v>
      </c>
      <c r="D235" t="s">
        <v>28</v>
      </c>
      <c r="E235">
        <v>36</v>
      </c>
      <c r="F235">
        <v>15766.43</v>
      </c>
      <c r="G235" t="s">
        <v>12</v>
      </c>
      <c r="H235">
        <v>3</v>
      </c>
      <c r="I235">
        <v>6354.08</v>
      </c>
      <c r="J235">
        <v>9412.35</v>
      </c>
      <c r="K235" t="str">
        <f t="shared" si="10"/>
        <v>December</v>
      </c>
      <c r="L235" t="str">
        <f t="shared" si="11"/>
        <v>Q4</v>
      </c>
      <c r="M235">
        <f t="shared" si="9"/>
        <v>2022</v>
      </c>
      <c r="N235" t="s">
        <v>45</v>
      </c>
    </row>
    <row r="236" spans="1:14" ht="14.55" customHeight="1" x14ac:dyDescent="0.3">
      <c r="A236" s="1">
        <v>45040</v>
      </c>
      <c r="B236" t="s">
        <v>15</v>
      </c>
      <c r="C236" t="s">
        <v>25</v>
      </c>
      <c r="D236" t="s">
        <v>26</v>
      </c>
      <c r="E236">
        <v>34</v>
      </c>
      <c r="F236">
        <v>13641.95</v>
      </c>
      <c r="G236" t="s">
        <v>20</v>
      </c>
      <c r="H236">
        <v>5</v>
      </c>
      <c r="I236">
        <v>1255.01</v>
      </c>
      <c r="J236">
        <v>12386.94</v>
      </c>
      <c r="K236" t="str">
        <f t="shared" si="10"/>
        <v>April</v>
      </c>
      <c r="L236" t="str">
        <f t="shared" si="11"/>
        <v>Q2</v>
      </c>
      <c r="M236">
        <f t="shared" si="9"/>
        <v>2023</v>
      </c>
      <c r="N236" t="s">
        <v>45</v>
      </c>
    </row>
    <row r="237" spans="1:14" ht="14.55" customHeight="1" x14ac:dyDescent="0.3">
      <c r="A237" s="1">
        <v>44634</v>
      </c>
      <c r="B237" t="s">
        <v>9</v>
      </c>
      <c r="C237" t="s">
        <v>13</v>
      </c>
      <c r="D237" t="s">
        <v>40</v>
      </c>
      <c r="E237">
        <v>48</v>
      </c>
      <c r="F237">
        <v>5674.09</v>
      </c>
      <c r="G237" t="s">
        <v>20</v>
      </c>
      <c r="H237">
        <v>3</v>
      </c>
      <c r="I237">
        <v>462.44</v>
      </c>
      <c r="J237">
        <v>5211.6499999999996</v>
      </c>
      <c r="K237" t="str">
        <f t="shared" si="10"/>
        <v>March</v>
      </c>
      <c r="L237" t="str">
        <f t="shared" si="11"/>
        <v>Q1</v>
      </c>
      <c r="M237">
        <f t="shared" si="9"/>
        <v>2022</v>
      </c>
      <c r="N237" t="s">
        <v>44</v>
      </c>
    </row>
    <row r="238" spans="1:14" ht="14.55" customHeight="1" x14ac:dyDescent="0.3">
      <c r="A238" s="1">
        <v>44747</v>
      </c>
      <c r="B238" t="s">
        <v>23</v>
      </c>
      <c r="C238" t="s">
        <v>21</v>
      </c>
      <c r="D238" t="s">
        <v>22</v>
      </c>
      <c r="E238">
        <v>30</v>
      </c>
      <c r="F238">
        <v>13046.77</v>
      </c>
      <c r="G238" t="s">
        <v>20</v>
      </c>
      <c r="H238">
        <v>5</v>
      </c>
      <c r="I238">
        <v>5820.05</v>
      </c>
      <c r="J238">
        <v>7226.72</v>
      </c>
      <c r="K238" t="str">
        <f t="shared" si="10"/>
        <v>July</v>
      </c>
      <c r="L238" t="str">
        <f t="shared" si="11"/>
        <v>Q3</v>
      </c>
      <c r="M238">
        <f t="shared" si="9"/>
        <v>2022</v>
      </c>
      <c r="N238" t="s">
        <v>44</v>
      </c>
    </row>
    <row r="239" spans="1:14" ht="14.55" customHeight="1" x14ac:dyDescent="0.3">
      <c r="A239" s="1">
        <v>44663</v>
      </c>
      <c r="B239" t="s">
        <v>31</v>
      </c>
      <c r="C239" t="s">
        <v>13</v>
      </c>
      <c r="D239" t="s">
        <v>29</v>
      </c>
      <c r="E239">
        <v>41</v>
      </c>
      <c r="F239">
        <v>8756.34</v>
      </c>
      <c r="G239" t="s">
        <v>20</v>
      </c>
      <c r="H239">
        <v>3</v>
      </c>
      <c r="I239">
        <v>3955.92</v>
      </c>
      <c r="J239">
        <v>4800.42</v>
      </c>
      <c r="K239" t="str">
        <f t="shared" si="10"/>
        <v>April</v>
      </c>
      <c r="L239" t="str">
        <f t="shared" si="11"/>
        <v>Q2</v>
      </c>
      <c r="M239">
        <f t="shared" si="9"/>
        <v>2022</v>
      </c>
      <c r="N239" t="s">
        <v>44</v>
      </c>
    </row>
    <row r="240" spans="1:14" ht="14.55" customHeight="1" x14ac:dyDescent="0.3">
      <c r="A240" s="1">
        <v>45071</v>
      </c>
      <c r="B240" t="s">
        <v>31</v>
      </c>
      <c r="C240" t="s">
        <v>13</v>
      </c>
      <c r="D240" t="s">
        <v>40</v>
      </c>
      <c r="E240">
        <v>4</v>
      </c>
      <c r="F240">
        <v>647.48</v>
      </c>
      <c r="G240" t="s">
        <v>12</v>
      </c>
      <c r="H240">
        <v>1</v>
      </c>
      <c r="I240">
        <v>629.32000000000005</v>
      </c>
      <c r="J240">
        <v>18.16</v>
      </c>
      <c r="K240" t="str">
        <f t="shared" si="10"/>
        <v>May</v>
      </c>
      <c r="L240" t="str">
        <f t="shared" si="11"/>
        <v>Q2</v>
      </c>
      <c r="M240">
        <f t="shared" si="9"/>
        <v>2023</v>
      </c>
      <c r="N240" t="s">
        <v>44</v>
      </c>
    </row>
    <row r="241" spans="1:14" ht="14.55" customHeight="1" x14ac:dyDescent="0.3">
      <c r="A241" s="1">
        <v>45262</v>
      </c>
      <c r="B241" t="s">
        <v>23</v>
      </c>
      <c r="C241" t="s">
        <v>25</v>
      </c>
      <c r="D241" t="s">
        <v>39</v>
      </c>
      <c r="E241">
        <v>27</v>
      </c>
      <c r="F241">
        <v>346.9</v>
      </c>
      <c r="G241" t="s">
        <v>12</v>
      </c>
      <c r="H241">
        <v>3</v>
      </c>
      <c r="I241">
        <v>331.07</v>
      </c>
      <c r="J241">
        <v>15.83</v>
      </c>
      <c r="K241" t="str">
        <f t="shared" si="10"/>
        <v>December</v>
      </c>
      <c r="L241" t="str">
        <f t="shared" si="11"/>
        <v>Q4</v>
      </c>
      <c r="M241">
        <f t="shared" si="9"/>
        <v>2023</v>
      </c>
      <c r="N241" t="s">
        <v>47</v>
      </c>
    </row>
    <row r="242" spans="1:14" ht="14.55" customHeight="1" x14ac:dyDescent="0.3">
      <c r="A242" s="1">
        <v>44576</v>
      </c>
      <c r="B242" t="s">
        <v>31</v>
      </c>
      <c r="C242" t="s">
        <v>25</v>
      </c>
      <c r="D242" t="s">
        <v>38</v>
      </c>
      <c r="E242">
        <v>17</v>
      </c>
      <c r="F242">
        <v>8491.59</v>
      </c>
      <c r="G242" t="s">
        <v>12</v>
      </c>
      <c r="H242">
        <v>3</v>
      </c>
      <c r="I242">
        <v>127.64</v>
      </c>
      <c r="J242">
        <v>8363.9500000000007</v>
      </c>
      <c r="K242" t="str">
        <f t="shared" si="10"/>
        <v>January</v>
      </c>
      <c r="L242" t="str">
        <f t="shared" si="11"/>
        <v>Q1</v>
      </c>
      <c r="M242">
        <f t="shared" si="9"/>
        <v>2022</v>
      </c>
      <c r="N242" t="s">
        <v>44</v>
      </c>
    </row>
    <row r="243" spans="1:14" ht="14.55" customHeight="1" x14ac:dyDescent="0.3">
      <c r="A243" s="1">
        <v>44948</v>
      </c>
      <c r="B243" t="s">
        <v>9</v>
      </c>
      <c r="C243" t="s">
        <v>25</v>
      </c>
      <c r="D243" t="s">
        <v>26</v>
      </c>
      <c r="E243">
        <v>8</v>
      </c>
      <c r="F243">
        <v>747.33</v>
      </c>
      <c r="G243" t="s">
        <v>12</v>
      </c>
      <c r="H243">
        <v>2</v>
      </c>
      <c r="I243">
        <v>772.1</v>
      </c>
      <c r="J243">
        <v>-24.77</v>
      </c>
      <c r="K243" t="str">
        <f t="shared" si="10"/>
        <v>January</v>
      </c>
      <c r="L243" t="str">
        <f t="shared" si="11"/>
        <v>Q1</v>
      </c>
      <c r="M243">
        <f t="shared" si="9"/>
        <v>2023</v>
      </c>
      <c r="N243" t="s">
        <v>47</v>
      </c>
    </row>
    <row r="244" spans="1:14" ht="14.55" customHeight="1" x14ac:dyDescent="0.3">
      <c r="A244" s="1">
        <v>44724</v>
      </c>
      <c r="B244" t="s">
        <v>15</v>
      </c>
      <c r="C244" t="s">
        <v>25</v>
      </c>
      <c r="D244" t="s">
        <v>39</v>
      </c>
      <c r="E244">
        <v>26</v>
      </c>
      <c r="F244">
        <v>8862.4599999999991</v>
      </c>
      <c r="G244" t="s">
        <v>12</v>
      </c>
      <c r="H244">
        <v>4</v>
      </c>
      <c r="I244">
        <v>3538.83</v>
      </c>
      <c r="J244">
        <v>5323.63</v>
      </c>
      <c r="K244" t="str">
        <f t="shared" si="10"/>
        <v>June</v>
      </c>
      <c r="L244" t="str">
        <f t="shared" si="11"/>
        <v>Q2</v>
      </c>
      <c r="M244">
        <f t="shared" si="9"/>
        <v>2022</v>
      </c>
      <c r="N244" t="s">
        <v>44</v>
      </c>
    </row>
    <row r="245" spans="1:14" ht="14.55" customHeight="1" x14ac:dyDescent="0.3">
      <c r="A245" s="1">
        <v>44858</v>
      </c>
      <c r="B245" t="s">
        <v>9</v>
      </c>
      <c r="C245" t="s">
        <v>16</v>
      </c>
      <c r="D245" t="s">
        <v>24</v>
      </c>
      <c r="E245">
        <v>15</v>
      </c>
      <c r="F245">
        <v>4314.74</v>
      </c>
      <c r="G245" t="s">
        <v>20</v>
      </c>
      <c r="H245">
        <v>1</v>
      </c>
      <c r="I245">
        <v>1877.12</v>
      </c>
      <c r="J245">
        <v>2437.62</v>
      </c>
      <c r="K245" t="str">
        <f t="shared" si="10"/>
        <v>October</v>
      </c>
      <c r="L245" t="str">
        <f t="shared" si="11"/>
        <v>Q4</v>
      </c>
      <c r="M245">
        <f t="shared" si="9"/>
        <v>2022</v>
      </c>
      <c r="N245" t="s">
        <v>46</v>
      </c>
    </row>
    <row r="246" spans="1:14" ht="14.55" customHeight="1" x14ac:dyDescent="0.3">
      <c r="A246" s="1">
        <v>45137</v>
      </c>
      <c r="B246" t="s">
        <v>31</v>
      </c>
      <c r="C246" t="s">
        <v>25</v>
      </c>
      <c r="D246" t="s">
        <v>39</v>
      </c>
      <c r="E246">
        <v>49</v>
      </c>
      <c r="F246">
        <v>13083.23</v>
      </c>
      <c r="G246" t="s">
        <v>20</v>
      </c>
      <c r="H246">
        <v>5</v>
      </c>
      <c r="I246">
        <v>10889.27</v>
      </c>
      <c r="J246">
        <v>2193.96</v>
      </c>
      <c r="K246" t="str">
        <f t="shared" si="10"/>
        <v>July</v>
      </c>
      <c r="L246" t="str">
        <f t="shared" si="11"/>
        <v>Q3</v>
      </c>
      <c r="M246">
        <f t="shared" si="9"/>
        <v>2023</v>
      </c>
      <c r="N246" t="s">
        <v>47</v>
      </c>
    </row>
    <row r="247" spans="1:14" ht="14.55" customHeight="1" x14ac:dyDescent="0.3">
      <c r="A247" s="1">
        <v>44911</v>
      </c>
      <c r="B247" t="s">
        <v>23</v>
      </c>
      <c r="C247" t="s">
        <v>16</v>
      </c>
      <c r="D247" t="s">
        <v>24</v>
      </c>
      <c r="E247">
        <v>6</v>
      </c>
      <c r="F247">
        <v>2267.37</v>
      </c>
      <c r="G247" t="s">
        <v>20</v>
      </c>
      <c r="H247">
        <v>4</v>
      </c>
      <c r="I247">
        <v>442.44</v>
      </c>
      <c r="J247">
        <v>1824.93</v>
      </c>
      <c r="K247" t="str">
        <f t="shared" si="10"/>
        <v>December</v>
      </c>
      <c r="L247" t="str">
        <f t="shared" si="11"/>
        <v>Q4</v>
      </c>
      <c r="M247">
        <f t="shared" si="9"/>
        <v>2022</v>
      </c>
      <c r="N247" t="s">
        <v>44</v>
      </c>
    </row>
    <row r="248" spans="1:14" ht="14.55" customHeight="1" x14ac:dyDescent="0.3">
      <c r="A248" s="1">
        <v>45242</v>
      </c>
      <c r="B248" t="s">
        <v>15</v>
      </c>
      <c r="C248" t="s">
        <v>21</v>
      </c>
      <c r="D248" t="s">
        <v>33</v>
      </c>
      <c r="E248">
        <v>33</v>
      </c>
      <c r="F248">
        <v>10853.44</v>
      </c>
      <c r="G248" t="s">
        <v>12</v>
      </c>
      <c r="H248">
        <v>1</v>
      </c>
      <c r="I248">
        <v>2488</v>
      </c>
      <c r="J248">
        <v>8365.44</v>
      </c>
      <c r="K248" t="str">
        <f t="shared" si="10"/>
        <v>November</v>
      </c>
      <c r="L248" t="str">
        <f t="shared" si="11"/>
        <v>Q4</v>
      </c>
      <c r="M248">
        <f t="shared" si="9"/>
        <v>2023</v>
      </c>
      <c r="N248" t="s">
        <v>46</v>
      </c>
    </row>
    <row r="249" spans="1:14" ht="14.55" customHeight="1" x14ac:dyDescent="0.3">
      <c r="A249" s="1">
        <v>44847</v>
      </c>
      <c r="B249" t="s">
        <v>18</v>
      </c>
      <c r="C249" t="s">
        <v>25</v>
      </c>
      <c r="D249" t="s">
        <v>38</v>
      </c>
      <c r="E249">
        <v>29</v>
      </c>
      <c r="F249">
        <v>8416.02</v>
      </c>
      <c r="G249" t="s">
        <v>20</v>
      </c>
      <c r="H249">
        <v>5</v>
      </c>
      <c r="I249">
        <v>425.58</v>
      </c>
      <c r="J249">
        <v>7990.44</v>
      </c>
      <c r="K249" t="str">
        <f t="shared" si="10"/>
        <v>October</v>
      </c>
      <c r="L249" t="str">
        <f t="shared" si="11"/>
        <v>Q4</v>
      </c>
      <c r="M249">
        <f t="shared" si="9"/>
        <v>2022</v>
      </c>
      <c r="N249" t="s">
        <v>45</v>
      </c>
    </row>
    <row r="250" spans="1:14" ht="14.55" customHeight="1" x14ac:dyDescent="0.3">
      <c r="A250" s="1">
        <v>45039</v>
      </c>
      <c r="B250" t="s">
        <v>23</v>
      </c>
      <c r="C250" t="s">
        <v>16</v>
      </c>
      <c r="D250" t="s">
        <v>37</v>
      </c>
      <c r="E250">
        <v>26</v>
      </c>
      <c r="F250">
        <v>2899.92</v>
      </c>
      <c r="G250" t="s">
        <v>12</v>
      </c>
      <c r="H250">
        <v>1</v>
      </c>
      <c r="I250">
        <v>5579.1</v>
      </c>
      <c r="J250">
        <v>-2679.18</v>
      </c>
      <c r="K250" t="str">
        <f t="shared" si="10"/>
        <v>April</v>
      </c>
      <c r="L250" t="str">
        <f t="shared" si="11"/>
        <v>Q2</v>
      </c>
      <c r="M250">
        <f t="shared" si="9"/>
        <v>2023</v>
      </c>
      <c r="N250" t="s">
        <v>44</v>
      </c>
    </row>
    <row r="251" spans="1:14" ht="14.55" customHeight="1" x14ac:dyDescent="0.3">
      <c r="A251" s="1">
        <v>45117</v>
      </c>
      <c r="B251" t="s">
        <v>9</v>
      </c>
      <c r="C251" t="s">
        <v>16</v>
      </c>
      <c r="D251" t="s">
        <v>24</v>
      </c>
      <c r="E251">
        <v>15</v>
      </c>
      <c r="F251">
        <v>1229.82</v>
      </c>
      <c r="G251" t="s">
        <v>20</v>
      </c>
      <c r="H251">
        <v>1</v>
      </c>
      <c r="I251">
        <v>3745.89</v>
      </c>
      <c r="J251">
        <v>-2516.0700000000002</v>
      </c>
      <c r="K251" t="str">
        <f t="shared" si="10"/>
        <v>July</v>
      </c>
      <c r="L251" t="str">
        <f t="shared" si="11"/>
        <v>Q3</v>
      </c>
      <c r="M251">
        <f t="shared" si="9"/>
        <v>2023</v>
      </c>
      <c r="N251" t="s">
        <v>46</v>
      </c>
    </row>
    <row r="252" spans="1:14" ht="14.55" customHeight="1" x14ac:dyDescent="0.3">
      <c r="A252" s="1">
        <v>45100</v>
      </c>
      <c r="B252" t="s">
        <v>31</v>
      </c>
      <c r="C252" t="s">
        <v>10</v>
      </c>
      <c r="D252" t="s">
        <v>35</v>
      </c>
      <c r="E252">
        <v>17</v>
      </c>
      <c r="F252">
        <v>2939.89</v>
      </c>
      <c r="G252" t="s">
        <v>20</v>
      </c>
      <c r="H252">
        <v>5</v>
      </c>
      <c r="I252">
        <v>2282.96</v>
      </c>
      <c r="J252">
        <v>656.93</v>
      </c>
      <c r="K252" t="str">
        <f t="shared" si="10"/>
        <v>June</v>
      </c>
      <c r="L252" t="str">
        <f t="shared" si="11"/>
        <v>Q2</v>
      </c>
      <c r="M252">
        <f t="shared" si="9"/>
        <v>2023</v>
      </c>
      <c r="N252" t="s">
        <v>44</v>
      </c>
    </row>
    <row r="253" spans="1:14" ht="14.55" customHeight="1" x14ac:dyDescent="0.3">
      <c r="A253" s="1">
        <v>44929</v>
      </c>
      <c r="B253" t="s">
        <v>15</v>
      </c>
      <c r="C253" t="s">
        <v>16</v>
      </c>
      <c r="D253" t="s">
        <v>24</v>
      </c>
      <c r="E253">
        <v>50</v>
      </c>
      <c r="F253">
        <v>2569.27</v>
      </c>
      <c r="G253" t="s">
        <v>20</v>
      </c>
      <c r="H253">
        <v>4</v>
      </c>
      <c r="I253">
        <v>2016.47</v>
      </c>
      <c r="J253">
        <v>552.79999999999995</v>
      </c>
      <c r="K253" t="str">
        <f t="shared" si="10"/>
        <v>January</v>
      </c>
      <c r="L253" t="str">
        <f t="shared" si="11"/>
        <v>Q1</v>
      </c>
      <c r="M253">
        <f t="shared" si="9"/>
        <v>2023</v>
      </c>
      <c r="N253" t="s">
        <v>47</v>
      </c>
    </row>
    <row r="254" spans="1:14" ht="14.55" customHeight="1" x14ac:dyDescent="0.3">
      <c r="A254" s="1">
        <v>44777</v>
      </c>
      <c r="B254" t="s">
        <v>23</v>
      </c>
      <c r="C254" t="s">
        <v>13</v>
      </c>
      <c r="D254" t="s">
        <v>19</v>
      </c>
      <c r="E254">
        <v>47</v>
      </c>
      <c r="F254">
        <v>17878.88</v>
      </c>
      <c r="G254" t="s">
        <v>20</v>
      </c>
      <c r="H254">
        <v>4</v>
      </c>
      <c r="I254">
        <v>4121.26</v>
      </c>
      <c r="J254">
        <v>13757.62</v>
      </c>
      <c r="K254" t="str">
        <f t="shared" si="10"/>
        <v>August</v>
      </c>
      <c r="L254" t="str">
        <f t="shared" si="11"/>
        <v>Q3</v>
      </c>
      <c r="M254">
        <f t="shared" si="9"/>
        <v>2022</v>
      </c>
      <c r="N254" t="s">
        <v>44</v>
      </c>
    </row>
    <row r="255" spans="1:14" ht="14.55" customHeight="1" x14ac:dyDescent="0.3">
      <c r="A255" s="1">
        <v>45266</v>
      </c>
      <c r="B255" t="s">
        <v>31</v>
      </c>
      <c r="C255" t="s">
        <v>13</v>
      </c>
      <c r="D255" t="s">
        <v>29</v>
      </c>
      <c r="E255">
        <v>3</v>
      </c>
      <c r="F255">
        <v>303.24</v>
      </c>
      <c r="G255" t="s">
        <v>20</v>
      </c>
      <c r="H255">
        <v>5</v>
      </c>
      <c r="I255">
        <v>594.44000000000005</v>
      </c>
      <c r="J255">
        <v>-291.2</v>
      </c>
      <c r="K255" t="str">
        <f t="shared" si="10"/>
        <v>December</v>
      </c>
      <c r="L255" t="str">
        <f t="shared" si="11"/>
        <v>Q4</v>
      </c>
      <c r="M255">
        <f t="shared" si="9"/>
        <v>2023</v>
      </c>
      <c r="N255" t="s">
        <v>45</v>
      </c>
    </row>
    <row r="256" spans="1:14" ht="14.55" customHeight="1" x14ac:dyDescent="0.3">
      <c r="A256" s="1">
        <v>44986</v>
      </c>
      <c r="B256" t="s">
        <v>18</v>
      </c>
      <c r="C256" t="s">
        <v>16</v>
      </c>
      <c r="D256" t="s">
        <v>27</v>
      </c>
      <c r="E256">
        <v>39</v>
      </c>
      <c r="F256">
        <v>14894.34</v>
      </c>
      <c r="G256" t="s">
        <v>12</v>
      </c>
      <c r="H256">
        <v>1</v>
      </c>
      <c r="I256">
        <v>4325.66</v>
      </c>
      <c r="J256">
        <v>10568.68</v>
      </c>
      <c r="K256" t="str">
        <f t="shared" si="10"/>
        <v>March</v>
      </c>
      <c r="L256" t="str">
        <f t="shared" si="11"/>
        <v>Q1</v>
      </c>
      <c r="M256">
        <f t="shared" si="9"/>
        <v>2023</v>
      </c>
      <c r="N256" t="s">
        <v>44</v>
      </c>
    </row>
    <row r="257" spans="1:14" ht="14.55" customHeight="1" x14ac:dyDescent="0.3">
      <c r="A257" s="1">
        <v>44751</v>
      </c>
      <c r="B257" t="s">
        <v>9</v>
      </c>
      <c r="C257" t="s">
        <v>25</v>
      </c>
      <c r="D257" t="s">
        <v>26</v>
      </c>
      <c r="E257">
        <v>36</v>
      </c>
      <c r="F257">
        <v>1043.08</v>
      </c>
      <c r="G257" t="s">
        <v>20</v>
      </c>
      <c r="H257">
        <v>3</v>
      </c>
      <c r="I257">
        <v>5500.54</v>
      </c>
      <c r="J257">
        <v>-4457.46</v>
      </c>
      <c r="K257" t="str">
        <f t="shared" si="10"/>
        <v>July</v>
      </c>
      <c r="L257" t="str">
        <f t="shared" si="11"/>
        <v>Q3</v>
      </c>
      <c r="M257">
        <f t="shared" si="9"/>
        <v>2022</v>
      </c>
      <c r="N257" t="s">
        <v>47</v>
      </c>
    </row>
    <row r="258" spans="1:14" ht="14.55" customHeight="1" x14ac:dyDescent="0.3">
      <c r="A258" s="1">
        <v>44738</v>
      </c>
      <c r="B258" t="s">
        <v>23</v>
      </c>
      <c r="C258" t="s">
        <v>21</v>
      </c>
      <c r="D258" t="s">
        <v>22</v>
      </c>
      <c r="E258">
        <v>2</v>
      </c>
      <c r="F258">
        <v>850.26</v>
      </c>
      <c r="G258" t="s">
        <v>20</v>
      </c>
      <c r="H258">
        <v>3</v>
      </c>
      <c r="I258">
        <v>140.12</v>
      </c>
      <c r="J258">
        <v>710.14</v>
      </c>
      <c r="K258" t="str">
        <f t="shared" si="10"/>
        <v>June</v>
      </c>
      <c r="L258" t="str">
        <f t="shared" si="11"/>
        <v>Q2</v>
      </c>
      <c r="M258">
        <f t="shared" ref="M258:M321" si="12">YEAR(A258)</f>
        <v>2022</v>
      </c>
      <c r="N258" t="s">
        <v>46</v>
      </c>
    </row>
    <row r="259" spans="1:14" ht="14.55" customHeight="1" x14ac:dyDescent="0.3">
      <c r="A259" s="1">
        <v>44785</v>
      </c>
      <c r="B259" t="s">
        <v>15</v>
      </c>
      <c r="C259" t="s">
        <v>13</v>
      </c>
      <c r="D259" t="s">
        <v>14</v>
      </c>
      <c r="E259">
        <v>37</v>
      </c>
      <c r="F259">
        <v>15779.46</v>
      </c>
      <c r="G259" t="s">
        <v>20</v>
      </c>
      <c r="H259">
        <v>3</v>
      </c>
      <c r="I259">
        <v>7818.26</v>
      </c>
      <c r="J259">
        <v>7961.2</v>
      </c>
      <c r="K259" t="str">
        <f t="shared" ref="K259:K322" si="13">TEXT(A259,"mmmm")</f>
        <v>August</v>
      </c>
      <c r="L259" t="str">
        <f t="shared" ref="L259:L322" si="14">"Q"&amp;INT((MONTH(A259)-1)/3)+1</f>
        <v>Q3</v>
      </c>
      <c r="M259">
        <f t="shared" si="12"/>
        <v>2022</v>
      </c>
      <c r="N259" t="s">
        <v>45</v>
      </c>
    </row>
    <row r="260" spans="1:14" ht="14.55" customHeight="1" x14ac:dyDescent="0.3">
      <c r="A260" s="1">
        <v>44643</v>
      </c>
      <c r="B260" t="s">
        <v>15</v>
      </c>
      <c r="C260" t="s">
        <v>13</v>
      </c>
      <c r="D260" t="s">
        <v>40</v>
      </c>
      <c r="E260">
        <v>13</v>
      </c>
      <c r="F260">
        <v>1460.26</v>
      </c>
      <c r="G260" t="s">
        <v>20</v>
      </c>
      <c r="H260">
        <v>3</v>
      </c>
      <c r="I260">
        <v>1134.8699999999999</v>
      </c>
      <c r="J260">
        <v>325.39</v>
      </c>
      <c r="K260" t="str">
        <f t="shared" si="13"/>
        <v>March</v>
      </c>
      <c r="L260" t="str">
        <f t="shared" si="14"/>
        <v>Q1</v>
      </c>
      <c r="M260">
        <f t="shared" si="12"/>
        <v>2022</v>
      </c>
      <c r="N260" t="s">
        <v>44</v>
      </c>
    </row>
    <row r="261" spans="1:14" ht="14.55" customHeight="1" x14ac:dyDescent="0.3">
      <c r="A261" s="1">
        <v>44860</v>
      </c>
      <c r="B261" t="s">
        <v>18</v>
      </c>
      <c r="C261" t="s">
        <v>25</v>
      </c>
      <c r="D261" t="s">
        <v>30</v>
      </c>
      <c r="E261">
        <v>43</v>
      </c>
      <c r="F261">
        <v>3927.93</v>
      </c>
      <c r="G261" t="s">
        <v>20</v>
      </c>
      <c r="H261">
        <v>5</v>
      </c>
      <c r="I261">
        <v>7391.29</v>
      </c>
      <c r="J261">
        <v>-3463.36</v>
      </c>
      <c r="K261" t="str">
        <f t="shared" si="13"/>
        <v>October</v>
      </c>
      <c r="L261" t="str">
        <f t="shared" si="14"/>
        <v>Q4</v>
      </c>
      <c r="M261">
        <f t="shared" si="12"/>
        <v>2022</v>
      </c>
      <c r="N261" t="s">
        <v>45</v>
      </c>
    </row>
    <row r="262" spans="1:14" ht="14.55" customHeight="1" x14ac:dyDescent="0.3">
      <c r="A262" s="1">
        <v>44788</v>
      </c>
      <c r="B262" t="s">
        <v>31</v>
      </c>
      <c r="C262" t="s">
        <v>10</v>
      </c>
      <c r="D262" t="s">
        <v>28</v>
      </c>
      <c r="E262">
        <v>49</v>
      </c>
      <c r="F262">
        <v>4671.83</v>
      </c>
      <c r="G262" t="s">
        <v>12</v>
      </c>
      <c r="H262">
        <v>4</v>
      </c>
      <c r="I262">
        <v>4134.78</v>
      </c>
      <c r="J262">
        <v>537.04999999999995</v>
      </c>
      <c r="K262" t="str">
        <f t="shared" si="13"/>
        <v>August</v>
      </c>
      <c r="L262" t="str">
        <f t="shared" si="14"/>
        <v>Q3</v>
      </c>
      <c r="M262">
        <f t="shared" si="12"/>
        <v>2022</v>
      </c>
      <c r="N262" t="s">
        <v>44</v>
      </c>
    </row>
    <row r="263" spans="1:14" ht="14.55" customHeight="1" x14ac:dyDescent="0.3">
      <c r="A263" s="1">
        <v>45088</v>
      </c>
      <c r="B263" t="s">
        <v>23</v>
      </c>
      <c r="C263" t="s">
        <v>25</v>
      </c>
      <c r="D263" t="s">
        <v>26</v>
      </c>
      <c r="E263">
        <v>9</v>
      </c>
      <c r="F263">
        <v>3329.25</v>
      </c>
      <c r="G263" t="s">
        <v>12</v>
      </c>
      <c r="H263">
        <v>5</v>
      </c>
      <c r="I263">
        <v>1289.75</v>
      </c>
      <c r="J263">
        <v>2039.5</v>
      </c>
      <c r="K263" t="str">
        <f t="shared" si="13"/>
        <v>June</v>
      </c>
      <c r="L263" t="str">
        <f t="shared" si="14"/>
        <v>Q2</v>
      </c>
      <c r="M263">
        <f t="shared" si="12"/>
        <v>2023</v>
      </c>
      <c r="N263" t="s">
        <v>45</v>
      </c>
    </row>
    <row r="264" spans="1:14" ht="14.55" customHeight="1" x14ac:dyDescent="0.3">
      <c r="A264" s="1">
        <v>45052</v>
      </c>
      <c r="B264" t="s">
        <v>15</v>
      </c>
      <c r="C264" t="s">
        <v>13</v>
      </c>
      <c r="D264" t="s">
        <v>40</v>
      </c>
      <c r="E264">
        <v>7</v>
      </c>
      <c r="F264">
        <v>554.71</v>
      </c>
      <c r="G264" t="s">
        <v>12</v>
      </c>
      <c r="H264">
        <v>5</v>
      </c>
      <c r="I264">
        <v>1671.55</v>
      </c>
      <c r="J264">
        <v>-1116.8399999999999</v>
      </c>
      <c r="K264" t="str">
        <f t="shared" si="13"/>
        <v>May</v>
      </c>
      <c r="L264" t="str">
        <f t="shared" si="14"/>
        <v>Q2</v>
      </c>
      <c r="M264">
        <f t="shared" si="12"/>
        <v>2023</v>
      </c>
      <c r="N264" t="s">
        <v>43</v>
      </c>
    </row>
    <row r="265" spans="1:14" ht="14.55" customHeight="1" x14ac:dyDescent="0.3">
      <c r="A265" s="1">
        <v>44801</v>
      </c>
      <c r="B265" t="s">
        <v>23</v>
      </c>
      <c r="C265" t="s">
        <v>25</v>
      </c>
      <c r="D265" t="s">
        <v>38</v>
      </c>
      <c r="E265">
        <v>10</v>
      </c>
      <c r="F265">
        <v>2086.4</v>
      </c>
      <c r="G265" t="s">
        <v>20</v>
      </c>
      <c r="H265">
        <v>3</v>
      </c>
      <c r="I265">
        <v>909.9</v>
      </c>
      <c r="J265">
        <v>1176.5</v>
      </c>
      <c r="K265" t="str">
        <f t="shared" si="13"/>
        <v>August</v>
      </c>
      <c r="L265" t="str">
        <f t="shared" si="14"/>
        <v>Q3</v>
      </c>
      <c r="M265">
        <f t="shared" si="12"/>
        <v>2022</v>
      </c>
      <c r="N265" t="s">
        <v>44</v>
      </c>
    </row>
    <row r="266" spans="1:14" ht="14.55" customHeight="1" x14ac:dyDescent="0.3">
      <c r="A266" s="1">
        <v>45124</v>
      </c>
      <c r="B266" t="s">
        <v>31</v>
      </c>
      <c r="C266" t="s">
        <v>10</v>
      </c>
      <c r="D266" t="s">
        <v>35</v>
      </c>
      <c r="E266">
        <v>21</v>
      </c>
      <c r="F266">
        <v>1878.05</v>
      </c>
      <c r="G266" t="s">
        <v>20</v>
      </c>
      <c r="H266">
        <v>5</v>
      </c>
      <c r="I266">
        <v>1726.37</v>
      </c>
      <c r="J266">
        <v>151.68</v>
      </c>
      <c r="K266" t="str">
        <f t="shared" si="13"/>
        <v>July</v>
      </c>
      <c r="L266" t="str">
        <f t="shared" si="14"/>
        <v>Q3</v>
      </c>
      <c r="M266">
        <f t="shared" si="12"/>
        <v>2023</v>
      </c>
      <c r="N266" t="s">
        <v>44</v>
      </c>
    </row>
    <row r="267" spans="1:14" ht="14.55" customHeight="1" x14ac:dyDescent="0.3">
      <c r="A267" s="1">
        <v>45104</v>
      </c>
      <c r="B267" t="s">
        <v>31</v>
      </c>
      <c r="C267" t="s">
        <v>16</v>
      </c>
      <c r="D267" t="s">
        <v>37</v>
      </c>
      <c r="E267">
        <v>14</v>
      </c>
      <c r="F267">
        <v>6674.26</v>
      </c>
      <c r="G267" t="s">
        <v>20</v>
      </c>
      <c r="H267">
        <v>5</v>
      </c>
      <c r="I267">
        <v>1188.46</v>
      </c>
      <c r="J267">
        <v>5485.8</v>
      </c>
      <c r="K267" t="str">
        <f t="shared" si="13"/>
        <v>June</v>
      </c>
      <c r="L267" t="str">
        <f t="shared" si="14"/>
        <v>Q2</v>
      </c>
      <c r="M267">
        <f t="shared" si="12"/>
        <v>2023</v>
      </c>
      <c r="N267" t="s">
        <v>45</v>
      </c>
    </row>
    <row r="268" spans="1:14" ht="14.55" customHeight="1" x14ac:dyDescent="0.3">
      <c r="A268" s="1">
        <v>44890</v>
      </c>
      <c r="B268" t="s">
        <v>18</v>
      </c>
      <c r="C268" t="s">
        <v>25</v>
      </c>
      <c r="D268" t="s">
        <v>38</v>
      </c>
      <c r="E268">
        <v>48</v>
      </c>
      <c r="F268">
        <v>21935.279999999999</v>
      </c>
      <c r="G268" t="s">
        <v>20</v>
      </c>
      <c r="H268">
        <v>2</v>
      </c>
      <c r="I268">
        <v>3556.47</v>
      </c>
      <c r="J268">
        <v>18378.810000000001</v>
      </c>
      <c r="K268" t="str">
        <f t="shared" si="13"/>
        <v>November</v>
      </c>
      <c r="L268" t="str">
        <f t="shared" si="14"/>
        <v>Q4</v>
      </c>
      <c r="M268">
        <f t="shared" si="12"/>
        <v>2022</v>
      </c>
      <c r="N268" t="s">
        <v>44</v>
      </c>
    </row>
    <row r="269" spans="1:14" ht="14.55" customHeight="1" x14ac:dyDescent="0.3">
      <c r="A269" s="1">
        <v>44657</v>
      </c>
      <c r="B269" t="s">
        <v>18</v>
      </c>
      <c r="C269" t="s">
        <v>16</v>
      </c>
      <c r="D269" t="s">
        <v>37</v>
      </c>
      <c r="E269">
        <v>24</v>
      </c>
      <c r="F269">
        <v>2357.9899999999998</v>
      </c>
      <c r="G269" t="s">
        <v>12</v>
      </c>
      <c r="H269">
        <v>5</v>
      </c>
      <c r="I269">
        <v>5622.46</v>
      </c>
      <c r="J269">
        <v>-3264.47</v>
      </c>
      <c r="K269" t="str">
        <f t="shared" si="13"/>
        <v>April</v>
      </c>
      <c r="L269" t="str">
        <f t="shared" si="14"/>
        <v>Q2</v>
      </c>
      <c r="M269">
        <f t="shared" si="12"/>
        <v>2022</v>
      </c>
      <c r="N269" t="s">
        <v>44</v>
      </c>
    </row>
    <row r="270" spans="1:14" ht="14.55" customHeight="1" x14ac:dyDescent="0.3">
      <c r="A270" s="1">
        <v>45069</v>
      </c>
      <c r="B270" t="s">
        <v>18</v>
      </c>
      <c r="C270" t="s">
        <v>25</v>
      </c>
      <c r="D270" t="s">
        <v>39</v>
      </c>
      <c r="E270">
        <v>37</v>
      </c>
      <c r="F270">
        <v>13226</v>
      </c>
      <c r="G270" t="s">
        <v>12</v>
      </c>
      <c r="H270">
        <v>4</v>
      </c>
      <c r="I270">
        <v>1490.38</v>
      </c>
      <c r="J270">
        <v>11735.62</v>
      </c>
      <c r="K270" t="str">
        <f t="shared" si="13"/>
        <v>May</v>
      </c>
      <c r="L270" t="str">
        <f t="shared" si="14"/>
        <v>Q2</v>
      </c>
      <c r="M270">
        <f t="shared" si="12"/>
        <v>2023</v>
      </c>
      <c r="N270" t="s">
        <v>43</v>
      </c>
    </row>
    <row r="271" spans="1:14" ht="14.55" customHeight="1" x14ac:dyDescent="0.3">
      <c r="A271" s="1">
        <v>45272</v>
      </c>
      <c r="B271" t="s">
        <v>18</v>
      </c>
      <c r="C271" t="s">
        <v>25</v>
      </c>
      <c r="D271" t="s">
        <v>39</v>
      </c>
      <c r="E271">
        <v>38</v>
      </c>
      <c r="F271">
        <v>3645.81</v>
      </c>
      <c r="G271" t="s">
        <v>20</v>
      </c>
      <c r="H271">
        <v>2</v>
      </c>
      <c r="I271">
        <v>8162.51</v>
      </c>
      <c r="J271">
        <v>-4516.7</v>
      </c>
      <c r="K271" t="str">
        <f t="shared" si="13"/>
        <v>December</v>
      </c>
      <c r="L271" t="str">
        <f t="shared" si="14"/>
        <v>Q4</v>
      </c>
      <c r="M271">
        <f t="shared" si="12"/>
        <v>2023</v>
      </c>
      <c r="N271" t="s">
        <v>44</v>
      </c>
    </row>
    <row r="272" spans="1:14" ht="14.55" customHeight="1" x14ac:dyDescent="0.3">
      <c r="A272" s="1">
        <v>45193</v>
      </c>
      <c r="B272" t="s">
        <v>9</v>
      </c>
      <c r="C272" t="s">
        <v>21</v>
      </c>
      <c r="D272" t="s">
        <v>22</v>
      </c>
      <c r="E272">
        <v>26</v>
      </c>
      <c r="F272">
        <v>5334.75</v>
      </c>
      <c r="G272" t="s">
        <v>20</v>
      </c>
      <c r="H272">
        <v>4</v>
      </c>
      <c r="I272">
        <v>4418.22</v>
      </c>
      <c r="J272">
        <v>916.53</v>
      </c>
      <c r="K272" t="str">
        <f t="shared" si="13"/>
        <v>September</v>
      </c>
      <c r="L272" t="str">
        <f t="shared" si="14"/>
        <v>Q3</v>
      </c>
      <c r="M272">
        <f t="shared" si="12"/>
        <v>2023</v>
      </c>
      <c r="N272" t="s">
        <v>45</v>
      </c>
    </row>
    <row r="273" spans="1:14" ht="14.55" customHeight="1" x14ac:dyDescent="0.3">
      <c r="A273" s="1">
        <v>45022</v>
      </c>
      <c r="B273" t="s">
        <v>31</v>
      </c>
      <c r="C273" t="s">
        <v>13</v>
      </c>
      <c r="D273" t="s">
        <v>29</v>
      </c>
      <c r="E273">
        <v>44</v>
      </c>
      <c r="F273">
        <v>11811.55</v>
      </c>
      <c r="G273" t="s">
        <v>20</v>
      </c>
      <c r="H273">
        <v>1</v>
      </c>
      <c r="I273">
        <v>9947.85</v>
      </c>
      <c r="J273">
        <v>1863.7</v>
      </c>
      <c r="K273" t="str">
        <f t="shared" si="13"/>
        <v>April</v>
      </c>
      <c r="L273" t="str">
        <f t="shared" si="14"/>
        <v>Q2</v>
      </c>
      <c r="M273">
        <f t="shared" si="12"/>
        <v>2023</v>
      </c>
      <c r="N273" t="s">
        <v>43</v>
      </c>
    </row>
    <row r="274" spans="1:14" ht="14.55" customHeight="1" x14ac:dyDescent="0.3">
      <c r="A274" s="1">
        <v>44936</v>
      </c>
      <c r="B274" t="s">
        <v>23</v>
      </c>
      <c r="C274" t="s">
        <v>13</v>
      </c>
      <c r="D274" t="s">
        <v>19</v>
      </c>
      <c r="E274">
        <v>31</v>
      </c>
      <c r="F274">
        <v>8585.89</v>
      </c>
      <c r="G274" t="s">
        <v>12</v>
      </c>
      <c r="H274">
        <v>5</v>
      </c>
      <c r="I274">
        <v>6986.6</v>
      </c>
      <c r="J274">
        <v>1599.29</v>
      </c>
      <c r="K274" t="str">
        <f t="shared" si="13"/>
        <v>January</v>
      </c>
      <c r="L274" t="str">
        <f t="shared" si="14"/>
        <v>Q1</v>
      </c>
      <c r="M274">
        <f t="shared" si="12"/>
        <v>2023</v>
      </c>
      <c r="N274" t="s">
        <v>47</v>
      </c>
    </row>
    <row r="275" spans="1:14" ht="14.55" customHeight="1" x14ac:dyDescent="0.3">
      <c r="A275" s="1">
        <v>44837</v>
      </c>
      <c r="B275" t="s">
        <v>15</v>
      </c>
      <c r="C275" t="s">
        <v>16</v>
      </c>
      <c r="D275" t="s">
        <v>24</v>
      </c>
      <c r="E275">
        <v>35</v>
      </c>
      <c r="F275">
        <v>8023.19</v>
      </c>
      <c r="G275" t="s">
        <v>20</v>
      </c>
      <c r="H275">
        <v>5</v>
      </c>
      <c r="I275">
        <v>7966.92</v>
      </c>
      <c r="J275">
        <v>56.27</v>
      </c>
      <c r="K275" t="str">
        <f t="shared" si="13"/>
        <v>October</v>
      </c>
      <c r="L275" t="str">
        <f t="shared" si="14"/>
        <v>Q4</v>
      </c>
      <c r="M275">
        <f t="shared" si="12"/>
        <v>2022</v>
      </c>
      <c r="N275" t="s">
        <v>44</v>
      </c>
    </row>
    <row r="276" spans="1:14" ht="14.55" customHeight="1" x14ac:dyDescent="0.3">
      <c r="A276" s="1">
        <v>45023</v>
      </c>
      <c r="B276" t="s">
        <v>18</v>
      </c>
      <c r="C276" t="s">
        <v>21</v>
      </c>
      <c r="D276" t="s">
        <v>33</v>
      </c>
      <c r="E276">
        <v>45</v>
      </c>
      <c r="F276">
        <v>7222.84</v>
      </c>
      <c r="G276" t="s">
        <v>12</v>
      </c>
      <c r="H276">
        <v>1</v>
      </c>
      <c r="I276">
        <v>7715.95</v>
      </c>
      <c r="J276">
        <v>-493.11</v>
      </c>
      <c r="K276" t="str">
        <f t="shared" si="13"/>
        <v>April</v>
      </c>
      <c r="L276" t="str">
        <f t="shared" si="14"/>
        <v>Q2</v>
      </c>
      <c r="M276">
        <f t="shared" si="12"/>
        <v>2023</v>
      </c>
      <c r="N276" t="s">
        <v>47</v>
      </c>
    </row>
    <row r="277" spans="1:14" ht="14.55" customHeight="1" x14ac:dyDescent="0.3">
      <c r="A277" s="1">
        <v>45118</v>
      </c>
      <c r="B277" t="s">
        <v>31</v>
      </c>
      <c r="C277" t="s">
        <v>10</v>
      </c>
      <c r="D277" t="s">
        <v>28</v>
      </c>
      <c r="E277">
        <v>23</v>
      </c>
      <c r="F277">
        <v>1904.43</v>
      </c>
      <c r="G277" t="s">
        <v>12</v>
      </c>
      <c r="H277">
        <v>5</v>
      </c>
      <c r="I277">
        <v>2690.51</v>
      </c>
      <c r="J277">
        <v>-786.08</v>
      </c>
      <c r="K277" t="str">
        <f t="shared" si="13"/>
        <v>July</v>
      </c>
      <c r="L277" t="str">
        <f t="shared" si="14"/>
        <v>Q3</v>
      </c>
      <c r="M277">
        <f t="shared" si="12"/>
        <v>2023</v>
      </c>
      <c r="N277" t="s">
        <v>45</v>
      </c>
    </row>
    <row r="278" spans="1:14" ht="14.55" customHeight="1" x14ac:dyDescent="0.3">
      <c r="A278" s="1">
        <v>44742</v>
      </c>
      <c r="B278" t="s">
        <v>31</v>
      </c>
      <c r="C278" t="s">
        <v>16</v>
      </c>
      <c r="D278" t="s">
        <v>27</v>
      </c>
      <c r="E278">
        <v>44</v>
      </c>
      <c r="F278">
        <v>19216</v>
      </c>
      <c r="G278" t="s">
        <v>12</v>
      </c>
      <c r="H278">
        <v>5</v>
      </c>
      <c r="I278">
        <v>8936.42</v>
      </c>
      <c r="J278">
        <v>10279.58</v>
      </c>
      <c r="K278" t="str">
        <f t="shared" si="13"/>
        <v>June</v>
      </c>
      <c r="L278" t="str">
        <f t="shared" si="14"/>
        <v>Q2</v>
      </c>
      <c r="M278">
        <f t="shared" si="12"/>
        <v>2022</v>
      </c>
      <c r="N278" t="s">
        <v>47</v>
      </c>
    </row>
    <row r="279" spans="1:14" ht="14.55" customHeight="1" x14ac:dyDescent="0.3">
      <c r="A279" s="1">
        <v>44760</v>
      </c>
      <c r="B279" t="s">
        <v>23</v>
      </c>
      <c r="C279" t="s">
        <v>25</v>
      </c>
      <c r="D279" t="s">
        <v>39</v>
      </c>
      <c r="E279">
        <v>50</v>
      </c>
      <c r="F279">
        <v>19053.34</v>
      </c>
      <c r="G279" t="s">
        <v>20</v>
      </c>
      <c r="H279">
        <v>2</v>
      </c>
      <c r="I279">
        <v>9660.64</v>
      </c>
      <c r="J279">
        <v>9392.7000000000007</v>
      </c>
      <c r="K279" t="str">
        <f t="shared" si="13"/>
        <v>July</v>
      </c>
      <c r="L279" t="str">
        <f t="shared" si="14"/>
        <v>Q3</v>
      </c>
      <c r="M279">
        <f t="shared" si="12"/>
        <v>2022</v>
      </c>
      <c r="N279" t="s">
        <v>45</v>
      </c>
    </row>
    <row r="280" spans="1:14" ht="14.55" customHeight="1" x14ac:dyDescent="0.3">
      <c r="A280" s="1">
        <v>45145</v>
      </c>
      <c r="B280" t="s">
        <v>31</v>
      </c>
      <c r="C280" t="s">
        <v>16</v>
      </c>
      <c r="D280" t="s">
        <v>17</v>
      </c>
      <c r="E280">
        <v>2</v>
      </c>
      <c r="F280">
        <v>418.45</v>
      </c>
      <c r="G280" t="s">
        <v>20</v>
      </c>
      <c r="H280">
        <v>3</v>
      </c>
      <c r="I280">
        <v>335.37</v>
      </c>
      <c r="J280">
        <v>83.08</v>
      </c>
      <c r="K280" t="str">
        <f t="shared" si="13"/>
        <v>August</v>
      </c>
      <c r="L280" t="str">
        <f t="shared" si="14"/>
        <v>Q3</v>
      </c>
      <c r="M280">
        <f t="shared" si="12"/>
        <v>2023</v>
      </c>
      <c r="N280" t="s">
        <v>44</v>
      </c>
    </row>
    <row r="281" spans="1:14" ht="14.55" customHeight="1" x14ac:dyDescent="0.3">
      <c r="A281" s="1">
        <v>44813</v>
      </c>
      <c r="B281" t="s">
        <v>23</v>
      </c>
      <c r="C281" t="s">
        <v>25</v>
      </c>
      <c r="D281" t="s">
        <v>39</v>
      </c>
      <c r="E281">
        <v>18</v>
      </c>
      <c r="F281">
        <v>7786.8</v>
      </c>
      <c r="G281" t="s">
        <v>20</v>
      </c>
      <c r="H281">
        <v>2</v>
      </c>
      <c r="I281">
        <v>2057.9</v>
      </c>
      <c r="J281">
        <v>5728.9</v>
      </c>
      <c r="K281" t="str">
        <f t="shared" si="13"/>
        <v>September</v>
      </c>
      <c r="L281" t="str">
        <f t="shared" si="14"/>
        <v>Q3</v>
      </c>
      <c r="M281">
        <f t="shared" si="12"/>
        <v>2022</v>
      </c>
      <c r="N281" t="s">
        <v>47</v>
      </c>
    </row>
    <row r="282" spans="1:14" ht="14.55" customHeight="1" x14ac:dyDescent="0.3">
      <c r="A282" s="1">
        <v>45229</v>
      </c>
      <c r="B282" t="s">
        <v>18</v>
      </c>
      <c r="C282" t="s">
        <v>21</v>
      </c>
      <c r="D282" t="s">
        <v>36</v>
      </c>
      <c r="E282">
        <v>9</v>
      </c>
      <c r="F282">
        <v>4068.24</v>
      </c>
      <c r="G282" t="s">
        <v>20</v>
      </c>
      <c r="H282">
        <v>4</v>
      </c>
      <c r="I282">
        <v>1709.81</v>
      </c>
      <c r="J282">
        <v>2358.4299999999998</v>
      </c>
      <c r="K282" t="str">
        <f t="shared" si="13"/>
        <v>October</v>
      </c>
      <c r="L282" t="str">
        <f t="shared" si="14"/>
        <v>Q4</v>
      </c>
      <c r="M282">
        <f t="shared" si="12"/>
        <v>2023</v>
      </c>
      <c r="N282" t="s">
        <v>44</v>
      </c>
    </row>
    <row r="283" spans="1:14" ht="14.55" customHeight="1" x14ac:dyDescent="0.3">
      <c r="A283" s="1">
        <v>44774</v>
      </c>
      <c r="B283" t="s">
        <v>18</v>
      </c>
      <c r="C283" t="s">
        <v>21</v>
      </c>
      <c r="D283" t="s">
        <v>33</v>
      </c>
      <c r="E283">
        <v>16</v>
      </c>
      <c r="F283">
        <v>2730.93</v>
      </c>
      <c r="G283" t="s">
        <v>20</v>
      </c>
      <c r="H283">
        <v>2</v>
      </c>
      <c r="I283">
        <v>3724.89</v>
      </c>
      <c r="J283">
        <v>-993.96</v>
      </c>
      <c r="K283" t="str">
        <f t="shared" si="13"/>
        <v>August</v>
      </c>
      <c r="L283" t="str">
        <f t="shared" si="14"/>
        <v>Q3</v>
      </c>
      <c r="M283">
        <f t="shared" si="12"/>
        <v>2022</v>
      </c>
      <c r="N283" t="s">
        <v>47</v>
      </c>
    </row>
    <row r="284" spans="1:14" ht="14.55" customHeight="1" x14ac:dyDescent="0.3">
      <c r="A284" s="1">
        <v>44750</v>
      </c>
      <c r="B284" t="s">
        <v>9</v>
      </c>
      <c r="C284" t="s">
        <v>21</v>
      </c>
      <c r="D284" t="s">
        <v>22</v>
      </c>
      <c r="E284">
        <v>24</v>
      </c>
      <c r="F284">
        <v>9168.01</v>
      </c>
      <c r="G284" t="s">
        <v>20</v>
      </c>
      <c r="H284">
        <v>1</v>
      </c>
      <c r="I284">
        <v>1891.41</v>
      </c>
      <c r="J284">
        <v>7276.6</v>
      </c>
      <c r="K284" t="str">
        <f t="shared" si="13"/>
        <v>July</v>
      </c>
      <c r="L284" t="str">
        <f t="shared" si="14"/>
        <v>Q3</v>
      </c>
      <c r="M284">
        <f t="shared" si="12"/>
        <v>2022</v>
      </c>
      <c r="N284" t="s">
        <v>45</v>
      </c>
    </row>
    <row r="285" spans="1:14" ht="14.55" customHeight="1" x14ac:dyDescent="0.3">
      <c r="A285" s="1">
        <v>44812</v>
      </c>
      <c r="B285" t="s">
        <v>23</v>
      </c>
      <c r="C285" t="s">
        <v>16</v>
      </c>
      <c r="D285" t="s">
        <v>24</v>
      </c>
      <c r="E285">
        <v>26</v>
      </c>
      <c r="F285">
        <v>3155.34</v>
      </c>
      <c r="G285" t="s">
        <v>20</v>
      </c>
      <c r="H285">
        <v>1</v>
      </c>
      <c r="I285">
        <v>636.74</v>
      </c>
      <c r="J285">
        <v>2518.6</v>
      </c>
      <c r="K285" t="str">
        <f t="shared" si="13"/>
        <v>September</v>
      </c>
      <c r="L285" t="str">
        <f t="shared" si="14"/>
        <v>Q3</v>
      </c>
      <c r="M285">
        <f t="shared" si="12"/>
        <v>2022</v>
      </c>
      <c r="N285" t="s">
        <v>45</v>
      </c>
    </row>
    <row r="286" spans="1:14" ht="14.55" customHeight="1" x14ac:dyDescent="0.3">
      <c r="A286" s="1">
        <v>45243</v>
      </c>
      <c r="B286" t="s">
        <v>9</v>
      </c>
      <c r="C286" t="s">
        <v>16</v>
      </c>
      <c r="D286" t="s">
        <v>24</v>
      </c>
      <c r="E286">
        <v>18</v>
      </c>
      <c r="F286">
        <v>4481.79</v>
      </c>
      <c r="G286" t="s">
        <v>20</v>
      </c>
      <c r="H286">
        <v>5</v>
      </c>
      <c r="I286">
        <v>4427.7</v>
      </c>
      <c r="J286">
        <v>54.09</v>
      </c>
      <c r="K286" t="str">
        <f t="shared" si="13"/>
        <v>November</v>
      </c>
      <c r="L286" t="str">
        <f t="shared" si="14"/>
        <v>Q4</v>
      </c>
      <c r="M286">
        <f t="shared" si="12"/>
        <v>2023</v>
      </c>
      <c r="N286" t="s">
        <v>47</v>
      </c>
    </row>
    <row r="287" spans="1:14" ht="14.55" customHeight="1" x14ac:dyDescent="0.3">
      <c r="A287" s="1">
        <v>45020</v>
      </c>
      <c r="B287" t="s">
        <v>23</v>
      </c>
      <c r="C287" t="s">
        <v>25</v>
      </c>
      <c r="D287" t="s">
        <v>30</v>
      </c>
      <c r="E287">
        <v>18</v>
      </c>
      <c r="F287">
        <v>1516.23</v>
      </c>
      <c r="G287" t="s">
        <v>12</v>
      </c>
      <c r="H287">
        <v>4</v>
      </c>
      <c r="I287">
        <v>3548.05</v>
      </c>
      <c r="J287">
        <v>-2031.82</v>
      </c>
      <c r="K287" t="str">
        <f t="shared" si="13"/>
        <v>April</v>
      </c>
      <c r="L287" t="str">
        <f t="shared" si="14"/>
        <v>Q2</v>
      </c>
      <c r="M287">
        <f t="shared" si="12"/>
        <v>2023</v>
      </c>
      <c r="N287" t="s">
        <v>44</v>
      </c>
    </row>
    <row r="288" spans="1:14" ht="14.55" customHeight="1" x14ac:dyDescent="0.3">
      <c r="A288" s="1">
        <v>45033</v>
      </c>
      <c r="B288" t="s">
        <v>31</v>
      </c>
      <c r="C288" t="s">
        <v>16</v>
      </c>
      <c r="D288" t="s">
        <v>17</v>
      </c>
      <c r="E288">
        <v>11</v>
      </c>
      <c r="F288">
        <v>1031.49</v>
      </c>
      <c r="G288" t="s">
        <v>20</v>
      </c>
      <c r="H288">
        <v>3</v>
      </c>
      <c r="I288">
        <v>2022.68</v>
      </c>
      <c r="J288">
        <v>-991.19</v>
      </c>
      <c r="K288" t="str">
        <f t="shared" si="13"/>
        <v>April</v>
      </c>
      <c r="L288" t="str">
        <f t="shared" si="14"/>
        <v>Q2</v>
      </c>
      <c r="M288">
        <f t="shared" si="12"/>
        <v>2023</v>
      </c>
      <c r="N288" t="s">
        <v>45</v>
      </c>
    </row>
    <row r="289" spans="1:14" ht="14.55" customHeight="1" x14ac:dyDescent="0.3">
      <c r="A289" s="1">
        <v>44724</v>
      </c>
      <c r="B289" t="s">
        <v>31</v>
      </c>
      <c r="C289" t="s">
        <v>13</v>
      </c>
      <c r="D289" t="s">
        <v>19</v>
      </c>
      <c r="E289">
        <v>20</v>
      </c>
      <c r="F289">
        <v>9836.4699999999993</v>
      </c>
      <c r="G289" t="s">
        <v>20</v>
      </c>
      <c r="H289">
        <v>5</v>
      </c>
      <c r="I289">
        <v>4058.98</v>
      </c>
      <c r="J289">
        <v>5777.49</v>
      </c>
      <c r="K289" t="str">
        <f t="shared" si="13"/>
        <v>June</v>
      </c>
      <c r="L289" t="str">
        <f t="shared" si="14"/>
        <v>Q2</v>
      </c>
      <c r="M289">
        <f t="shared" si="12"/>
        <v>2022</v>
      </c>
      <c r="N289" t="s">
        <v>45</v>
      </c>
    </row>
    <row r="290" spans="1:14" ht="14.55" customHeight="1" x14ac:dyDescent="0.3">
      <c r="A290" s="1">
        <v>45156</v>
      </c>
      <c r="B290" t="s">
        <v>31</v>
      </c>
      <c r="C290" t="s">
        <v>16</v>
      </c>
      <c r="D290" t="s">
        <v>24</v>
      </c>
      <c r="E290">
        <v>14</v>
      </c>
      <c r="F290">
        <v>5020.7299999999996</v>
      </c>
      <c r="G290" t="s">
        <v>20</v>
      </c>
      <c r="H290">
        <v>3</v>
      </c>
      <c r="I290">
        <v>2851.44</v>
      </c>
      <c r="J290">
        <v>2169.29</v>
      </c>
      <c r="K290" t="str">
        <f t="shared" si="13"/>
        <v>August</v>
      </c>
      <c r="L290" t="str">
        <f t="shared" si="14"/>
        <v>Q3</v>
      </c>
      <c r="M290">
        <f t="shared" si="12"/>
        <v>2023</v>
      </c>
      <c r="N290" t="s">
        <v>45</v>
      </c>
    </row>
    <row r="291" spans="1:14" ht="14.55" customHeight="1" x14ac:dyDescent="0.3">
      <c r="A291" s="1">
        <v>44838</v>
      </c>
      <c r="B291" t="s">
        <v>18</v>
      </c>
      <c r="C291" t="s">
        <v>25</v>
      </c>
      <c r="D291" t="s">
        <v>38</v>
      </c>
      <c r="E291">
        <v>1</v>
      </c>
      <c r="F291">
        <v>197.11</v>
      </c>
      <c r="G291" t="s">
        <v>12</v>
      </c>
      <c r="H291">
        <v>2</v>
      </c>
      <c r="I291">
        <v>145.13999999999999</v>
      </c>
      <c r="J291">
        <v>51.97</v>
      </c>
      <c r="K291" t="str">
        <f t="shared" si="13"/>
        <v>October</v>
      </c>
      <c r="L291" t="str">
        <f t="shared" si="14"/>
        <v>Q4</v>
      </c>
      <c r="M291">
        <f t="shared" si="12"/>
        <v>2022</v>
      </c>
      <c r="N291" t="s">
        <v>44</v>
      </c>
    </row>
    <row r="292" spans="1:14" ht="14.55" customHeight="1" x14ac:dyDescent="0.3">
      <c r="A292" s="1">
        <v>45180</v>
      </c>
      <c r="B292" t="s">
        <v>18</v>
      </c>
      <c r="C292" t="s">
        <v>13</v>
      </c>
      <c r="D292" t="s">
        <v>29</v>
      </c>
      <c r="E292">
        <v>33</v>
      </c>
      <c r="F292">
        <v>13850</v>
      </c>
      <c r="G292" t="s">
        <v>20</v>
      </c>
      <c r="H292">
        <v>4</v>
      </c>
      <c r="I292">
        <v>3825.93</v>
      </c>
      <c r="J292">
        <v>10024.07</v>
      </c>
      <c r="K292" t="str">
        <f t="shared" si="13"/>
        <v>September</v>
      </c>
      <c r="L292" t="str">
        <f t="shared" si="14"/>
        <v>Q3</v>
      </c>
      <c r="M292">
        <f t="shared" si="12"/>
        <v>2023</v>
      </c>
      <c r="N292" t="s">
        <v>43</v>
      </c>
    </row>
    <row r="293" spans="1:14" ht="14.55" customHeight="1" x14ac:dyDescent="0.3">
      <c r="A293" s="1">
        <v>44916</v>
      </c>
      <c r="B293" t="s">
        <v>9</v>
      </c>
      <c r="C293" t="s">
        <v>25</v>
      </c>
      <c r="D293" t="s">
        <v>38</v>
      </c>
      <c r="E293">
        <v>26</v>
      </c>
      <c r="F293">
        <v>2702.1</v>
      </c>
      <c r="G293" t="s">
        <v>20</v>
      </c>
      <c r="H293">
        <v>3</v>
      </c>
      <c r="I293">
        <v>222.85</v>
      </c>
      <c r="J293">
        <v>2479.25</v>
      </c>
      <c r="K293" t="str">
        <f t="shared" si="13"/>
        <v>December</v>
      </c>
      <c r="L293" t="str">
        <f t="shared" si="14"/>
        <v>Q4</v>
      </c>
      <c r="M293">
        <f t="shared" si="12"/>
        <v>2022</v>
      </c>
      <c r="N293" t="s">
        <v>43</v>
      </c>
    </row>
    <row r="294" spans="1:14" ht="14.55" customHeight="1" x14ac:dyDescent="0.3">
      <c r="A294" s="1">
        <v>45265</v>
      </c>
      <c r="B294" t="s">
        <v>18</v>
      </c>
      <c r="C294" t="s">
        <v>21</v>
      </c>
      <c r="D294" t="s">
        <v>32</v>
      </c>
      <c r="E294">
        <v>22</v>
      </c>
      <c r="F294">
        <v>9598.61</v>
      </c>
      <c r="G294" t="s">
        <v>12</v>
      </c>
      <c r="H294">
        <v>5</v>
      </c>
      <c r="I294">
        <v>2074.9</v>
      </c>
      <c r="J294">
        <v>7523.71</v>
      </c>
      <c r="K294" t="str">
        <f t="shared" si="13"/>
        <v>December</v>
      </c>
      <c r="L294" t="str">
        <f t="shared" si="14"/>
        <v>Q4</v>
      </c>
      <c r="M294">
        <f t="shared" si="12"/>
        <v>2023</v>
      </c>
      <c r="N294" t="s">
        <v>47</v>
      </c>
    </row>
    <row r="295" spans="1:14" ht="14.55" customHeight="1" x14ac:dyDescent="0.3">
      <c r="A295" s="1">
        <v>44805</v>
      </c>
      <c r="B295" t="s">
        <v>18</v>
      </c>
      <c r="C295" t="s">
        <v>13</v>
      </c>
      <c r="D295" t="s">
        <v>29</v>
      </c>
      <c r="E295">
        <v>32</v>
      </c>
      <c r="F295">
        <v>12688.15</v>
      </c>
      <c r="G295" t="s">
        <v>20</v>
      </c>
      <c r="H295">
        <v>5</v>
      </c>
      <c r="I295">
        <v>1293.79</v>
      </c>
      <c r="J295">
        <v>11394.36</v>
      </c>
      <c r="K295" t="str">
        <f t="shared" si="13"/>
        <v>September</v>
      </c>
      <c r="L295" t="str">
        <f t="shared" si="14"/>
        <v>Q3</v>
      </c>
      <c r="M295">
        <f t="shared" si="12"/>
        <v>2022</v>
      </c>
      <c r="N295" t="s">
        <v>45</v>
      </c>
    </row>
    <row r="296" spans="1:14" ht="14.55" customHeight="1" x14ac:dyDescent="0.3">
      <c r="A296" s="1">
        <v>44680</v>
      </c>
      <c r="B296" t="s">
        <v>23</v>
      </c>
      <c r="C296" t="s">
        <v>13</v>
      </c>
      <c r="D296" t="s">
        <v>14</v>
      </c>
      <c r="E296">
        <v>44</v>
      </c>
      <c r="F296">
        <v>9189.91</v>
      </c>
      <c r="G296" t="s">
        <v>12</v>
      </c>
      <c r="H296">
        <v>5</v>
      </c>
      <c r="I296">
        <v>9333.82</v>
      </c>
      <c r="J296">
        <v>-143.91</v>
      </c>
      <c r="K296" t="str">
        <f t="shared" si="13"/>
        <v>April</v>
      </c>
      <c r="L296" t="str">
        <f t="shared" si="14"/>
        <v>Q2</v>
      </c>
      <c r="M296">
        <f t="shared" si="12"/>
        <v>2022</v>
      </c>
      <c r="N296" t="s">
        <v>44</v>
      </c>
    </row>
    <row r="297" spans="1:14" ht="14.55" customHeight="1" x14ac:dyDescent="0.3">
      <c r="A297" s="1">
        <v>45271</v>
      </c>
      <c r="B297" t="s">
        <v>23</v>
      </c>
      <c r="C297" t="s">
        <v>21</v>
      </c>
      <c r="D297" t="s">
        <v>22</v>
      </c>
      <c r="E297">
        <v>6</v>
      </c>
      <c r="F297">
        <v>2720.03</v>
      </c>
      <c r="G297" t="s">
        <v>12</v>
      </c>
      <c r="H297">
        <v>4</v>
      </c>
      <c r="I297">
        <v>1430.9</v>
      </c>
      <c r="J297">
        <v>1289.1300000000001</v>
      </c>
      <c r="K297" t="str">
        <f t="shared" si="13"/>
        <v>December</v>
      </c>
      <c r="L297" t="str">
        <f t="shared" si="14"/>
        <v>Q4</v>
      </c>
      <c r="M297">
        <f t="shared" si="12"/>
        <v>2023</v>
      </c>
      <c r="N297" t="s">
        <v>45</v>
      </c>
    </row>
    <row r="298" spans="1:14" ht="14.55" customHeight="1" x14ac:dyDescent="0.3">
      <c r="A298" s="1">
        <v>45243</v>
      </c>
      <c r="B298" t="s">
        <v>9</v>
      </c>
      <c r="C298" t="s">
        <v>13</v>
      </c>
      <c r="D298" t="s">
        <v>29</v>
      </c>
      <c r="E298">
        <v>19</v>
      </c>
      <c r="F298">
        <v>8568.5</v>
      </c>
      <c r="G298" t="s">
        <v>12</v>
      </c>
      <c r="H298">
        <v>1</v>
      </c>
      <c r="I298">
        <v>4351.7</v>
      </c>
      <c r="J298">
        <v>4216.8</v>
      </c>
      <c r="K298" t="str">
        <f t="shared" si="13"/>
        <v>November</v>
      </c>
      <c r="L298" t="str">
        <f t="shared" si="14"/>
        <v>Q4</v>
      </c>
      <c r="M298">
        <f t="shared" si="12"/>
        <v>2023</v>
      </c>
      <c r="N298" t="s">
        <v>44</v>
      </c>
    </row>
    <row r="299" spans="1:14" ht="14.55" customHeight="1" x14ac:dyDescent="0.3">
      <c r="A299" s="1">
        <v>44697</v>
      </c>
      <c r="B299" t="s">
        <v>15</v>
      </c>
      <c r="C299" t="s">
        <v>25</v>
      </c>
      <c r="D299" t="s">
        <v>38</v>
      </c>
      <c r="E299">
        <v>21</v>
      </c>
      <c r="F299">
        <v>523.55999999999995</v>
      </c>
      <c r="G299" t="s">
        <v>20</v>
      </c>
      <c r="H299">
        <v>2</v>
      </c>
      <c r="I299">
        <v>1471.08</v>
      </c>
      <c r="J299">
        <v>-947.52</v>
      </c>
      <c r="K299" t="str">
        <f t="shared" si="13"/>
        <v>May</v>
      </c>
      <c r="L299" t="str">
        <f t="shared" si="14"/>
        <v>Q2</v>
      </c>
      <c r="M299">
        <f t="shared" si="12"/>
        <v>2022</v>
      </c>
      <c r="N299" t="s">
        <v>45</v>
      </c>
    </row>
    <row r="300" spans="1:14" ht="14.55" customHeight="1" x14ac:dyDescent="0.3">
      <c r="A300" s="1">
        <v>44835</v>
      </c>
      <c r="B300" t="s">
        <v>15</v>
      </c>
      <c r="C300" t="s">
        <v>16</v>
      </c>
      <c r="D300" t="s">
        <v>17</v>
      </c>
      <c r="E300">
        <v>3</v>
      </c>
      <c r="F300">
        <v>1170.3</v>
      </c>
      <c r="G300" t="s">
        <v>12</v>
      </c>
      <c r="H300">
        <v>2</v>
      </c>
      <c r="I300">
        <v>352.35</v>
      </c>
      <c r="J300">
        <v>817.95</v>
      </c>
      <c r="K300" t="str">
        <f t="shared" si="13"/>
        <v>October</v>
      </c>
      <c r="L300" t="str">
        <f t="shared" si="14"/>
        <v>Q4</v>
      </c>
      <c r="M300">
        <f t="shared" si="12"/>
        <v>2022</v>
      </c>
      <c r="N300" t="s">
        <v>47</v>
      </c>
    </row>
    <row r="301" spans="1:14" ht="14.55" customHeight="1" x14ac:dyDescent="0.3">
      <c r="A301" s="1">
        <v>44768</v>
      </c>
      <c r="B301" t="s">
        <v>31</v>
      </c>
      <c r="C301" t="s">
        <v>21</v>
      </c>
      <c r="D301" t="s">
        <v>22</v>
      </c>
      <c r="E301">
        <v>19</v>
      </c>
      <c r="F301">
        <v>1497.51</v>
      </c>
      <c r="G301" t="s">
        <v>20</v>
      </c>
      <c r="H301">
        <v>1</v>
      </c>
      <c r="I301">
        <v>1168.73</v>
      </c>
      <c r="J301">
        <v>328.78</v>
      </c>
      <c r="K301" t="str">
        <f t="shared" si="13"/>
        <v>July</v>
      </c>
      <c r="L301" t="str">
        <f t="shared" si="14"/>
        <v>Q3</v>
      </c>
      <c r="M301">
        <f t="shared" si="12"/>
        <v>2022</v>
      </c>
      <c r="N301" t="s">
        <v>44</v>
      </c>
    </row>
    <row r="302" spans="1:14" ht="14.55" customHeight="1" x14ac:dyDescent="0.3">
      <c r="A302" s="1">
        <v>44977</v>
      </c>
      <c r="B302" t="s">
        <v>15</v>
      </c>
      <c r="C302" t="s">
        <v>10</v>
      </c>
      <c r="D302" t="s">
        <v>11</v>
      </c>
      <c r="E302">
        <v>19</v>
      </c>
      <c r="F302">
        <v>8247.2999999999993</v>
      </c>
      <c r="G302" t="s">
        <v>20</v>
      </c>
      <c r="H302">
        <v>4</v>
      </c>
      <c r="I302">
        <v>3156.46</v>
      </c>
      <c r="J302">
        <v>5090.84</v>
      </c>
      <c r="K302" t="str">
        <f t="shared" si="13"/>
        <v>February</v>
      </c>
      <c r="L302" t="str">
        <f t="shared" si="14"/>
        <v>Q1</v>
      </c>
      <c r="M302">
        <f t="shared" si="12"/>
        <v>2023</v>
      </c>
      <c r="N302" t="s">
        <v>43</v>
      </c>
    </row>
    <row r="303" spans="1:14" ht="14.55" customHeight="1" x14ac:dyDescent="0.3">
      <c r="A303" s="1">
        <v>44878</v>
      </c>
      <c r="B303" t="s">
        <v>18</v>
      </c>
      <c r="C303" t="s">
        <v>21</v>
      </c>
      <c r="D303" t="s">
        <v>36</v>
      </c>
      <c r="E303">
        <v>3</v>
      </c>
      <c r="F303">
        <v>95.71</v>
      </c>
      <c r="G303" t="s">
        <v>20</v>
      </c>
      <c r="H303">
        <v>2</v>
      </c>
      <c r="I303">
        <v>339.72</v>
      </c>
      <c r="J303">
        <v>-244.01</v>
      </c>
      <c r="K303" t="str">
        <f t="shared" si="13"/>
        <v>November</v>
      </c>
      <c r="L303" t="str">
        <f t="shared" si="14"/>
        <v>Q4</v>
      </c>
      <c r="M303">
        <f t="shared" si="12"/>
        <v>2022</v>
      </c>
      <c r="N303" t="s">
        <v>47</v>
      </c>
    </row>
    <row r="304" spans="1:14" ht="14.55" customHeight="1" x14ac:dyDescent="0.3">
      <c r="A304" s="1">
        <v>44720</v>
      </c>
      <c r="B304" t="s">
        <v>18</v>
      </c>
      <c r="C304" t="s">
        <v>25</v>
      </c>
      <c r="D304" t="s">
        <v>26</v>
      </c>
      <c r="E304">
        <v>40</v>
      </c>
      <c r="F304">
        <v>15585.86</v>
      </c>
      <c r="G304" t="s">
        <v>20</v>
      </c>
      <c r="H304">
        <v>4</v>
      </c>
      <c r="I304">
        <v>6033.93</v>
      </c>
      <c r="J304">
        <v>9551.93</v>
      </c>
      <c r="K304" t="str">
        <f t="shared" si="13"/>
        <v>June</v>
      </c>
      <c r="L304" t="str">
        <f t="shared" si="14"/>
        <v>Q2</v>
      </c>
      <c r="M304">
        <f t="shared" si="12"/>
        <v>2022</v>
      </c>
      <c r="N304" t="s">
        <v>45</v>
      </c>
    </row>
    <row r="305" spans="1:14" ht="14.55" customHeight="1" x14ac:dyDescent="0.3">
      <c r="A305" s="1">
        <v>44974</v>
      </c>
      <c r="B305" t="s">
        <v>31</v>
      </c>
      <c r="C305" t="s">
        <v>16</v>
      </c>
      <c r="D305" t="s">
        <v>24</v>
      </c>
      <c r="E305">
        <v>32</v>
      </c>
      <c r="F305">
        <v>8007.5</v>
      </c>
      <c r="G305" t="s">
        <v>12</v>
      </c>
      <c r="H305">
        <v>2</v>
      </c>
      <c r="I305">
        <v>2102.2600000000002</v>
      </c>
      <c r="J305">
        <v>5905.24</v>
      </c>
      <c r="K305" t="str">
        <f t="shared" si="13"/>
        <v>February</v>
      </c>
      <c r="L305" t="str">
        <f t="shared" si="14"/>
        <v>Q1</v>
      </c>
      <c r="M305">
        <f t="shared" si="12"/>
        <v>2023</v>
      </c>
      <c r="N305" t="s">
        <v>44</v>
      </c>
    </row>
    <row r="306" spans="1:14" ht="14.55" customHeight="1" x14ac:dyDescent="0.3">
      <c r="A306" s="1">
        <v>45003</v>
      </c>
      <c r="B306" t="s">
        <v>23</v>
      </c>
      <c r="C306" t="s">
        <v>25</v>
      </c>
      <c r="D306" t="s">
        <v>26</v>
      </c>
      <c r="E306">
        <v>31</v>
      </c>
      <c r="F306">
        <v>11394.72</v>
      </c>
      <c r="G306" t="s">
        <v>12</v>
      </c>
      <c r="H306">
        <v>4</v>
      </c>
      <c r="I306">
        <v>5535.31</v>
      </c>
      <c r="J306">
        <v>5859.41</v>
      </c>
      <c r="K306" t="str">
        <f t="shared" si="13"/>
        <v>March</v>
      </c>
      <c r="L306" t="str">
        <f t="shared" si="14"/>
        <v>Q1</v>
      </c>
      <c r="M306">
        <f t="shared" si="12"/>
        <v>2023</v>
      </c>
      <c r="N306" t="s">
        <v>44</v>
      </c>
    </row>
    <row r="307" spans="1:14" ht="14.55" customHeight="1" x14ac:dyDescent="0.3">
      <c r="A307" s="1">
        <v>44749</v>
      </c>
      <c r="B307" t="s">
        <v>18</v>
      </c>
      <c r="C307" t="s">
        <v>16</v>
      </c>
      <c r="D307" t="s">
        <v>17</v>
      </c>
      <c r="E307">
        <v>43</v>
      </c>
      <c r="F307">
        <v>21074.83</v>
      </c>
      <c r="G307" t="s">
        <v>12</v>
      </c>
      <c r="H307">
        <v>2</v>
      </c>
      <c r="I307">
        <v>8337.69</v>
      </c>
      <c r="J307">
        <v>12737.14</v>
      </c>
      <c r="K307" t="str">
        <f t="shared" si="13"/>
        <v>July</v>
      </c>
      <c r="L307" t="str">
        <f t="shared" si="14"/>
        <v>Q3</v>
      </c>
      <c r="M307">
        <f t="shared" si="12"/>
        <v>2022</v>
      </c>
      <c r="N307" t="s">
        <v>43</v>
      </c>
    </row>
    <row r="308" spans="1:14" ht="14.55" customHeight="1" x14ac:dyDescent="0.3">
      <c r="A308" s="1">
        <v>44766</v>
      </c>
      <c r="B308" t="s">
        <v>18</v>
      </c>
      <c r="C308" t="s">
        <v>25</v>
      </c>
      <c r="D308" t="s">
        <v>30</v>
      </c>
      <c r="E308">
        <v>5</v>
      </c>
      <c r="F308">
        <v>1964.61</v>
      </c>
      <c r="G308" t="s">
        <v>20</v>
      </c>
      <c r="H308">
        <v>1</v>
      </c>
      <c r="I308">
        <v>857.05</v>
      </c>
      <c r="J308">
        <v>1107.56</v>
      </c>
      <c r="K308" t="str">
        <f t="shared" si="13"/>
        <v>July</v>
      </c>
      <c r="L308" t="str">
        <f t="shared" si="14"/>
        <v>Q3</v>
      </c>
      <c r="M308">
        <f t="shared" si="12"/>
        <v>2022</v>
      </c>
      <c r="N308" t="s">
        <v>47</v>
      </c>
    </row>
    <row r="309" spans="1:14" ht="14.55" customHeight="1" x14ac:dyDescent="0.3">
      <c r="A309" s="1">
        <v>45026</v>
      </c>
      <c r="B309" t="s">
        <v>23</v>
      </c>
      <c r="C309" t="s">
        <v>25</v>
      </c>
      <c r="D309" t="s">
        <v>26</v>
      </c>
      <c r="E309">
        <v>45</v>
      </c>
      <c r="F309">
        <v>15158.99</v>
      </c>
      <c r="G309" t="s">
        <v>12</v>
      </c>
      <c r="H309">
        <v>1</v>
      </c>
      <c r="I309">
        <v>1994.26</v>
      </c>
      <c r="J309">
        <v>13164.73</v>
      </c>
      <c r="K309" t="str">
        <f t="shared" si="13"/>
        <v>April</v>
      </c>
      <c r="L309" t="str">
        <f t="shared" si="14"/>
        <v>Q2</v>
      </c>
      <c r="M309">
        <f t="shared" si="12"/>
        <v>2023</v>
      </c>
      <c r="N309" t="s">
        <v>43</v>
      </c>
    </row>
    <row r="310" spans="1:14" ht="14.55" customHeight="1" x14ac:dyDescent="0.3">
      <c r="A310" s="1">
        <v>44776</v>
      </c>
      <c r="B310" t="s">
        <v>31</v>
      </c>
      <c r="C310" t="s">
        <v>13</v>
      </c>
      <c r="D310" t="s">
        <v>14</v>
      </c>
      <c r="E310">
        <v>16</v>
      </c>
      <c r="F310">
        <v>5605.58</v>
      </c>
      <c r="G310" t="s">
        <v>12</v>
      </c>
      <c r="H310">
        <v>3</v>
      </c>
      <c r="I310">
        <v>3507.71</v>
      </c>
      <c r="J310">
        <v>2097.87</v>
      </c>
      <c r="K310" t="str">
        <f t="shared" si="13"/>
        <v>August</v>
      </c>
      <c r="L310" t="str">
        <f t="shared" si="14"/>
        <v>Q3</v>
      </c>
      <c r="M310">
        <f t="shared" si="12"/>
        <v>2022</v>
      </c>
      <c r="N310" t="s">
        <v>44</v>
      </c>
    </row>
    <row r="311" spans="1:14" ht="14.55" customHeight="1" x14ac:dyDescent="0.3">
      <c r="A311" s="1">
        <v>45218</v>
      </c>
      <c r="B311" t="s">
        <v>31</v>
      </c>
      <c r="C311" t="s">
        <v>10</v>
      </c>
      <c r="D311" t="s">
        <v>34</v>
      </c>
      <c r="E311">
        <v>29</v>
      </c>
      <c r="F311">
        <v>2392.39</v>
      </c>
      <c r="G311" t="s">
        <v>12</v>
      </c>
      <c r="H311">
        <v>2</v>
      </c>
      <c r="I311">
        <v>4809.43</v>
      </c>
      <c r="J311">
        <v>-2417.04</v>
      </c>
      <c r="K311" t="str">
        <f t="shared" si="13"/>
        <v>October</v>
      </c>
      <c r="L311" t="str">
        <f t="shared" si="14"/>
        <v>Q4</v>
      </c>
      <c r="M311">
        <f t="shared" si="12"/>
        <v>2023</v>
      </c>
      <c r="N311" t="s">
        <v>44</v>
      </c>
    </row>
    <row r="312" spans="1:14" ht="14.55" customHeight="1" x14ac:dyDescent="0.3">
      <c r="A312" s="1">
        <v>44742</v>
      </c>
      <c r="B312" t="s">
        <v>23</v>
      </c>
      <c r="C312" t="s">
        <v>16</v>
      </c>
      <c r="D312" t="s">
        <v>24</v>
      </c>
      <c r="E312">
        <v>32</v>
      </c>
      <c r="F312">
        <v>8234.39</v>
      </c>
      <c r="G312" t="s">
        <v>12</v>
      </c>
      <c r="H312">
        <v>1</v>
      </c>
      <c r="I312">
        <v>7179.85</v>
      </c>
      <c r="J312">
        <v>1054.54</v>
      </c>
      <c r="K312" t="str">
        <f t="shared" si="13"/>
        <v>June</v>
      </c>
      <c r="L312" t="str">
        <f t="shared" si="14"/>
        <v>Q2</v>
      </c>
      <c r="M312">
        <f t="shared" si="12"/>
        <v>2022</v>
      </c>
      <c r="N312" t="s">
        <v>44</v>
      </c>
    </row>
    <row r="313" spans="1:14" ht="14.55" customHeight="1" x14ac:dyDescent="0.3">
      <c r="A313" s="1">
        <v>44937</v>
      </c>
      <c r="B313" t="s">
        <v>15</v>
      </c>
      <c r="C313" t="s">
        <v>16</v>
      </c>
      <c r="D313" t="s">
        <v>17</v>
      </c>
      <c r="E313">
        <v>8</v>
      </c>
      <c r="F313">
        <v>2810.17</v>
      </c>
      <c r="G313" t="s">
        <v>12</v>
      </c>
      <c r="H313">
        <v>5</v>
      </c>
      <c r="I313">
        <v>1961.92</v>
      </c>
      <c r="J313">
        <v>848.25</v>
      </c>
      <c r="K313" t="str">
        <f t="shared" si="13"/>
        <v>January</v>
      </c>
      <c r="L313" t="str">
        <f t="shared" si="14"/>
        <v>Q1</v>
      </c>
      <c r="M313">
        <f t="shared" si="12"/>
        <v>2023</v>
      </c>
      <c r="N313" t="s">
        <v>44</v>
      </c>
    </row>
    <row r="314" spans="1:14" ht="14.55" customHeight="1" x14ac:dyDescent="0.3">
      <c r="A314" s="1">
        <v>45096</v>
      </c>
      <c r="B314" t="s">
        <v>18</v>
      </c>
      <c r="C314" t="s">
        <v>16</v>
      </c>
      <c r="D314" t="s">
        <v>17</v>
      </c>
      <c r="E314">
        <v>2</v>
      </c>
      <c r="F314">
        <v>786.95</v>
      </c>
      <c r="G314" t="s">
        <v>12</v>
      </c>
      <c r="H314">
        <v>5</v>
      </c>
      <c r="I314">
        <v>210.96</v>
      </c>
      <c r="J314">
        <v>575.99</v>
      </c>
      <c r="K314" t="str">
        <f t="shared" si="13"/>
        <v>June</v>
      </c>
      <c r="L314" t="str">
        <f t="shared" si="14"/>
        <v>Q2</v>
      </c>
      <c r="M314">
        <f t="shared" si="12"/>
        <v>2023</v>
      </c>
      <c r="N314" t="s">
        <v>45</v>
      </c>
    </row>
    <row r="315" spans="1:14" ht="14.55" customHeight="1" x14ac:dyDescent="0.3">
      <c r="A315" s="1">
        <v>45256</v>
      </c>
      <c r="B315" t="s">
        <v>9</v>
      </c>
      <c r="C315" t="s">
        <v>13</v>
      </c>
      <c r="D315" t="s">
        <v>14</v>
      </c>
      <c r="E315">
        <v>41</v>
      </c>
      <c r="F315">
        <v>18261.68</v>
      </c>
      <c r="G315" t="s">
        <v>12</v>
      </c>
      <c r="H315">
        <v>1</v>
      </c>
      <c r="I315">
        <v>8890.18</v>
      </c>
      <c r="J315">
        <v>9371.5</v>
      </c>
      <c r="K315" t="str">
        <f t="shared" si="13"/>
        <v>November</v>
      </c>
      <c r="L315" t="str">
        <f t="shared" si="14"/>
        <v>Q4</v>
      </c>
      <c r="M315">
        <f t="shared" si="12"/>
        <v>2023</v>
      </c>
      <c r="N315" t="s">
        <v>43</v>
      </c>
    </row>
    <row r="316" spans="1:14" ht="14.55" customHeight="1" x14ac:dyDescent="0.3">
      <c r="A316" s="1">
        <v>44845</v>
      </c>
      <c r="B316" t="s">
        <v>15</v>
      </c>
      <c r="C316" t="s">
        <v>25</v>
      </c>
      <c r="D316" t="s">
        <v>30</v>
      </c>
      <c r="E316">
        <v>2</v>
      </c>
      <c r="F316">
        <v>331.27</v>
      </c>
      <c r="G316" t="s">
        <v>12</v>
      </c>
      <c r="H316">
        <v>2</v>
      </c>
      <c r="I316">
        <v>90.12</v>
      </c>
      <c r="J316">
        <v>241.15</v>
      </c>
      <c r="K316" t="str">
        <f t="shared" si="13"/>
        <v>October</v>
      </c>
      <c r="L316" t="str">
        <f t="shared" si="14"/>
        <v>Q4</v>
      </c>
      <c r="M316">
        <f t="shared" si="12"/>
        <v>2022</v>
      </c>
      <c r="N316" t="s">
        <v>43</v>
      </c>
    </row>
    <row r="317" spans="1:14" ht="14.55" customHeight="1" x14ac:dyDescent="0.3">
      <c r="A317" s="1">
        <v>44617</v>
      </c>
      <c r="B317" t="s">
        <v>23</v>
      </c>
      <c r="C317" t="s">
        <v>25</v>
      </c>
      <c r="D317" t="s">
        <v>39</v>
      </c>
      <c r="E317">
        <v>29</v>
      </c>
      <c r="F317">
        <v>920.67</v>
      </c>
      <c r="G317" t="s">
        <v>20</v>
      </c>
      <c r="H317">
        <v>4</v>
      </c>
      <c r="I317">
        <v>5162.49</v>
      </c>
      <c r="J317">
        <v>-4241.82</v>
      </c>
      <c r="K317" t="str">
        <f t="shared" si="13"/>
        <v>February</v>
      </c>
      <c r="L317" t="str">
        <f t="shared" si="14"/>
        <v>Q1</v>
      </c>
      <c r="M317">
        <f t="shared" si="12"/>
        <v>2022</v>
      </c>
      <c r="N317" t="s">
        <v>44</v>
      </c>
    </row>
    <row r="318" spans="1:14" ht="14.55" customHeight="1" x14ac:dyDescent="0.3">
      <c r="A318" s="1">
        <v>44574</v>
      </c>
      <c r="B318" t="s">
        <v>18</v>
      </c>
      <c r="C318" t="s">
        <v>16</v>
      </c>
      <c r="D318" t="s">
        <v>24</v>
      </c>
      <c r="E318">
        <v>50</v>
      </c>
      <c r="F318">
        <v>9307.27</v>
      </c>
      <c r="G318" t="s">
        <v>20</v>
      </c>
      <c r="H318">
        <v>3</v>
      </c>
      <c r="I318">
        <v>8795</v>
      </c>
      <c r="J318">
        <v>512.27</v>
      </c>
      <c r="K318" t="str">
        <f t="shared" si="13"/>
        <v>January</v>
      </c>
      <c r="L318" t="str">
        <f t="shared" si="14"/>
        <v>Q1</v>
      </c>
      <c r="M318">
        <f t="shared" si="12"/>
        <v>2022</v>
      </c>
      <c r="N318" t="s">
        <v>44</v>
      </c>
    </row>
    <row r="319" spans="1:14" ht="14.55" customHeight="1" x14ac:dyDescent="0.3">
      <c r="A319" s="1">
        <v>44638</v>
      </c>
      <c r="B319" t="s">
        <v>18</v>
      </c>
      <c r="C319" t="s">
        <v>21</v>
      </c>
      <c r="D319" t="s">
        <v>22</v>
      </c>
      <c r="E319">
        <v>43</v>
      </c>
      <c r="F319">
        <v>18697.21</v>
      </c>
      <c r="G319" t="s">
        <v>20</v>
      </c>
      <c r="H319">
        <v>2</v>
      </c>
      <c r="I319">
        <v>9457.81</v>
      </c>
      <c r="J319">
        <v>9239.4</v>
      </c>
      <c r="K319" t="str">
        <f t="shared" si="13"/>
        <v>March</v>
      </c>
      <c r="L319" t="str">
        <f t="shared" si="14"/>
        <v>Q1</v>
      </c>
      <c r="M319">
        <f t="shared" si="12"/>
        <v>2022</v>
      </c>
      <c r="N319" t="s">
        <v>44</v>
      </c>
    </row>
    <row r="320" spans="1:14" ht="14.55" customHeight="1" x14ac:dyDescent="0.3">
      <c r="A320" s="1">
        <v>44800</v>
      </c>
      <c r="B320" t="s">
        <v>9</v>
      </c>
      <c r="C320" t="s">
        <v>21</v>
      </c>
      <c r="D320" t="s">
        <v>22</v>
      </c>
      <c r="E320">
        <v>31</v>
      </c>
      <c r="F320">
        <v>10409.33</v>
      </c>
      <c r="G320" t="s">
        <v>20</v>
      </c>
      <c r="H320">
        <v>3</v>
      </c>
      <c r="I320">
        <v>3474.81</v>
      </c>
      <c r="J320">
        <v>6934.52</v>
      </c>
      <c r="K320" t="str">
        <f t="shared" si="13"/>
        <v>August</v>
      </c>
      <c r="L320" t="str">
        <f t="shared" si="14"/>
        <v>Q3</v>
      </c>
      <c r="M320">
        <f t="shared" si="12"/>
        <v>2022</v>
      </c>
      <c r="N320" t="s">
        <v>44</v>
      </c>
    </row>
    <row r="321" spans="1:14" ht="14.55" customHeight="1" x14ac:dyDescent="0.3">
      <c r="A321" s="1">
        <v>44566</v>
      </c>
      <c r="B321" t="s">
        <v>15</v>
      </c>
      <c r="C321" t="s">
        <v>16</v>
      </c>
      <c r="D321" t="s">
        <v>17</v>
      </c>
      <c r="E321">
        <v>17</v>
      </c>
      <c r="F321">
        <v>4999.5600000000004</v>
      </c>
      <c r="G321" t="s">
        <v>12</v>
      </c>
      <c r="H321">
        <v>2</v>
      </c>
      <c r="I321">
        <v>814.81</v>
      </c>
      <c r="J321">
        <v>4184.75</v>
      </c>
      <c r="K321" t="str">
        <f t="shared" si="13"/>
        <v>January</v>
      </c>
      <c r="L321" t="str">
        <f t="shared" si="14"/>
        <v>Q1</v>
      </c>
      <c r="M321">
        <f t="shared" si="12"/>
        <v>2022</v>
      </c>
      <c r="N321" t="s">
        <v>43</v>
      </c>
    </row>
    <row r="322" spans="1:14" ht="14.55" customHeight="1" x14ac:dyDescent="0.3">
      <c r="A322" s="1">
        <v>44697</v>
      </c>
      <c r="B322" t="s">
        <v>31</v>
      </c>
      <c r="C322" t="s">
        <v>21</v>
      </c>
      <c r="D322" t="s">
        <v>36</v>
      </c>
      <c r="E322">
        <v>28</v>
      </c>
      <c r="F322">
        <v>7772.9</v>
      </c>
      <c r="G322" t="s">
        <v>20</v>
      </c>
      <c r="H322">
        <v>2</v>
      </c>
      <c r="I322">
        <v>1287.1300000000001</v>
      </c>
      <c r="J322">
        <v>6485.77</v>
      </c>
      <c r="K322" t="str">
        <f t="shared" si="13"/>
        <v>May</v>
      </c>
      <c r="L322" t="str">
        <f t="shared" si="14"/>
        <v>Q2</v>
      </c>
      <c r="M322">
        <f t="shared" ref="M322:M385" si="15">YEAR(A322)</f>
        <v>2022</v>
      </c>
      <c r="N322" t="s">
        <v>47</v>
      </c>
    </row>
    <row r="323" spans="1:14" ht="14.55" customHeight="1" x14ac:dyDescent="0.3">
      <c r="A323" s="1">
        <v>45038</v>
      </c>
      <c r="B323" t="s">
        <v>23</v>
      </c>
      <c r="C323" t="s">
        <v>13</v>
      </c>
      <c r="D323" t="s">
        <v>19</v>
      </c>
      <c r="E323">
        <v>36</v>
      </c>
      <c r="F323">
        <v>14841.19</v>
      </c>
      <c r="G323" t="s">
        <v>12</v>
      </c>
      <c r="H323">
        <v>4</v>
      </c>
      <c r="I323">
        <v>8090.37</v>
      </c>
      <c r="J323">
        <v>6750.82</v>
      </c>
      <c r="K323" t="str">
        <f t="shared" ref="K323:K386" si="16">TEXT(A323,"mmmm")</f>
        <v>April</v>
      </c>
      <c r="L323" t="str">
        <f t="shared" ref="L323:L386" si="17">"Q"&amp;INT((MONTH(A323)-1)/3)+1</f>
        <v>Q2</v>
      </c>
      <c r="M323">
        <f t="shared" si="15"/>
        <v>2023</v>
      </c>
      <c r="N323" t="s">
        <v>45</v>
      </c>
    </row>
    <row r="324" spans="1:14" ht="14.55" customHeight="1" x14ac:dyDescent="0.3">
      <c r="A324" s="1">
        <v>45255</v>
      </c>
      <c r="B324" t="s">
        <v>23</v>
      </c>
      <c r="C324" t="s">
        <v>25</v>
      </c>
      <c r="D324" t="s">
        <v>39</v>
      </c>
      <c r="E324">
        <v>44</v>
      </c>
      <c r="F324">
        <v>18310.849999999999</v>
      </c>
      <c r="G324" t="s">
        <v>12</v>
      </c>
      <c r="H324">
        <v>2</v>
      </c>
      <c r="I324">
        <v>10181.41</v>
      </c>
      <c r="J324">
        <v>8129.44</v>
      </c>
      <c r="K324" t="str">
        <f t="shared" si="16"/>
        <v>November</v>
      </c>
      <c r="L324" t="str">
        <f t="shared" si="17"/>
        <v>Q4</v>
      </c>
      <c r="M324">
        <f t="shared" si="15"/>
        <v>2023</v>
      </c>
      <c r="N324" t="s">
        <v>44</v>
      </c>
    </row>
    <row r="325" spans="1:14" ht="14.55" customHeight="1" x14ac:dyDescent="0.3">
      <c r="A325" s="1">
        <v>44945</v>
      </c>
      <c r="B325" t="s">
        <v>31</v>
      </c>
      <c r="C325" t="s">
        <v>13</v>
      </c>
      <c r="D325" t="s">
        <v>19</v>
      </c>
      <c r="E325">
        <v>16</v>
      </c>
      <c r="F325">
        <v>6611.75</v>
      </c>
      <c r="G325" t="s">
        <v>12</v>
      </c>
      <c r="H325">
        <v>2</v>
      </c>
      <c r="I325">
        <v>1434.51</v>
      </c>
      <c r="J325">
        <v>5177.24</v>
      </c>
      <c r="K325" t="str">
        <f t="shared" si="16"/>
        <v>January</v>
      </c>
      <c r="L325" t="str">
        <f t="shared" si="17"/>
        <v>Q1</v>
      </c>
      <c r="M325">
        <f t="shared" si="15"/>
        <v>2023</v>
      </c>
      <c r="N325" t="s">
        <v>47</v>
      </c>
    </row>
    <row r="326" spans="1:14" ht="14.55" customHeight="1" x14ac:dyDescent="0.3">
      <c r="A326" s="1">
        <v>45231</v>
      </c>
      <c r="B326" t="s">
        <v>23</v>
      </c>
      <c r="C326" t="s">
        <v>13</v>
      </c>
      <c r="D326" t="s">
        <v>40</v>
      </c>
      <c r="E326">
        <v>47</v>
      </c>
      <c r="F326">
        <v>16896.38</v>
      </c>
      <c r="G326" t="s">
        <v>20</v>
      </c>
      <c r="H326">
        <v>1</v>
      </c>
      <c r="I326">
        <v>5733.82</v>
      </c>
      <c r="J326">
        <v>11162.56</v>
      </c>
      <c r="K326" t="str">
        <f t="shared" si="16"/>
        <v>November</v>
      </c>
      <c r="L326" t="str">
        <f t="shared" si="17"/>
        <v>Q4</v>
      </c>
      <c r="M326">
        <f t="shared" si="15"/>
        <v>2023</v>
      </c>
      <c r="N326" t="s">
        <v>43</v>
      </c>
    </row>
    <row r="327" spans="1:14" ht="14.55" customHeight="1" x14ac:dyDescent="0.3">
      <c r="A327" s="1">
        <v>44667</v>
      </c>
      <c r="B327" t="s">
        <v>23</v>
      </c>
      <c r="C327" t="s">
        <v>10</v>
      </c>
      <c r="D327" t="s">
        <v>35</v>
      </c>
      <c r="E327">
        <v>18</v>
      </c>
      <c r="F327">
        <v>5838.88</v>
      </c>
      <c r="G327" t="s">
        <v>20</v>
      </c>
      <c r="H327">
        <v>5</v>
      </c>
      <c r="I327">
        <v>1458.3</v>
      </c>
      <c r="J327">
        <v>4380.58</v>
      </c>
      <c r="K327" t="str">
        <f t="shared" si="16"/>
        <v>April</v>
      </c>
      <c r="L327" t="str">
        <f t="shared" si="17"/>
        <v>Q2</v>
      </c>
      <c r="M327">
        <f t="shared" si="15"/>
        <v>2022</v>
      </c>
      <c r="N327" t="s">
        <v>45</v>
      </c>
    </row>
    <row r="328" spans="1:14" ht="14.55" customHeight="1" x14ac:dyDescent="0.3">
      <c r="A328" s="1">
        <v>44898</v>
      </c>
      <c r="B328" t="s">
        <v>18</v>
      </c>
      <c r="C328" t="s">
        <v>25</v>
      </c>
      <c r="D328" t="s">
        <v>38</v>
      </c>
      <c r="E328">
        <v>38</v>
      </c>
      <c r="F328">
        <v>1939.17</v>
      </c>
      <c r="G328" t="s">
        <v>20</v>
      </c>
      <c r="H328">
        <v>5</v>
      </c>
      <c r="I328">
        <v>5106.04</v>
      </c>
      <c r="J328">
        <v>-3166.87</v>
      </c>
      <c r="K328" t="str">
        <f t="shared" si="16"/>
        <v>December</v>
      </c>
      <c r="L328" t="str">
        <f t="shared" si="17"/>
        <v>Q4</v>
      </c>
      <c r="M328">
        <f t="shared" si="15"/>
        <v>2022</v>
      </c>
      <c r="N328" t="s">
        <v>47</v>
      </c>
    </row>
    <row r="329" spans="1:14" ht="14.55" customHeight="1" x14ac:dyDescent="0.3">
      <c r="A329" s="1">
        <v>45277</v>
      </c>
      <c r="B329" t="s">
        <v>23</v>
      </c>
      <c r="C329" t="s">
        <v>16</v>
      </c>
      <c r="D329" t="s">
        <v>37</v>
      </c>
      <c r="E329">
        <v>22</v>
      </c>
      <c r="F329">
        <v>6154.39</v>
      </c>
      <c r="G329" t="s">
        <v>20</v>
      </c>
      <c r="H329">
        <v>1</v>
      </c>
      <c r="I329">
        <v>711.8</v>
      </c>
      <c r="J329">
        <v>5442.59</v>
      </c>
      <c r="K329" t="str">
        <f t="shared" si="16"/>
        <v>December</v>
      </c>
      <c r="L329" t="str">
        <f t="shared" si="17"/>
        <v>Q4</v>
      </c>
      <c r="M329">
        <f t="shared" si="15"/>
        <v>2023</v>
      </c>
      <c r="N329" t="s">
        <v>47</v>
      </c>
    </row>
    <row r="330" spans="1:14" ht="14.55" customHeight="1" x14ac:dyDescent="0.3">
      <c r="A330" s="1">
        <v>44926</v>
      </c>
      <c r="B330" t="s">
        <v>15</v>
      </c>
      <c r="C330" t="s">
        <v>25</v>
      </c>
      <c r="D330" t="s">
        <v>26</v>
      </c>
      <c r="E330">
        <v>18</v>
      </c>
      <c r="F330">
        <v>8346.75</v>
      </c>
      <c r="G330" t="s">
        <v>20</v>
      </c>
      <c r="H330">
        <v>5</v>
      </c>
      <c r="I330">
        <v>2613.81</v>
      </c>
      <c r="J330">
        <v>5732.94</v>
      </c>
      <c r="K330" t="str">
        <f t="shared" si="16"/>
        <v>December</v>
      </c>
      <c r="L330" t="str">
        <f t="shared" si="17"/>
        <v>Q4</v>
      </c>
      <c r="M330">
        <f t="shared" si="15"/>
        <v>2022</v>
      </c>
      <c r="N330" t="s">
        <v>47</v>
      </c>
    </row>
    <row r="331" spans="1:14" ht="14.55" customHeight="1" x14ac:dyDescent="0.3">
      <c r="A331" s="1">
        <v>44985</v>
      </c>
      <c r="B331" t="s">
        <v>23</v>
      </c>
      <c r="C331" t="s">
        <v>10</v>
      </c>
      <c r="D331" t="s">
        <v>11</v>
      </c>
      <c r="E331">
        <v>3</v>
      </c>
      <c r="F331">
        <v>810.1</v>
      </c>
      <c r="G331" t="s">
        <v>12</v>
      </c>
      <c r="H331">
        <v>2</v>
      </c>
      <c r="I331">
        <v>254.3</v>
      </c>
      <c r="J331">
        <v>555.79999999999995</v>
      </c>
      <c r="K331" t="str">
        <f t="shared" si="16"/>
        <v>February</v>
      </c>
      <c r="L331" t="str">
        <f t="shared" si="17"/>
        <v>Q1</v>
      </c>
      <c r="M331">
        <f t="shared" si="15"/>
        <v>2023</v>
      </c>
      <c r="N331" t="s">
        <v>45</v>
      </c>
    </row>
    <row r="332" spans="1:14" ht="14.55" customHeight="1" x14ac:dyDescent="0.3">
      <c r="A332" s="1">
        <v>45003</v>
      </c>
      <c r="B332" t="s">
        <v>9</v>
      </c>
      <c r="C332" t="s">
        <v>13</v>
      </c>
      <c r="D332" t="s">
        <v>40</v>
      </c>
      <c r="E332">
        <v>26</v>
      </c>
      <c r="F332">
        <v>9457.94</v>
      </c>
      <c r="G332" t="s">
        <v>12</v>
      </c>
      <c r="H332">
        <v>4</v>
      </c>
      <c r="I332">
        <v>3680.79</v>
      </c>
      <c r="J332">
        <v>5777.15</v>
      </c>
      <c r="K332" t="str">
        <f t="shared" si="16"/>
        <v>March</v>
      </c>
      <c r="L332" t="str">
        <f t="shared" si="17"/>
        <v>Q1</v>
      </c>
      <c r="M332">
        <f t="shared" si="15"/>
        <v>2023</v>
      </c>
      <c r="N332" t="s">
        <v>44</v>
      </c>
    </row>
    <row r="333" spans="1:14" ht="14.55" customHeight="1" x14ac:dyDescent="0.3">
      <c r="A333" s="1">
        <v>45052</v>
      </c>
      <c r="B333" t="s">
        <v>18</v>
      </c>
      <c r="C333" t="s">
        <v>25</v>
      </c>
      <c r="D333" t="s">
        <v>39</v>
      </c>
      <c r="E333">
        <v>50</v>
      </c>
      <c r="F333">
        <v>12805.76</v>
      </c>
      <c r="G333" t="s">
        <v>20</v>
      </c>
      <c r="H333">
        <v>1</v>
      </c>
      <c r="I333">
        <v>1234.1300000000001</v>
      </c>
      <c r="J333">
        <v>11571.63</v>
      </c>
      <c r="K333" t="str">
        <f t="shared" si="16"/>
        <v>May</v>
      </c>
      <c r="L333" t="str">
        <f t="shared" si="17"/>
        <v>Q2</v>
      </c>
      <c r="M333">
        <f t="shared" si="15"/>
        <v>2023</v>
      </c>
      <c r="N333" t="s">
        <v>47</v>
      </c>
    </row>
    <row r="334" spans="1:14" ht="14.55" customHeight="1" x14ac:dyDescent="0.3">
      <c r="A334" s="1">
        <v>44598</v>
      </c>
      <c r="B334" t="s">
        <v>23</v>
      </c>
      <c r="C334" t="s">
        <v>21</v>
      </c>
      <c r="D334" t="s">
        <v>32</v>
      </c>
      <c r="E334">
        <v>1</v>
      </c>
      <c r="F334">
        <v>62.4</v>
      </c>
      <c r="G334" t="s">
        <v>20</v>
      </c>
      <c r="H334">
        <v>4</v>
      </c>
      <c r="I334">
        <v>106.01</v>
      </c>
      <c r="J334">
        <v>-43.61</v>
      </c>
      <c r="K334" t="str">
        <f t="shared" si="16"/>
        <v>February</v>
      </c>
      <c r="L334" t="str">
        <f t="shared" si="17"/>
        <v>Q1</v>
      </c>
      <c r="M334">
        <f t="shared" si="15"/>
        <v>2022</v>
      </c>
      <c r="N334" t="s">
        <v>47</v>
      </c>
    </row>
    <row r="335" spans="1:14" ht="14.55" customHeight="1" x14ac:dyDescent="0.3">
      <c r="A335" s="1">
        <v>45221</v>
      </c>
      <c r="B335" t="s">
        <v>15</v>
      </c>
      <c r="C335" t="s">
        <v>13</v>
      </c>
      <c r="D335" t="s">
        <v>29</v>
      </c>
      <c r="E335">
        <v>21</v>
      </c>
      <c r="F335">
        <v>6083.9</v>
      </c>
      <c r="G335" t="s">
        <v>12</v>
      </c>
      <c r="H335">
        <v>1</v>
      </c>
      <c r="I335">
        <v>1731.11</v>
      </c>
      <c r="J335">
        <v>4352.79</v>
      </c>
      <c r="K335" t="str">
        <f t="shared" si="16"/>
        <v>October</v>
      </c>
      <c r="L335" t="str">
        <f t="shared" si="17"/>
        <v>Q4</v>
      </c>
      <c r="M335">
        <f t="shared" si="15"/>
        <v>2023</v>
      </c>
      <c r="N335" t="s">
        <v>44</v>
      </c>
    </row>
    <row r="336" spans="1:14" ht="14.55" customHeight="1" x14ac:dyDescent="0.3">
      <c r="A336" s="1">
        <v>44692</v>
      </c>
      <c r="B336" t="s">
        <v>23</v>
      </c>
      <c r="C336" t="s">
        <v>13</v>
      </c>
      <c r="D336" t="s">
        <v>40</v>
      </c>
      <c r="E336">
        <v>8</v>
      </c>
      <c r="F336">
        <v>2228.06</v>
      </c>
      <c r="G336" t="s">
        <v>12</v>
      </c>
      <c r="H336">
        <v>1</v>
      </c>
      <c r="I336">
        <v>1574.39</v>
      </c>
      <c r="J336">
        <v>653.66999999999996</v>
      </c>
      <c r="K336" t="str">
        <f t="shared" si="16"/>
        <v>May</v>
      </c>
      <c r="L336" t="str">
        <f t="shared" si="17"/>
        <v>Q2</v>
      </c>
      <c r="M336">
        <f t="shared" si="15"/>
        <v>2022</v>
      </c>
      <c r="N336" t="s">
        <v>44</v>
      </c>
    </row>
    <row r="337" spans="1:14" ht="14.55" customHeight="1" x14ac:dyDescent="0.3">
      <c r="A337" s="1">
        <v>44564</v>
      </c>
      <c r="B337" t="s">
        <v>15</v>
      </c>
      <c r="C337" t="s">
        <v>21</v>
      </c>
      <c r="D337" t="s">
        <v>36</v>
      </c>
      <c r="E337">
        <v>36</v>
      </c>
      <c r="F337">
        <v>14155.02</v>
      </c>
      <c r="G337" t="s">
        <v>20</v>
      </c>
      <c r="H337">
        <v>5</v>
      </c>
      <c r="I337">
        <v>6161.55</v>
      </c>
      <c r="J337">
        <v>7993.47</v>
      </c>
      <c r="K337" t="str">
        <f t="shared" si="16"/>
        <v>January</v>
      </c>
      <c r="L337" t="str">
        <f t="shared" si="17"/>
        <v>Q1</v>
      </c>
      <c r="M337">
        <f t="shared" si="15"/>
        <v>2022</v>
      </c>
      <c r="N337" t="s">
        <v>44</v>
      </c>
    </row>
    <row r="338" spans="1:14" ht="14.55" customHeight="1" x14ac:dyDescent="0.3">
      <c r="A338" s="1">
        <v>45127</v>
      </c>
      <c r="B338" t="s">
        <v>31</v>
      </c>
      <c r="C338" t="s">
        <v>21</v>
      </c>
      <c r="D338" t="s">
        <v>22</v>
      </c>
      <c r="E338">
        <v>46</v>
      </c>
      <c r="F338">
        <v>7071.32</v>
      </c>
      <c r="G338" t="s">
        <v>20</v>
      </c>
      <c r="H338">
        <v>1</v>
      </c>
      <c r="I338">
        <v>3200.53</v>
      </c>
      <c r="J338">
        <v>3870.79</v>
      </c>
      <c r="K338" t="str">
        <f t="shared" si="16"/>
        <v>July</v>
      </c>
      <c r="L338" t="str">
        <f t="shared" si="17"/>
        <v>Q3</v>
      </c>
      <c r="M338">
        <f t="shared" si="15"/>
        <v>2023</v>
      </c>
      <c r="N338" t="s">
        <v>44</v>
      </c>
    </row>
    <row r="339" spans="1:14" ht="14.55" customHeight="1" x14ac:dyDescent="0.3">
      <c r="A339" s="1">
        <v>44931</v>
      </c>
      <c r="B339" t="s">
        <v>9</v>
      </c>
      <c r="C339" t="s">
        <v>21</v>
      </c>
      <c r="D339" t="s">
        <v>33</v>
      </c>
      <c r="E339">
        <v>48</v>
      </c>
      <c r="F339">
        <v>6614.07</v>
      </c>
      <c r="G339" t="s">
        <v>12</v>
      </c>
      <c r="H339">
        <v>4</v>
      </c>
      <c r="I339">
        <v>2329.04</v>
      </c>
      <c r="J339">
        <v>4285.03</v>
      </c>
      <c r="K339" t="str">
        <f t="shared" si="16"/>
        <v>January</v>
      </c>
      <c r="L339" t="str">
        <f t="shared" si="17"/>
        <v>Q1</v>
      </c>
      <c r="M339">
        <f t="shared" si="15"/>
        <v>2023</v>
      </c>
      <c r="N339" t="s">
        <v>44</v>
      </c>
    </row>
    <row r="340" spans="1:14" ht="14.55" customHeight="1" x14ac:dyDescent="0.3">
      <c r="A340" s="1">
        <v>45069</v>
      </c>
      <c r="B340" t="s">
        <v>18</v>
      </c>
      <c r="C340" t="s">
        <v>13</v>
      </c>
      <c r="D340" t="s">
        <v>14</v>
      </c>
      <c r="E340">
        <v>38</v>
      </c>
      <c r="F340">
        <v>531.97</v>
      </c>
      <c r="G340" t="s">
        <v>12</v>
      </c>
      <c r="H340">
        <v>5</v>
      </c>
      <c r="I340">
        <v>2607.6</v>
      </c>
      <c r="J340">
        <v>-2075.63</v>
      </c>
      <c r="K340" t="str">
        <f t="shared" si="16"/>
        <v>May</v>
      </c>
      <c r="L340" t="str">
        <f t="shared" si="17"/>
        <v>Q2</v>
      </c>
      <c r="M340">
        <f t="shared" si="15"/>
        <v>2023</v>
      </c>
      <c r="N340" t="s">
        <v>43</v>
      </c>
    </row>
    <row r="341" spans="1:14" ht="14.55" customHeight="1" x14ac:dyDescent="0.3">
      <c r="A341" s="1">
        <v>44891</v>
      </c>
      <c r="B341" t="s">
        <v>15</v>
      </c>
      <c r="C341" t="s">
        <v>25</v>
      </c>
      <c r="D341" t="s">
        <v>30</v>
      </c>
      <c r="E341">
        <v>14</v>
      </c>
      <c r="F341">
        <v>3819.25</v>
      </c>
      <c r="G341" t="s">
        <v>12</v>
      </c>
      <c r="H341">
        <v>4</v>
      </c>
      <c r="I341">
        <v>1230.56</v>
      </c>
      <c r="J341">
        <v>2588.69</v>
      </c>
      <c r="K341" t="str">
        <f t="shared" si="16"/>
        <v>November</v>
      </c>
      <c r="L341" t="str">
        <f t="shared" si="17"/>
        <v>Q4</v>
      </c>
      <c r="M341">
        <f t="shared" si="15"/>
        <v>2022</v>
      </c>
      <c r="N341" t="s">
        <v>44</v>
      </c>
    </row>
    <row r="342" spans="1:14" ht="14.55" customHeight="1" x14ac:dyDescent="0.3">
      <c r="A342" s="1">
        <v>44660</v>
      </c>
      <c r="B342" t="s">
        <v>31</v>
      </c>
      <c r="C342" t="s">
        <v>10</v>
      </c>
      <c r="D342" t="s">
        <v>11</v>
      </c>
      <c r="E342">
        <v>31</v>
      </c>
      <c r="F342">
        <v>6545.6</v>
      </c>
      <c r="G342" t="s">
        <v>12</v>
      </c>
      <c r="H342">
        <v>2</v>
      </c>
      <c r="I342">
        <v>1573.92</v>
      </c>
      <c r="J342">
        <v>4971.68</v>
      </c>
      <c r="K342" t="str">
        <f t="shared" si="16"/>
        <v>April</v>
      </c>
      <c r="L342" t="str">
        <f t="shared" si="17"/>
        <v>Q2</v>
      </c>
      <c r="M342">
        <f t="shared" si="15"/>
        <v>2022</v>
      </c>
      <c r="N342" t="s">
        <v>44</v>
      </c>
    </row>
    <row r="343" spans="1:14" ht="14.55" customHeight="1" x14ac:dyDescent="0.3">
      <c r="A343" s="1">
        <v>44880</v>
      </c>
      <c r="B343" t="s">
        <v>18</v>
      </c>
      <c r="C343" t="s">
        <v>10</v>
      </c>
      <c r="D343" t="s">
        <v>28</v>
      </c>
      <c r="E343">
        <v>48</v>
      </c>
      <c r="F343">
        <v>21547.26</v>
      </c>
      <c r="G343" t="s">
        <v>20</v>
      </c>
      <c r="H343">
        <v>5</v>
      </c>
      <c r="I343">
        <v>9876.16</v>
      </c>
      <c r="J343">
        <v>11671.1</v>
      </c>
      <c r="K343" t="str">
        <f t="shared" si="16"/>
        <v>November</v>
      </c>
      <c r="L343" t="str">
        <f t="shared" si="17"/>
        <v>Q4</v>
      </c>
      <c r="M343">
        <f t="shared" si="15"/>
        <v>2022</v>
      </c>
      <c r="N343" t="s">
        <v>47</v>
      </c>
    </row>
    <row r="344" spans="1:14" ht="14.55" customHeight="1" x14ac:dyDescent="0.3">
      <c r="A344" s="1">
        <v>44860</v>
      </c>
      <c r="B344" t="s">
        <v>23</v>
      </c>
      <c r="C344" t="s">
        <v>13</v>
      </c>
      <c r="D344" t="s">
        <v>14</v>
      </c>
      <c r="E344">
        <v>3</v>
      </c>
      <c r="F344">
        <v>179.93</v>
      </c>
      <c r="G344" t="s">
        <v>20</v>
      </c>
      <c r="H344">
        <v>1</v>
      </c>
      <c r="I344">
        <v>38.520000000000003</v>
      </c>
      <c r="J344">
        <v>141.41</v>
      </c>
      <c r="K344" t="str">
        <f t="shared" si="16"/>
        <v>October</v>
      </c>
      <c r="L344" t="str">
        <f t="shared" si="17"/>
        <v>Q4</v>
      </c>
      <c r="M344">
        <f t="shared" si="15"/>
        <v>2022</v>
      </c>
      <c r="N344" t="s">
        <v>47</v>
      </c>
    </row>
    <row r="345" spans="1:14" ht="14.55" customHeight="1" x14ac:dyDescent="0.3">
      <c r="A345" s="1">
        <v>45142</v>
      </c>
      <c r="B345" t="s">
        <v>9</v>
      </c>
      <c r="C345" t="s">
        <v>10</v>
      </c>
      <c r="D345" t="s">
        <v>34</v>
      </c>
      <c r="E345">
        <v>17</v>
      </c>
      <c r="F345">
        <v>2968.27</v>
      </c>
      <c r="G345" t="s">
        <v>20</v>
      </c>
      <c r="H345">
        <v>1</v>
      </c>
      <c r="I345">
        <v>1310.78</v>
      </c>
      <c r="J345">
        <v>1657.49</v>
      </c>
      <c r="K345" t="str">
        <f t="shared" si="16"/>
        <v>August</v>
      </c>
      <c r="L345" t="str">
        <f t="shared" si="17"/>
        <v>Q3</v>
      </c>
      <c r="M345">
        <f t="shared" si="15"/>
        <v>2023</v>
      </c>
      <c r="N345" t="s">
        <v>45</v>
      </c>
    </row>
    <row r="346" spans="1:14" ht="14.55" customHeight="1" x14ac:dyDescent="0.3">
      <c r="A346" s="1">
        <v>45236</v>
      </c>
      <c r="B346" t="s">
        <v>18</v>
      </c>
      <c r="C346" t="s">
        <v>25</v>
      </c>
      <c r="D346" t="s">
        <v>38</v>
      </c>
      <c r="E346">
        <v>17</v>
      </c>
      <c r="F346">
        <v>5371.71</v>
      </c>
      <c r="G346" t="s">
        <v>12</v>
      </c>
      <c r="H346">
        <v>3</v>
      </c>
      <c r="I346">
        <v>3484.51</v>
      </c>
      <c r="J346">
        <v>1887.2</v>
      </c>
      <c r="K346" t="str">
        <f t="shared" si="16"/>
        <v>November</v>
      </c>
      <c r="L346" t="str">
        <f t="shared" si="17"/>
        <v>Q4</v>
      </c>
      <c r="M346">
        <f t="shared" si="15"/>
        <v>2023</v>
      </c>
      <c r="N346" t="s">
        <v>44</v>
      </c>
    </row>
    <row r="347" spans="1:14" ht="14.55" customHeight="1" x14ac:dyDescent="0.3">
      <c r="A347" s="1">
        <v>45166</v>
      </c>
      <c r="B347" t="s">
        <v>23</v>
      </c>
      <c r="C347" t="s">
        <v>13</v>
      </c>
      <c r="D347" t="s">
        <v>19</v>
      </c>
      <c r="E347">
        <v>47</v>
      </c>
      <c r="F347">
        <v>17697.169999999998</v>
      </c>
      <c r="G347" t="s">
        <v>20</v>
      </c>
      <c r="H347">
        <v>5</v>
      </c>
      <c r="I347">
        <v>628.79999999999995</v>
      </c>
      <c r="J347">
        <v>17068.37</v>
      </c>
      <c r="K347" t="str">
        <f t="shared" si="16"/>
        <v>August</v>
      </c>
      <c r="L347" t="str">
        <f t="shared" si="17"/>
        <v>Q3</v>
      </c>
      <c r="M347">
        <f t="shared" si="15"/>
        <v>2023</v>
      </c>
      <c r="N347" t="s">
        <v>44</v>
      </c>
    </row>
    <row r="348" spans="1:14" ht="14.55" customHeight="1" x14ac:dyDescent="0.3">
      <c r="A348" s="1">
        <v>44858</v>
      </c>
      <c r="B348" t="s">
        <v>23</v>
      </c>
      <c r="C348" t="s">
        <v>13</v>
      </c>
      <c r="D348" t="s">
        <v>14</v>
      </c>
      <c r="E348">
        <v>36</v>
      </c>
      <c r="F348">
        <v>12910.8</v>
      </c>
      <c r="G348" t="s">
        <v>12</v>
      </c>
      <c r="H348">
        <v>3</v>
      </c>
      <c r="I348">
        <v>5841.7</v>
      </c>
      <c r="J348">
        <v>7069.1</v>
      </c>
      <c r="K348" t="str">
        <f t="shared" si="16"/>
        <v>October</v>
      </c>
      <c r="L348" t="str">
        <f t="shared" si="17"/>
        <v>Q4</v>
      </c>
      <c r="M348">
        <f t="shared" si="15"/>
        <v>2022</v>
      </c>
      <c r="N348" t="s">
        <v>45</v>
      </c>
    </row>
    <row r="349" spans="1:14" ht="14.55" customHeight="1" x14ac:dyDescent="0.3">
      <c r="A349" s="1">
        <v>44840</v>
      </c>
      <c r="B349" t="s">
        <v>18</v>
      </c>
      <c r="C349" t="s">
        <v>16</v>
      </c>
      <c r="D349" t="s">
        <v>37</v>
      </c>
      <c r="E349">
        <v>10</v>
      </c>
      <c r="F349">
        <v>696.24</v>
      </c>
      <c r="G349" t="s">
        <v>12</v>
      </c>
      <c r="H349">
        <v>5</v>
      </c>
      <c r="I349">
        <v>1355.39</v>
      </c>
      <c r="J349">
        <v>-659.15</v>
      </c>
      <c r="K349" t="str">
        <f t="shared" si="16"/>
        <v>October</v>
      </c>
      <c r="L349" t="str">
        <f t="shared" si="17"/>
        <v>Q4</v>
      </c>
      <c r="M349">
        <f t="shared" si="15"/>
        <v>2022</v>
      </c>
      <c r="N349" t="s">
        <v>44</v>
      </c>
    </row>
    <row r="350" spans="1:14" ht="14.55" customHeight="1" x14ac:dyDescent="0.3">
      <c r="A350" s="1">
        <v>45198</v>
      </c>
      <c r="B350" t="s">
        <v>18</v>
      </c>
      <c r="C350" t="s">
        <v>16</v>
      </c>
      <c r="D350" t="s">
        <v>27</v>
      </c>
      <c r="E350">
        <v>2</v>
      </c>
      <c r="F350">
        <v>412.42</v>
      </c>
      <c r="G350" t="s">
        <v>12</v>
      </c>
      <c r="H350">
        <v>3</v>
      </c>
      <c r="I350">
        <v>268.42</v>
      </c>
      <c r="J350">
        <v>144</v>
      </c>
      <c r="K350" t="str">
        <f t="shared" si="16"/>
        <v>September</v>
      </c>
      <c r="L350" t="str">
        <f t="shared" si="17"/>
        <v>Q3</v>
      </c>
      <c r="M350">
        <f t="shared" si="15"/>
        <v>2023</v>
      </c>
      <c r="N350" t="s">
        <v>44</v>
      </c>
    </row>
    <row r="351" spans="1:14" ht="14.55" customHeight="1" x14ac:dyDescent="0.3">
      <c r="A351" s="1">
        <v>44752</v>
      </c>
      <c r="B351" t="s">
        <v>23</v>
      </c>
      <c r="C351" t="s">
        <v>25</v>
      </c>
      <c r="D351" t="s">
        <v>38</v>
      </c>
      <c r="E351">
        <v>12</v>
      </c>
      <c r="F351">
        <v>5793.04</v>
      </c>
      <c r="G351" t="s">
        <v>12</v>
      </c>
      <c r="H351">
        <v>2</v>
      </c>
      <c r="I351">
        <v>1949.83</v>
      </c>
      <c r="J351">
        <v>3843.21</v>
      </c>
      <c r="K351" t="str">
        <f t="shared" si="16"/>
        <v>July</v>
      </c>
      <c r="L351" t="str">
        <f t="shared" si="17"/>
        <v>Q3</v>
      </c>
      <c r="M351">
        <f t="shared" si="15"/>
        <v>2022</v>
      </c>
      <c r="N351" t="s">
        <v>44</v>
      </c>
    </row>
    <row r="352" spans="1:14" ht="14.55" customHeight="1" x14ac:dyDescent="0.3">
      <c r="A352" s="1">
        <v>45089</v>
      </c>
      <c r="B352" t="s">
        <v>15</v>
      </c>
      <c r="C352" t="s">
        <v>25</v>
      </c>
      <c r="D352" t="s">
        <v>26</v>
      </c>
      <c r="E352">
        <v>45</v>
      </c>
      <c r="F352">
        <v>8357.02</v>
      </c>
      <c r="G352" t="s">
        <v>20</v>
      </c>
      <c r="H352">
        <v>5</v>
      </c>
      <c r="I352">
        <v>10068.52</v>
      </c>
      <c r="J352">
        <v>-1711.5</v>
      </c>
      <c r="K352" t="str">
        <f t="shared" si="16"/>
        <v>June</v>
      </c>
      <c r="L352" t="str">
        <f t="shared" si="17"/>
        <v>Q2</v>
      </c>
      <c r="M352">
        <f t="shared" si="15"/>
        <v>2023</v>
      </c>
      <c r="N352" t="s">
        <v>45</v>
      </c>
    </row>
    <row r="353" spans="1:14" ht="14.55" customHeight="1" x14ac:dyDescent="0.3">
      <c r="A353" s="1">
        <v>45009</v>
      </c>
      <c r="B353" t="s">
        <v>15</v>
      </c>
      <c r="C353" t="s">
        <v>13</v>
      </c>
      <c r="D353" t="s">
        <v>14</v>
      </c>
      <c r="E353">
        <v>15</v>
      </c>
      <c r="F353">
        <v>382.38</v>
      </c>
      <c r="G353" t="s">
        <v>12</v>
      </c>
      <c r="H353">
        <v>1</v>
      </c>
      <c r="I353">
        <v>3427.84</v>
      </c>
      <c r="J353">
        <v>-3045.46</v>
      </c>
      <c r="K353" t="str">
        <f t="shared" si="16"/>
        <v>March</v>
      </c>
      <c r="L353" t="str">
        <f t="shared" si="17"/>
        <v>Q1</v>
      </c>
      <c r="M353">
        <f t="shared" si="15"/>
        <v>2023</v>
      </c>
      <c r="N353" t="s">
        <v>45</v>
      </c>
    </row>
    <row r="354" spans="1:14" ht="14.55" customHeight="1" x14ac:dyDescent="0.3">
      <c r="A354" s="1">
        <v>44961</v>
      </c>
      <c r="B354" t="s">
        <v>15</v>
      </c>
      <c r="C354" t="s">
        <v>10</v>
      </c>
      <c r="D354" t="s">
        <v>28</v>
      </c>
      <c r="E354">
        <v>14</v>
      </c>
      <c r="F354">
        <v>2251.04</v>
      </c>
      <c r="G354" t="s">
        <v>20</v>
      </c>
      <c r="H354">
        <v>2</v>
      </c>
      <c r="I354">
        <v>2570.9</v>
      </c>
      <c r="J354">
        <v>-319.86</v>
      </c>
      <c r="K354" t="str">
        <f t="shared" si="16"/>
        <v>February</v>
      </c>
      <c r="L354" t="str">
        <f t="shared" si="17"/>
        <v>Q1</v>
      </c>
      <c r="M354">
        <f t="shared" si="15"/>
        <v>2023</v>
      </c>
      <c r="N354" t="s">
        <v>45</v>
      </c>
    </row>
    <row r="355" spans="1:14" ht="14.55" customHeight="1" x14ac:dyDescent="0.3">
      <c r="A355" s="1">
        <v>45142</v>
      </c>
      <c r="B355" t="s">
        <v>9</v>
      </c>
      <c r="C355" t="s">
        <v>10</v>
      </c>
      <c r="D355" t="s">
        <v>34</v>
      </c>
      <c r="E355">
        <v>31</v>
      </c>
      <c r="F355">
        <v>7265.78</v>
      </c>
      <c r="G355" t="s">
        <v>12</v>
      </c>
      <c r="H355">
        <v>2</v>
      </c>
      <c r="I355">
        <v>4587.03</v>
      </c>
      <c r="J355">
        <v>2678.75</v>
      </c>
      <c r="K355" t="str">
        <f t="shared" si="16"/>
        <v>August</v>
      </c>
      <c r="L355" t="str">
        <f t="shared" si="17"/>
        <v>Q3</v>
      </c>
      <c r="M355">
        <f t="shared" si="15"/>
        <v>2023</v>
      </c>
      <c r="N355" t="s">
        <v>44</v>
      </c>
    </row>
    <row r="356" spans="1:14" ht="14.55" customHeight="1" x14ac:dyDescent="0.3">
      <c r="A356" s="1">
        <v>44937</v>
      </c>
      <c r="B356" t="s">
        <v>31</v>
      </c>
      <c r="C356" t="s">
        <v>16</v>
      </c>
      <c r="D356" t="s">
        <v>27</v>
      </c>
      <c r="E356">
        <v>42</v>
      </c>
      <c r="F356">
        <v>9768.7199999999993</v>
      </c>
      <c r="G356" t="s">
        <v>12</v>
      </c>
      <c r="H356">
        <v>3</v>
      </c>
      <c r="I356">
        <v>7235.91</v>
      </c>
      <c r="J356">
        <v>2532.81</v>
      </c>
      <c r="K356" t="str">
        <f t="shared" si="16"/>
        <v>January</v>
      </c>
      <c r="L356" t="str">
        <f t="shared" si="17"/>
        <v>Q1</v>
      </c>
      <c r="M356">
        <f t="shared" si="15"/>
        <v>2023</v>
      </c>
      <c r="N356" t="s">
        <v>45</v>
      </c>
    </row>
    <row r="357" spans="1:14" ht="14.55" customHeight="1" x14ac:dyDescent="0.3">
      <c r="A357" s="1">
        <v>45082</v>
      </c>
      <c r="B357" t="s">
        <v>18</v>
      </c>
      <c r="C357" t="s">
        <v>16</v>
      </c>
      <c r="D357" t="s">
        <v>17</v>
      </c>
      <c r="E357">
        <v>38</v>
      </c>
      <c r="F357">
        <v>18773.87</v>
      </c>
      <c r="G357" t="s">
        <v>12</v>
      </c>
      <c r="H357">
        <v>2</v>
      </c>
      <c r="I357">
        <v>5212.4399999999996</v>
      </c>
      <c r="J357">
        <v>13561.43</v>
      </c>
      <c r="K357" t="str">
        <f t="shared" si="16"/>
        <v>June</v>
      </c>
      <c r="L357" t="str">
        <f t="shared" si="17"/>
        <v>Q2</v>
      </c>
      <c r="M357">
        <f t="shared" si="15"/>
        <v>2023</v>
      </c>
      <c r="N357" t="s">
        <v>45</v>
      </c>
    </row>
    <row r="358" spans="1:14" ht="14.55" customHeight="1" x14ac:dyDescent="0.3">
      <c r="A358" s="1">
        <v>45287</v>
      </c>
      <c r="B358" t="s">
        <v>15</v>
      </c>
      <c r="C358" t="s">
        <v>16</v>
      </c>
      <c r="D358" t="s">
        <v>17</v>
      </c>
      <c r="E358">
        <v>35</v>
      </c>
      <c r="F358">
        <v>11689.44</v>
      </c>
      <c r="G358" t="s">
        <v>20</v>
      </c>
      <c r="H358">
        <v>1</v>
      </c>
      <c r="I358">
        <v>7320.71</v>
      </c>
      <c r="J358">
        <v>4368.7299999999996</v>
      </c>
      <c r="K358" t="str">
        <f t="shared" si="16"/>
        <v>December</v>
      </c>
      <c r="L358" t="str">
        <f t="shared" si="17"/>
        <v>Q4</v>
      </c>
      <c r="M358">
        <f t="shared" si="15"/>
        <v>2023</v>
      </c>
      <c r="N358" t="s">
        <v>45</v>
      </c>
    </row>
    <row r="359" spans="1:14" ht="14.55" customHeight="1" x14ac:dyDescent="0.3">
      <c r="A359" s="1">
        <v>45249</v>
      </c>
      <c r="B359" t="s">
        <v>31</v>
      </c>
      <c r="C359" t="s">
        <v>10</v>
      </c>
      <c r="D359" t="s">
        <v>11</v>
      </c>
      <c r="E359">
        <v>49</v>
      </c>
      <c r="F359">
        <v>17583.650000000001</v>
      </c>
      <c r="G359" t="s">
        <v>12</v>
      </c>
      <c r="H359">
        <v>4</v>
      </c>
      <c r="I359">
        <v>4971.3500000000004</v>
      </c>
      <c r="J359">
        <v>12612.3</v>
      </c>
      <c r="K359" t="str">
        <f t="shared" si="16"/>
        <v>November</v>
      </c>
      <c r="L359" t="str">
        <f t="shared" si="17"/>
        <v>Q4</v>
      </c>
      <c r="M359">
        <f t="shared" si="15"/>
        <v>2023</v>
      </c>
      <c r="N359" t="s">
        <v>44</v>
      </c>
    </row>
    <row r="360" spans="1:14" ht="14.55" customHeight="1" x14ac:dyDescent="0.3">
      <c r="A360" s="1">
        <v>45143</v>
      </c>
      <c r="B360" t="s">
        <v>23</v>
      </c>
      <c r="C360" t="s">
        <v>16</v>
      </c>
      <c r="D360" t="s">
        <v>37</v>
      </c>
      <c r="E360">
        <v>20</v>
      </c>
      <c r="F360">
        <v>4844.7299999999996</v>
      </c>
      <c r="G360" t="s">
        <v>12</v>
      </c>
      <c r="H360">
        <v>1</v>
      </c>
      <c r="I360">
        <v>4241.8599999999997</v>
      </c>
      <c r="J360">
        <v>602.87</v>
      </c>
      <c r="K360" t="str">
        <f t="shared" si="16"/>
        <v>August</v>
      </c>
      <c r="L360" t="str">
        <f t="shared" si="17"/>
        <v>Q3</v>
      </c>
      <c r="M360">
        <f t="shared" si="15"/>
        <v>2023</v>
      </c>
      <c r="N360" t="s">
        <v>45</v>
      </c>
    </row>
    <row r="361" spans="1:14" ht="14.55" customHeight="1" x14ac:dyDescent="0.3">
      <c r="A361" s="1">
        <v>44916</v>
      </c>
      <c r="B361" t="s">
        <v>9</v>
      </c>
      <c r="C361" t="s">
        <v>13</v>
      </c>
      <c r="D361" t="s">
        <v>14</v>
      </c>
      <c r="E361">
        <v>23</v>
      </c>
      <c r="F361">
        <v>5878.76</v>
      </c>
      <c r="G361" t="s">
        <v>20</v>
      </c>
      <c r="H361">
        <v>2</v>
      </c>
      <c r="I361">
        <v>2789.62</v>
      </c>
      <c r="J361">
        <v>3089.14</v>
      </c>
      <c r="K361" t="str">
        <f t="shared" si="16"/>
        <v>December</v>
      </c>
      <c r="L361" t="str">
        <f t="shared" si="17"/>
        <v>Q4</v>
      </c>
      <c r="M361">
        <f t="shared" si="15"/>
        <v>2022</v>
      </c>
      <c r="N361" t="s">
        <v>45</v>
      </c>
    </row>
    <row r="362" spans="1:14" ht="14.55" customHeight="1" x14ac:dyDescent="0.3">
      <c r="A362" s="1">
        <v>44939</v>
      </c>
      <c r="B362" t="s">
        <v>18</v>
      </c>
      <c r="C362" t="s">
        <v>13</v>
      </c>
      <c r="D362" t="s">
        <v>40</v>
      </c>
      <c r="E362">
        <v>22</v>
      </c>
      <c r="F362">
        <v>1805.91</v>
      </c>
      <c r="G362" t="s">
        <v>12</v>
      </c>
      <c r="H362">
        <v>5</v>
      </c>
      <c r="I362">
        <v>595.19000000000005</v>
      </c>
      <c r="J362">
        <v>1210.72</v>
      </c>
      <c r="K362" t="str">
        <f t="shared" si="16"/>
        <v>January</v>
      </c>
      <c r="L362" t="str">
        <f t="shared" si="17"/>
        <v>Q1</v>
      </c>
      <c r="M362">
        <f t="shared" si="15"/>
        <v>2023</v>
      </c>
      <c r="N362" t="s">
        <v>44</v>
      </c>
    </row>
    <row r="363" spans="1:14" ht="14.55" customHeight="1" x14ac:dyDescent="0.3">
      <c r="A363" s="1">
        <v>44956</v>
      </c>
      <c r="B363" t="s">
        <v>31</v>
      </c>
      <c r="C363" t="s">
        <v>25</v>
      </c>
      <c r="D363" t="s">
        <v>26</v>
      </c>
      <c r="E363">
        <v>34</v>
      </c>
      <c r="F363">
        <v>15855.99</v>
      </c>
      <c r="G363" t="s">
        <v>20</v>
      </c>
      <c r="H363">
        <v>3</v>
      </c>
      <c r="I363">
        <v>7683.1</v>
      </c>
      <c r="J363">
        <v>8172.89</v>
      </c>
      <c r="K363" t="str">
        <f t="shared" si="16"/>
        <v>January</v>
      </c>
      <c r="L363" t="str">
        <f t="shared" si="17"/>
        <v>Q1</v>
      </c>
      <c r="M363">
        <f t="shared" si="15"/>
        <v>2023</v>
      </c>
      <c r="N363" t="s">
        <v>44</v>
      </c>
    </row>
    <row r="364" spans="1:14" ht="14.55" customHeight="1" x14ac:dyDescent="0.3">
      <c r="A364" s="1">
        <v>44584</v>
      </c>
      <c r="B364" t="s">
        <v>31</v>
      </c>
      <c r="C364" t="s">
        <v>16</v>
      </c>
      <c r="D364" t="s">
        <v>17</v>
      </c>
      <c r="E364">
        <v>40</v>
      </c>
      <c r="F364">
        <v>13967.14</v>
      </c>
      <c r="G364" t="s">
        <v>20</v>
      </c>
      <c r="H364">
        <v>5</v>
      </c>
      <c r="I364">
        <v>1180.31</v>
      </c>
      <c r="J364">
        <v>12786.83</v>
      </c>
      <c r="K364" t="str">
        <f t="shared" si="16"/>
        <v>January</v>
      </c>
      <c r="L364" t="str">
        <f t="shared" si="17"/>
        <v>Q1</v>
      </c>
      <c r="M364">
        <f t="shared" si="15"/>
        <v>2022</v>
      </c>
      <c r="N364" t="s">
        <v>45</v>
      </c>
    </row>
    <row r="365" spans="1:14" ht="14.55" customHeight="1" x14ac:dyDescent="0.3">
      <c r="A365" s="1">
        <v>45154</v>
      </c>
      <c r="B365" t="s">
        <v>9</v>
      </c>
      <c r="C365" t="s">
        <v>25</v>
      </c>
      <c r="D365" t="s">
        <v>39</v>
      </c>
      <c r="E365">
        <v>7</v>
      </c>
      <c r="F365">
        <v>570.85</v>
      </c>
      <c r="G365" t="s">
        <v>12</v>
      </c>
      <c r="H365">
        <v>5</v>
      </c>
      <c r="I365">
        <v>203.4</v>
      </c>
      <c r="J365">
        <v>367.45</v>
      </c>
      <c r="K365" t="str">
        <f t="shared" si="16"/>
        <v>August</v>
      </c>
      <c r="L365" t="str">
        <f t="shared" si="17"/>
        <v>Q3</v>
      </c>
      <c r="M365">
        <f t="shared" si="15"/>
        <v>2023</v>
      </c>
      <c r="N365" t="s">
        <v>45</v>
      </c>
    </row>
    <row r="366" spans="1:14" ht="14.55" customHeight="1" x14ac:dyDescent="0.3">
      <c r="A366" s="1">
        <v>44721</v>
      </c>
      <c r="B366" t="s">
        <v>15</v>
      </c>
      <c r="C366" t="s">
        <v>21</v>
      </c>
      <c r="D366" t="s">
        <v>36</v>
      </c>
      <c r="E366">
        <v>18</v>
      </c>
      <c r="F366">
        <v>2486.08</v>
      </c>
      <c r="G366" t="s">
        <v>12</v>
      </c>
      <c r="H366">
        <v>5</v>
      </c>
      <c r="I366">
        <v>3471</v>
      </c>
      <c r="J366">
        <v>-984.92</v>
      </c>
      <c r="K366" t="str">
        <f t="shared" si="16"/>
        <v>June</v>
      </c>
      <c r="L366" t="str">
        <f t="shared" si="17"/>
        <v>Q2</v>
      </c>
      <c r="M366">
        <f t="shared" si="15"/>
        <v>2022</v>
      </c>
      <c r="N366" t="s">
        <v>45</v>
      </c>
    </row>
    <row r="367" spans="1:14" ht="14.55" customHeight="1" x14ac:dyDescent="0.3">
      <c r="A367" s="1">
        <v>45038</v>
      </c>
      <c r="B367" t="s">
        <v>23</v>
      </c>
      <c r="C367" t="s">
        <v>13</v>
      </c>
      <c r="D367" t="s">
        <v>40</v>
      </c>
      <c r="E367">
        <v>9</v>
      </c>
      <c r="F367">
        <v>531.45000000000005</v>
      </c>
      <c r="G367" t="s">
        <v>20</v>
      </c>
      <c r="H367">
        <v>4</v>
      </c>
      <c r="I367">
        <v>910.43</v>
      </c>
      <c r="J367">
        <v>-378.98</v>
      </c>
      <c r="K367" t="str">
        <f t="shared" si="16"/>
        <v>April</v>
      </c>
      <c r="L367" t="str">
        <f t="shared" si="17"/>
        <v>Q2</v>
      </c>
      <c r="M367">
        <f t="shared" si="15"/>
        <v>2023</v>
      </c>
      <c r="N367" t="s">
        <v>45</v>
      </c>
    </row>
    <row r="368" spans="1:14" ht="14.55" customHeight="1" x14ac:dyDescent="0.3">
      <c r="A368" s="1">
        <v>45097</v>
      </c>
      <c r="B368" t="s">
        <v>18</v>
      </c>
      <c r="C368" t="s">
        <v>16</v>
      </c>
      <c r="D368" t="s">
        <v>37</v>
      </c>
      <c r="E368">
        <v>18</v>
      </c>
      <c r="F368">
        <v>8413.65</v>
      </c>
      <c r="G368" t="s">
        <v>12</v>
      </c>
      <c r="H368">
        <v>3</v>
      </c>
      <c r="I368">
        <v>328.84</v>
      </c>
      <c r="J368">
        <v>8084.81</v>
      </c>
      <c r="K368" t="str">
        <f t="shared" si="16"/>
        <v>June</v>
      </c>
      <c r="L368" t="str">
        <f t="shared" si="17"/>
        <v>Q2</v>
      </c>
      <c r="M368">
        <f t="shared" si="15"/>
        <v>2023</v>
      </c>
      <c r="N368" t="s">
        <v>44</v>
      </c>
    </row>
    <row r="369" spans="1:14" ht="14.55" customHeight="1" x14ac:dyDescent="0.3">
      <c r="A369" s="1">
        <v>44626</v>
      </c>
      <c r="B369" t="s">
        <v>9</v>
      </c>
      <c r="C369" t="s">
        <v>13</v>
      </c>
      <c r="D369" t="s">
        <v>19</v>
      </c>
      <c r="E369">
        <v>39</v>
      </c>
      <c r="F369">
        <v>2857.47</v>
      </c>
      <c r="G369" t="s">
        <v>12</v>
      </c>
      <c r="H369">
        <v>5</v>
      </c>
      <c r="I369">
        <v>7190.77</v>
      </c>
      <c r="J369">
        <v>-4333.3</v>
      </c>
      <c r="K369" t="str">
        <f t="shared" si="16"/>
        <v>March</v>
      </c>
      <c r="L369" t="str">
        <f t="shared" si="17"/>
        <v>Q1</v>
      </c>
      <c r="M369">
        <f t="shared" si="15"/>
        <v>2022</v>
      </c>
      <c r="N369" t="s">
        <v>43</v>
      </c>
    </row>
    <row r="370" spans="1:14" ht="14.55" customHeight="1" x14ac:dyDescent="0.3">
      <c r="A370" s="1">
        <v>44783</v>
      </c>
      <c r="B370" t="s">
        <v>23</v>
      </c>
      <c r="C370" t="s">
        <v>25</v>
      </c>
      <c r="D370" t="s">
        <v>30</v>
      </c>
      <c r="E370">
        <v>43</v>
      </c>
      <c r="F370">
        <v>17232.45</v>
      </c>
      <c r="G370" t="s">
        <v>12</v>
      </c>
      <c r="H370">
        <v>1</v>
      </c>
      <c r="I370">
        <v>1721.78</v>
      </c>
      <c r="J370">
        <v>15510.67</v>
      </c>
      <c r="K370" t="str">
        <f t="shared" si="16"/>
        <v>August</v>
      </c>
      <c r="L370" t="str">
        <f t="shared" si="17"/>
        <v>Q3</v>
      </c>
      <c r="M370">
        <f t="shared" si="15"/>
        <v>2022</v>
      </c>
      <c r="N370" t="s">
        <v>44</v>
      </c>
    </row>
    <row r="371" spans="1:14" ht="14.55" customHeight="1" x14ac:dyDescent="0.3">
      <c r="A371" s="1">
        <v>45222</v>
      </c>
      <c r="B371" t="s">
        <v>18</v>
      </c>
      <c r="C371" t="s">
        <v>13</v>
      </c>
      <c r="D371" t="s">
        <v>29</v>
      </c>
      <c r="E371">
        <v>44</v>
      </c>
      <c r="F371">
        <v>20514.66</v>
      </c>
      <c r="G371" t="s">
        <v>12</v>
      </c>
      <c r="H371">
        <v>5</v>
      </c>
      <c r="I371">
        <v>2210.1999999999998</v>
      </c>
      <c r="J371">
        <v>18304.46</v>
      </c>
      <c r="K371" t="str">
        <f t="shared" si="16"/>
        <v>October</v>
      </c>
      <c r="L371" t="str">
        <f t="shared" si="17"/>
        <v>Q4</v>
      </c>
      <c r="M371">
        <f t="shared" si="15"/>
        <v>2023</v>
      </c>
      <c r="N371" t="s">
        <v>43</v>
      </c>
    </row>
    <row r="372" spans="1:14" ht="14.55" customHeight="1" x14ac:dyDescent="0.3">
      <c r="A372" s="1">
        <v>44881</v>
      </c>
      <c r="B372" t="s">
        <v>9</v>
      </c>
      <c r="C372" t="s">
        <v>13</v>
      </c>
      <c r="D372" t="s">
        <v>14</v>
      </c>
      <c r="E372">
        <v>30</v>
      </c>
      <c r="F372">
        <v>14840.77</v>
      </c>
      <c r="G372" t="s">
        <v>12</v>
      </c>
      <c r="H372">
        <v>2</v>
      </c>
      <c r="I372">
        <v>2835.75</v>
      </c>
      <c r="J372">
        <v>12005.02</v>
      </c>
      <c r="K372" t="str">
        <f t="shared" si="16"/>
        <v>November</v>
      </c>
      <c r="L372" t="str">
        <f t="shared" si="17"/>
        <v>Q4</v>
      </c>
      <c r="M372">
        <f t="shared" si="15"/>
        <v>2022</v>
      </c>
      <c r="N372" t="s">
        <v>44</v>
      </c>
    </row>
    <row r="373" spans="1:14" ht="14.55" customHeight="1" x14ac:dyDescent="0.3">
      <c r="A373" s="1">
        <v>45135</v>
      </c>
      <c r="B373" t="s">
        <v>18</v>
      </c>
      <c r="C373" t="s">
        <v>10</v>
      </c>
      <c r="D373" t="s">
        <v>35</v>
      </c>
      <c r="E373">
        <v>22</v>
      </c>
      <c r="F373">
        <v>5192.7299999999996</v>
      </c>
      <c r="G373" t="s">
        <v>12</v>
      </c>
      <c r="H373">
        <v>1</v>
      </c>
      <c r="I373">
        <v>2004.47</v>
      </c>
      <c r="J373">
        <v>3188.26</v>
      </c>
      <c r="K373" t="str">
        <f t="shared" si="16"/>
        <v>July</v>
      </c>
      <c r="L373" t="str">
        <f t="shared" si="17"/>
        <v>Q3</v>
      </c>
      <c r="M373">
        <f t="shared" si="15"/>
        <v>2023</v>
      </c>
      <c r="N373" t="s">
        <v>45</v>
      </c>
    </row>
    <row r="374" spans="1:14" ht="14.55" customHeight="1" x14ac:dyDescent="0.3">
      <c r="A374" s="1">
        <v>45097</v>
      </c>
      <c r="B374" t="s">
        <v>18</v>
      </c>
      <c r="C374" t="s">
        <v>10</v>
      </c>
      <c r="D374" t="s">
        <v>35</v>
      </c>
      <c r="E374">
        <v>41</v>
      </c>
      <c r="F374">
        <v>19582.03</v>
      </c>
      <c r="G374" t="s">
        <v>12</v>
      </c>
      <c r="H374">
        <v>5</v>
      </c>
      <c r="I374">
        <v>2286.62</v>
      </c>
      <c r="J374">
        <v>17295.41</v>
      </c>
      <c r="K374" t="str">
        <f t="shared" si="16"/>
        <v>June</v>
      </c>
      <c r="L374" t="str">
        <f t="shared" si="17"/>
        <v>Q2</v>
      </c>
      <c r="M374">
        <f t="shared" si="15"/>
        <v>2023</v>
      </c>
      <c r="N374" t="s">
        <v>44</v>
      </c>
    </row>
    <row r="375" spans="1:14" ht="14.55" customHeight="1" x14ac:dyDescent="0.3">
      <c r="A375" s="1">
        <v>44927</v>
      </c>
      <c r="B375" t="s">
        <v>18</v>
      </c>
      <c r="C375" t="s">
        <v>21</v>
      </c>
      <c r="D375" t="s">
        <v>33</v>
      </c>
      <c r="E375">
        <v>30</v>
      </c>
      <c r="F375">
        <v>8658.7900000000009</v>
      </c>
      <c r="G375" t="s">
        <v>20</v>
      </c>
      <c r="H375">
        <v>1</v>
      </c>
      <c r="I375">
        <v>2535.1999999999998</v>
      </c>
      <c r="J375">
        <v>6123.59</v>
      </c>
      <c r="K375" t="str">
        <f t="shared" si="16"/>
        <v>January</v>
      </c>
      <c r="L375" t="str">
        <f t="shared" si="17"/>
        <v>Q1</v>
      </c>
      <c r="M375">
        <f t="shared" si="15"/>
        <v>2023</v>
      </c>
      <c r="N375" t="s">
        <v>44</v>
      </c>
    </row>
    <row r="376" spans="1:14" ht="14.55" customHeight="1" x14ac:dyDescent="0.3">
      <c r="A376" s="1">
        <v>44862</v>
      </c>
      <c r="B376" t="s">
        <v>23</v>
      </c>
      <c r="C376" t="s">
        <v>10</v>
      </c>
      <c r="D376" t="s">
        <v>28</v>
      </c>
      <c r="E376">
        <v>1</v>
      </c>
      <c r="F376">
        <v>210.42</v>
      </c>
      <c r="G376" t="s">
        <v>12</v>
      </c>
      <c r="H376">
        <v>5</v>
      </c>
      <c r="I376">
        <v>134.4</v>
      </c>
      <c r="J376">
        <v>76.02</v>
      </c>
      <c r="K376" t="str">
        <f t="shared" si="16"/>
        <v>October</v>
      </c>
      <c r="L376" t="str">
        <f t="shared" si="17"/>
        <v>Q4</v>
      </c>
      <c r="M376">
        <f t="shared" si="15"/>
        <v>2022</v>
      </c>
      <c r="N376" t="s">
        <v>44</v>
      </c>
    </row>
    <row r="377" spans="1:14" ht="14.55" customHeight="1" x14ac:dyDescent="0.3">
      <c r="A377" s="1">
        <v>44895</v>
      </c>
      <c r="B377" t="s">
        <v>31</v>
      </c>
      <c r="C377" t="s">
        <v>13</v>
      </c>
      <c r="D377" t="s">
        <v>40</v>
      </c>
      <c r="E377">
        <v>22</v>
      </c>
      <c r="F377">
        <v>1957.1</v>
      </c>
      <c r="G377" t="s">
        <v>12</v>
      </c>
      <c r="H377">
        <v>2</v>
      </c>
      <c r="I377">
        <v>3798.32</v>
      </c>
      <c r="J377">
        <v>-1841.22</v>
      </c>
      <c r="K377" t="str">
        <f t="shared" si="16"/>
        <v>November</v>
      </c>
      <c r="L377" t="str">
        <f t="shared" si="17"/>
        <v>Q4</v>
      </c>
      <c r="M377">
        <f t="shared" si="15"/>
        <v>2022</v>
      </c>
      <c r="N377" t="s">
        <v>44</v>
      </c>
    </row>
    <row r="378" spans="1:14" ht="14.55" customHeight="1" x14ac:dyDescent="0.3">
      <c r="A378" s="1">
        <v>45282</v>
      </c>
      <c r="B378" t="s">
        <v>9</v>
      </c>
      <c r="C378" t="s">
        <v>25</v>
      </c>
      <c r="D378" t="s">
        <v>26</v>
      </c>
      <c r="E378">
        <v>20</v>
      </c>
      <c r="F378">
        <v>8455.3700000000008</v>
      </c>
      <c r="G378" t="s">
        <v>20</v>
      </c>
      <c r="H378">
        <v>4</v>
      </c>
      <c r="I378">
        <v>3737.5</v>
      </c>
      <c r="J378">
        <v>4717.87</v>
      </c>
      <c r="K378" t="str">
        <f t="shared" si="16"/>
        <v>December</v>
      </c>
      <c r="L378" t="str">
        <f t="shared" si="17"/>
        <v>Q4</v>
      </c>
      <c r="M378">
        <f t="shared" si="15"/>
        <v>2023</v>
      </c>
      <c r="N378" t="s">
        <v>44</v>
      </c>
    </row>
    <row r="379" spans="1:14" ht="14.55" customHeight="1" x14ac:dyDescent="0.3">
      <c r="A379" s="1">
        <v>45057</v>
      </c>
      <c r="B379" t="s">
        <v>23</v>
      </c>
      <c r="C379" t="s">
        <v>21</v>
      </c>
      <c r="D379" t="s">
        <v>33</v>
      </c>
      <c r="E379">
        <v>40</v>
      </c>
      <c r="F379">
        <v>2986.74</v>
      </c>
      <c r="G379" t="s">
        <v>12</v>
      </c>
      <c r="H379">
        <v>1</v>
      </c>
      <c r="I379">
        <v>9374.59</v>
      </c>
      <c r="J379">
        <v>-6387.85</v>
      </c>
      <c r="K379" t="str">
        <f t="shared" si="16"/>
        <v>May</v>
      </c>
      <c r="L379" t="str">
        <f t="shared" si="17"/>
        <v>Q2</v>
      </c>
      <c r="M379">
        <f t="shared" si="15"/>
        <v>2023</v>
      </c>
      <c r="N379" t="s">
        <v>44</v>
      </c>
    </row>
    <row r="380" spans="1:14" ht="14.55" customHeight="1" x14ac:dyDescent="0.3">
      <c r="A380" s="1">
        <v>44601</v>
      </c>
      <c r="B380" t="s">
        <v>15</v>
      </c>
      <c r="C380" t="s">
        <v>21</v>
      </c>
      <c r="D380" t="s">
        <v>32</v>
      </c>
      <c r="E380">
        <v>24</v>
      </c>
      <c r="F380">
        <v>3489.36</v>
      </c>
      <c r="G380" t="s">
        <v>12</v>
      </c>
      <c r="H380">
        <v>3</v>
      </c>
      <c r="I380">
        <v>5414.25</v>
      </c>
      <c r="J380">
        <v>-1924.89</v>
      </c>
      <c r="K380" t="str">
        <f t="shared" si="16"/>
        <v>February</v>
      </c>
      <c r="L380" t="str">
        <f t="shared" si="17"/>
        <v>Q1</v>
      </c>
      <c r="M380">
        <f t="shared" si="15"/>
        <v>2022</v>
      </c>
      <c r="N380" t="s">
        <v>44</v>
      </c>
    </row>
    <row r="381" spans="1:14" ht="14.55" customHeight="1" x14ac:dyDescent="0.3">
      <c r="A381" s="1">
        <v>45082</v>
      </c>
      <c r="B381" t="s">
        <v>31</v>
      </c>
      <c r="C381" t="s">
        <v>25</v>
      </c>
      <c r="D381" t="s">
        <v>38</v>
      </c>
      <c r="E381">
        <v>30</v>
      </c>
      <c r="F381">
        <v>14453.64</v>
      </c>
      <c r="G381" t="s">
        <v>12</v>
      </c>
      <c r="H381">
        <v>4</v>
      </c>
      <c r="I381">
        <v>1258.4000000000001</v>
      </c>
      <c r="J381">
        <v>13195.24</v>
      </c>
      <c r="K381" t="str">
        <f t="shared" si="16"/>
        <v>June</v>
      </c>
      <c r="L381" t="str">
        <f t="shared" si="17"/>
        <v>Q2</v>
      </c>
      <c r="M381">
        <f t="shared" si="15"/>
        <v>2023</v>
      </c>
      <c r="N381" t="s">
        <v>44</v>
      </c>
    </row>
    <row r="382" spans="1:14" ht="14.55" customHeight="1" x14ac:dyDescent="0.3">
      <c r="A382" s="1">
        <v>45184</v>
      </c>
      <c r="B382" t="s">
        <v>31</v>
      </c>
      <c r="C382" t="s">
        <v>16</v>
      </c>
      <c r="D382" t="s">
        <v>37</v>
      </c>
      <c r="E382">
        <v>6</v>
      </c>
      <c r="F382">
        <v>1409.28</v>
      </c>
      <c r="G382" t="s">
        <v>12</v>
      </c>
      <c r="H382">
        <v>3</v>
      </c>
      <c r="I382">
        <v>640.24</v>
      </c>
      <c r="J382">
        <v>769.04</v>
      </c>
      <c r="K382" t="str">
        <f t="shared" si="16"/>
        <v>September</v>
      </c>
      <c r="L382" t="str">
        <f t="shared" si="17"/>
        <v>Q3</v>
      </c>
      <c r="M382">
        <f t="shared" si="15"/>
        <v>2023</v>
      </c>
      <c r="N382" t="s">
        <v>44</v>
      </c>
    </row>
    <row r="383" spans="1:14" ht="14.55" customHeight="1" x14ac:dyDescent="0.3">
      <c r="A383" s="1">
        <v>45160</v>
      </c>
      <c r="B383" t="s">
        <v>18</v>
      </c>
      <c r="C383" t="s">
        <v>21</v>
      </c>
      <c r="D383" t="s">
        <v>33</v>
      </c>
      <c r="E383">
        <v>1</v>
      </c>
      <c r="F383">
        <v>461.44</v>
      </c>
      <c r="G383" t="s">
        <v>12</v>
      </c>
      <c r="H383">
        <v>2</v>
      </c>
      <c r="I383">
        <v>24.23</v>
      </c>
      <c r="J383">
        <v>437.21</v>
      </c>
      <c r="K383" t="str">
        <f t="shared" si="16"/>
        <v>August</v>
      </c>
      <c r="L383" t="str">
        <f t="shared" si="17"/>
        <v>Q3</v>
      </c>
      <c r="M383">
        <f t="shared" si="15"/>
        <v>2023</v>
      </c>
      <c r="N383" t="s">
        <v>43</v>
      </c>
    </row>
    <row r="384" spans="1:14" ht="14.55" customHeight="1" x14ac:dyDescent="0.3">
      <c r="A384" s="1">
        <v>44722</v>
      </c>
      <c r="B384" t="s">
        <v>15</v>
      </c>
      <c r="C384" t="s">
        <v>13</v>
      </c>
      <c r="D384" t="s">
        <v>29</v>
      </c>
      <c r="E384">
        <v>50</v>
      </c>
      <c r="F384">
        <v>11598.03</v>
      </c>
      <c r="G384" t="s">
        <v>12</v>
      </c>
      <c r="H384">
        <v>4</v>
      </c>
      <c r="I384">
        <v>5284.22</v>
      </c>
      <c r="J384">
        <v>6313.81</v>
      </c>
      <c r="K384" t="str">
        <f t="shared" si="16"/>
        <v>June</v>
      </c>
      <c r="L384" t="str">
        <f t="shared" si="17"/>
        <v>Q2</v>
      </c>
      <c r="M384">
        <f t="shared" si="15"/>
        <v>2022</v>
      </c>
      <c r="N384" t="s">
        <v>45</v>
      </c>
    </row>
    <row r="385" spans="1:14" ht="14.55" customHeight="1" x14ac:dyDescent="0.3">
      <c r="A385" s="1">
        <v>45193</v>
      </c>
      <c r="B385" t="s">
        <v>9</v>
      </c>
      <c r="C385" t="s">
        <v>25</v>
      </c>
      <c r="D385" t="s">
        <v>38</v>
      </c>
      <c r="E385">
        <v>14</v>
      </c>
      <c r="F385">
        <v>5997.51</v>
      </c>
      <c r="G385" t="s">
        <v>12</v>
      </c>
      <c r="H385">
        <v>3</v>
      </c>
      <c r="I385">
        <v>280.92</v>
      </c>
      <c r="J385">
        <v>5716.59</v>
      </c>
      <c r="K385" t="str">
        <f t="shared" si="16"/>
        <v>September</v>
      </c>
      <c r="L385" t="str">
        <f t="shared" si="17"/>
        <v>Q3</v>
      </c>
      <c r="M385">
        <f t="shared" si="15"/>
        <v>2023</v>
      </c>
      <c r="N385" t="s">
        <v>44</v>
      </c>
    </row>
    <row r="386" spans="1:14" ht="14.55" customHeight="1" x14ac:dyDescent="0.3">
      <c r="A386" s="1">
        <v>44932</v>
      </c>
      <c r="B386" t="s">
        <v>18</v>
      </c>
      <c r="C386" t="s">
        <v>16</v>
      </c>
      <c r="D386" t="s">
        <v>27</v>
      </c>
      <c r="E386">
        <v>35</v>
      </c>
      <c r="F386">
        <v>4680.2700000000004</v>
      </c>
      <c r="G386" t="s">
        <v>20</v>
      </c>
      <c r="H386">
        <v>5</v>
      </c>
      <c r="I386">
        <v>1412.05</v>
      </c>
      <c r="J386">
        <v>3268.22</v>
      </c>
      <c r="K386" t="str">
        <f t="shared" si="16"/>
        <v>January</v>
      </c>
      <c r="L386" t="str">
        <f t="shared" si="17"/>
        <v>Q1</v>
      </c>
      <c r="M386">
        <f t="shared" ref="M386:M449" si="18">YEAR(A386)</f>
        <v>2023</v>
      </c>
      <c r="N386" t="s">
        <v>44</v>
      </c>
    </row>
    <row r="387" spans="1:14" ht="14.55" customHeight="1" x14ac:dyDescent="0.3">
      <c r="A387" s="1">
        <v>44593</v>
      </c>
      <c r="B387" t="s">
        <v>18</v>
      </c>
      <c r="C387" t="s">
        <v>25</v>
      </c>
      <c r="D387" t="s">
        <v>26</v>
      </c>
      <c r="E387">
        <v>47</v>
      </c>
      <c r="F387">
        <v>23032.400000000001</v>
      </c>
      <c r="G387" t="s">
        <v>12</v>
      </c>
      <c r="H387">
        <v>5</v>
      </c>
      <c r="I387">
        <v>8096.19</v>
      </c>
      <c r="J387">
        <v>14936.21</v>
      </c>
      <c r="K387" t="str">
        <f t="shared" ref="K387:K450" si="19">TEXT(A387,"mmmm")</f>
        <v>February</v>
      </c>
      <c r="L387" t="str">
        <f t="shared" ref="L387:L450" si="20">"Q"&amp;INT((MONTH(A387)-1)/3)+1</f>
        <v>Q1</v>
      </c>
      <c r="M387">
        <f t="shared" si="18"/>
        <v>2022</v>
      </c>
      <c r="N387" t="s">
        <v>46</v>
      </c>
    </row>
    <row r="388" spans="1:14" ht="14.55" customHeight="1" x14ac:dyDescent="0.3">
      <c r="A388" s="1">
        <v>45210</v>
      </c>
      <c r="B388" t="s">
        <v>23</v>
      </c>
      <c r="C388" t="s">
        <v>13</v>
      </c>
      <c r="D388" t="s">
        <v>40</v>
      </c>
      <c r="E388">
        <v>47</v>
      </c>
      <c r="F388">
        <v>14222.06</v>
      </c>
      <c r="G388" t="s">
        <v>20</v>
      </c>
      <c r="H388">
        <v>5</v>
      </c>
      <c r="I388">
        <v>11722.86</v>
      </c>
      <c r="J388">
        <v>2499.1999999999998</v>
      </c>
      <c r="K388" t="str">
        <f t="shared" si="19"/>
        <v>October</v>
      </c>
      <c r="L388" t="str">
        <f t="shared" si="20"/>
        <v>Q4</v>
      </c>
      <c r="M388">
        <f t="shared" si="18"/>
        <v>2023</v>
      </c>
      <c r="N388" t="s">
        <v>44</v>
      </c>
    </row>
    <row r="389" spans="1:14" ht="14.55" customHeight="1" x14ac:dyDescent="0.3">
      <c r="A389" s="1">
        <v>45265</v>
      </c>
      <c r="B389" t="s">
        <v>15</v>
      </c>
      <c r="C389" t="s">
        <v>16</v>
      </c>
      <c r="D389" t="s">
        <v>24</v>
      </c>
      <c r="E389">
        <v>41</v>
      </c>
      <c r="F389">
        <v>4641.2299999999996</v>
      </c>
      <c r="G389" t="s">
        <v>12</v>
      </c>
      <c r="H389">
        <v>3</v>
      </c>
      <c r="I389">
        <v>7618.64</v>
      </c>
      <c r="J389">
        <v>-2977.41</v>
      </c>
      <c r="K389" t="str">
        <f t="shared" si="19"/>
        <v>December</v>
      </c>
      <c r="L389" t="str">
        <f t="shared" si="20"/>
        <v>Q4</v>
      </c>
      <c r="M389">
        <f t="shared" si="18"/>
        <v>2023</v>
      </c>
      <c r="N389" t="s">
        <v>44</v>
      </c>
    </row>
    <row r="390" spans="1:14" ht="14.55" customHeight="1" x14ac:dyDescent="0.3">
      <c r="A390" s="1">
        <v>44607</v>
      </c>
      <c r="B390" t="s">
        <v>15</v>
      </c>
      <c r="C390" t="s">
        <v>16</v>
      </c>
      <c r="D390" t="s">
        <v>27</v>
      </c>
      <c r="E390">
        <v>31</v>
      </c>
      <c r="F390">
        <v>11007.55</v>
      </c>
      <c r="G390" t="s">
        <v>20</v>
      </c>
      <c r="H390">
        <v>3</v>
      </c>
      <c r="I390">
        <v>7314.55</v>
      </c>
      <c r="J390">
        <v>3693</v>
      </c>
      <c r="K390" t="str">
        <f t="shared" si="19"/>
        <v>February</v>
      </c>
      <c r="L390" t="str">
        <f t="shared" si="20"/>
        <v>Q1</v>
      </c>
      <c r="M390">
        <f t="shared" si="18"/>
        <v>2022</v>
      </c>
      <c r="N390" t="s">
        <v>45</v>
      </c>
    </row>
    <row r="391" spans="1:14" ht="14.55" customHeight="1" x14ac:dyDescent="0.3">
      <c r="A391" s="1">
        <v>44975</v>
      </c>
      <c r="B391" t="s">
        <v>9</v>
      </c>
      <c r="C391" t="s">
        <v>13</v>
      </c>
      <c r="D391" t="s">
        <v>19</v>
      </c>
      <c r="E391">
        <v>30</v>
      </c>
      <c r="F391">
        <v>2286.1999999999998</v>
      </c>
      <c r="G391" t="s">
        <v>20</v>
      </c>
      <c r="H391">
        <v>1</v>
      </c>
      <c r="I391">
        <v>4204.26</v>
      </c>
      <c r="J391">
        <v>-1918.06</v>
      </c>
      <c r="K391" t="str">
        <f t="shared" si="19"/>
        <v>February</v>
      </c>
      <c r="L391" t="str">
        <f t="shared" si="20"/>
        <v>Q1</v>
      </c>
      <c r="M391">
        <f t="shared" si="18"/>
        <v>2023</v>
      </c>
      <c r="N391" t="s">
        <v>44</v>
      </c>
    </row>
    <row r="392" spans="1:14" ht="14.55" customHeight="1" x14ac:dyDescent="0.3">
      <c r="A392" s="1">
        <v>44860</v>
      </c>
      <c r="B392" t="s">
        <v>15</v>
      </c>
      <c r="C392" t="s">
        <v>10</v>
      </c>
      <c r="D392" t="s">
        <v>34</v>
      </c>
      <c r="E392">
        <v>45</v>
      </c>
      <c r="F392">
        <v>18746.27</v>
      </c>
      <c r="G392" t="s">
        <v>12</v>
      </c>
      <c r="H392">
        <v>1</v>
      </c>
      <c r="I392">
        <v>740.44</v>
      </c>
      <c r="J392">
        <v>18005.830000000002</v>
      </c>
      <c r="K392" t="str">
        <f t="shared" si="19"/>
        <v>October</v>
      </c>
      <c r="L392" t="str">
        <f t="shared" si="20"/>
        <v>Q4</v>
      </c>
      <c r="M392">
        <f t="shared" si="18"/>
        <v>2022</v>
      </c>
      <c r="N392" t="s">
        <v>44</v>
      </c>
    </row>
    <row r="393" spans="1:14" ht="14.55" customHeight="1" x14ac:dyDescent="0.3">
      <c r="A393" s="1">
        <v>45101</v>
      </c>
      <c r="B393" t="s">
        <v>15</v>
      </c>
      <c r="C393" t="s">
        <v>13</v>
      </c>
      <c r="D393" t="s">
        <v>29</v>
      </c>
      <c r="E393">
        <v>20</v>
      </c>
      <c r="F393">
        <v>7153.84</v>
      </c>
      <c r="G393" t="s">
        <v>12</v>
      </c>
      <c r="H393">
        <v>1</v>
      </c>
      <c r="I393">
        <v>4658.2299999999996</v>
      </c>
      <c r="J393">
        <v>2495.61</v>
      </c>
      <c r="K393" t="str">
        <f t="shared" si="19"/>
        <v>June</v>
      </c>
      <c r="L393" t="str">
        <f t="shared" si="20"/>
        <v>Q2</v>
      </c>
      <c r="M393">
        <f t="shared" si="18"/>
        <v>2023</v>
      </c>
      <c r="N393" t="s">
        <v>45</v>
      </c>
    </row>
    <row r="394" spans="1:14" ht="14.55" customHeight="1" x14ac:dyDescent="0.3">
      <c r="A394" s="1">
        <v>44759</v>
      </c>
      <c r="B394" t="s">
        <v>23</v>
      </c>
      <c r="C394" t="s">
        <v>16</v>
      </c>
      <c r="D394" t="s">
        <v>37</v>
      </c>
      <c r="E394">
        <v>43</v>
      </c>
      <c r="F394">
        <v>10889.27</v>
      </c>
      <c r="G394" t="s">
        <v>20</v>
      </c>
      <c r="H394">
        <v>1</v>
      </c>
      <c r="I394">
        <v>9288.2199999999993</v>
      </c>
      <c r="J394">
        <v>1601.05</v>
      </c>
      <c r="K394" t="str">
        <f t="shared" si="19"/>
        <v>July</v>
      </c>
      <c r="L394" t="str">
        <f t="shared" si="20"/>
        <v>Q3</v>
      </c>
      <c r="M394">
        <f t="shared" si="18"/>
        <v>2022</v>
      </c>
      <c r="N394" t="s">
        <v>44</v>
      </c>
    </row>
    <row r="395" spans="1:14" ht="14.55" customHeight="1" x14ac:dyDescent="0.3">
      <c r="A395" s="1">
        <v>44815</v>
      </c>
      <c r="B395" t="s">
        <v>31</v>
      </c>
      <c r="C395" t="s">
        <v>13</v>
      </c>
      <c r="D395" t="s">
        <v>29</v>
      </c>
      <c r="E395">
        <v>5</v>
      </c>
      <c r="F395">
        <v>72.78</v>
      </c>
      <c r="G395" t="s">
        <v>12</v>
      </c>
      <c r="H395">
        <v>4</v>
      </c>
      <c r="I395">
        <v>1145.26</v>
      </c>
      <c r="J395">
        <v>-1072.48</v>
      </c>
      <c r="K395" t="str">
        <f t="shared" si="19"/>
        <v>September</v>
      </c>
      <c r="L395" t="str">
        <f t="shared" si="20"/>
        <v>Q3</v>
      </c>
      <c r="M395">
        <f t="shared" si="18"/>
        <v>2022</v>
      </c>
      <c r="N395" t="s">
        <v>44</v>
      </c>
    </row>
    <row r="396" spans="1:14" ht="14.55" customHeight="1" x14ac:dyDescent="0.3">
      <c r="A396" s="1">
        <v>44944</v>
      </c>
      <c r="B396" t="s">
        <v>18</v>
      </c>
      <c r="C396" t="s">
        <v>16</v>
      </c>
      <c r="D396" t="s">
        <v>24</v>
      </c>
      <c r="E396">
        <v>38</v>
      </c>
      <c r="F396">
        <v>5971.38</v>
      </c>
      <c r="G396" t="s">
        <v>20</v>
      </c>
      <c r="H396">
        <v>5</v>
      </c>
      <c r="I396">
        <v>4265.24</v>
      </c>
      <c r="J396">
        <v>1706.14</v>
      </c>
      <c r="K396" t="str">
        <f t="shared" si="19"/>
        <v>January</v>
      </c>
      <c r="L396" t="str">
        <f t="shared" si="20"/>
        <v>Q1</v>
      </c>
      <c r="M396">
        <f t="shared" si="18"/>
        <v>2023</v>
      </c>
      <c r="N396" t="s">
        <v>45</v>
      </c>
    </row>
    <row r="397" spans="1:14" ht="14.55" customHeight="1" x14ac:dyDescent="0.3">
      <c r="A397" s="1">
        <v>44862</v>
      </c>
      <c r="B397" t="s">
        <v>18</v>
      </c>
      <c r="C397" t="s">
        <v>25</v>
      </c>
      <c r="D397" t="s">
        <v>30</v>
      </c>
      <c r="E397">
        <v>27</v>
      </c>
      <c r="F397">
        <v>13312.4</v>
      </c>
      <c r="G397" t="s">
        <v>20</v>
      </c>
      <c r="H397">
        <v>3</v>
      </c>
      <c r="I397">
        <v>4266.6000000000004</v>
      </c>
      <c r="J397">
        <v>9045.7999999999993</v>
      </c>
      <c r="K397" t="str">
        <f t="shared" si="19"/>
        <v>October</v>
      </c>
      <c r="L397" t="str">
        <f t="shared" si="20"/>
        <v>Q4</v>
      </c>
      <c r="M397">
        <f t="shared" si="18"/>
        <v>2022</v>
      </c>
      <c r="N397" t="s">
        <v>44</v>
      </c>
    </row>
    <row r="398" spans="1:14" ht="14.55" customHeight="1" x14ac:dyDescent="0.3">
      <c r="A398" s="1">
        <v>44618</v>
      </c>
      <c r="B398" t="s">
        <v>31</v>
      </c>
      <c r="C398" t="s">
        <v>21</v>
      </c>
      <c r="D398" t="s">
        <v>36</v>
      </c>
      <c r="E398">
        <v>46</v>
      </c>
      <c r="F398">
        <v>4697.76</v>
      </c>
      <c r="G398" t="s">
        <v>20</v>
      </c>
      <c r="H398">
        <v>1</v>
      </c>
      <c r="I398">
        <v>4921.1899999999996</v>
      </c>
      <c r="J398">
        <v>-223.43</v>
      </c>
      <c r="K398" t="str">
        <f t="shared" si="19"/>
        <v>February</v>
      </c>
      <c r="L398" t="str">
        <f t="shared" si="20"/>
        <v>Q1</v>
      </c>
      <c r="M398">
        <f t="shared" si="18"/>
        <v>2022</v>
      </c>
      <c r="N398" t="s">
        <v>45</v>
      </c>
    </row>
    <row r="399" spans="1:14" ht="14.55" customHeight="1" x14ac:dyDescent="0.3">
      <c r="A399" s="1">
        <v>44760</v>
      </c>
      <c r="B399" t="s">
        <v>18</v>
      </c>
      <c r="C399" t="s">
        <v>13</v>
      </c>
      <c r="D399" t="s">
        <v>29</v>
      </c>
      <c r="E399">
        <v>25</v>
      </c>
      <c r="F399">
        <v>10726.19</v>
      </c>
      <c r="G399" t="s">
        <v>12</v>
      </c>
      <c r="H399">
        <v>5</v>
      </c>
      <c r="I399">
        <v>2439.87</v>
      </c>
      <c r="J399">
        <v>8286.32</v>
      </c>
      <c r="K399" t="str">
        <f t="shared" si="19"/>
        <v>July</v>
      </c>
      <c r="L399" t="str">
        <f t="shared" si="20"/>
        <v>Q3</v>
      </c>
      <c r="M399">
        <f t="shared" si="18"/>
        <v>2022</v>
      </c>
      <c r="N399" t="s">
        <v>45</v>
      </c>
    </row>
    <row r="400" spans="1:14" ht="14.55" customHeight="1" x14ac:dyDescent="0.3">
      <c r="A400" s="1">
        <v>44652</v>
      </c>
      <c r="B400" t="s">
        <v>23</v>
      </c>
      <c r="C400" t="s">
        <v>16</v>
      </c>
      <c r="D400" t="s">
        <v>17</v>
      </c>
      <c r="E400">
        <v>16</v>
      </c>
      <c r="F400">
        <v>1476.66</v>
      </c>
      <c r="G400" t="s">
        <v>12</v>
      </c>
      <c r="H400">
        <v>5</v>
      </c>
      <c r="I400">
        <v>2761.04</v>
      </c>
      <c r="J400">
        <v>-1284.3800000000001</v>
      </c>
      <c r="K400" t="str">
        <f t="shared" si="19"/>
        <v>April</v>
      </c>
      <c r="L400" t="str">
        <f t="shared" si="20"/>
        <v>Q2</v>
      </c>
      <c r="M400">
        <f t="shared" si="18"/>
        <v>2022</v>
      </c>
      <c r="N400" t="s">
        <v>44</v>
      </c>
    </row>
    <row r="401" spans="1:14" ht="14.55" customHeight="1" x14ac:dyDescent="0.3">
      <c r="A401" s="1">
        <v>44923</v>
      </c>
      <c r="B401" t="s">
        <v>15</v>
      </c>
      <c r="C401" t="s">
        <v>13</v>
      </c>
      <c r="D401" t="s">
        <v>29</v>
      </c>
      <c r="E401">
        <v>16</v>
      </c>
      <c r="F401">
        <v>1537.34</v>
      </c>
      <c r="G401" t="s">
        <v>20</v>
      </c>
      <c r="H401">
        <v>2</v>
      </c>
      <c r="I401">
        <v>2463.7399999999998</v>
      </c>
      <c r="J401">
        <v>-926.4</v>
      </c>
      <c r="K401" t="str">
        <f t="shared" si="19"/>
        <v>December</v>
      </c>
      <c r="L401" t="str">
        <f t="shared" si="20"/>
        <v>Q4</v>
      </c>
      <c r="M401">
        <f t="shared" si="18"/>
        <v>2022</v>
      </c>
      <c r="N401" t="s">
        <v>44</v>
      </c>
    </row>
    <row r="402" spans="1:14" ht="14.55" customHeight="1" x14ac:dyDescent="0.3">
      <c r="A402" s="1">
        <v>44893</v>
      </c>
      <c r="B402" t="s">
        <v>31</v>
      </c>
      <c r="C402" t="s">
        <v>21</v>
      </c>
      <c r="D402" t="s">
        <v>22</v>
      </c>
      <c r="E402">
        <v>12</v>
      </c>
      <c r="F402">
        <v>3917.78</v>
      </c>
      <c r="G402" t="s">
        <v>20</v>
      </c>
      <c r="H402">
        <v>2</v>
      </c>
      <c r="I402">
        <v>783.84</v>
      </c>
      <c r="J402">
        <v>3133.94</v>
      </c>
      <c r="K402" t="str">
        <f t="shared" si="19"/>
        <v>November</v>
      </c>
      <c r="L402" t="str">
        <f t="shared" si="20"/>
        <v>Q4</v>
      </c>
      <c r="M402">
        <f t="shared" si="18"/>
        <v>2022</v>
      </c>
      <c r="N402" t="s">
        <v>44</v>
      </c>
    </row>
    <row r="403" spans="1:14" ht="14.55" customHeight="1" x14ac:dyDescent="0.3">
      <c r="A403" s="1">
        <v>44627</v>
      </c>
      <c r="B403" t="s">
        <v>15</v>
      </c>
      <c r="C403" t="s">
        <v>21</v>
      </c>
      <c r="D403" t="s">
        <v>22</v>
      </c>
      <c r="E403">
        <v>39</v>
      </c>
      <c r="F403">
        <v>16696.03</v>
      </c>
      <c r="G403" t="s">
        <v>12</v>
      </c>
      <c r="H403">
        <v>1</v>
      </c>
      <c r="I403">
        <v>1943.71</v>
      </c>
      <c r="J403">
        <v>14752.32</v>
      </c>
      <c r="K403" t="str">
        <f t="shared" si="19"/>
        <v>March</v>
      </c>
      <c r="L403" t="str">
        <f t="shared" si="20"/>
        <v>Q1</v>
      </c>
      <c r="M403">
        <f t="shared" si="18"/>
        <v>2022</v>
      </c>
      <c r="N403" t="s">
        <v>44</v>
      </c>
    </row>
    <row r="404" spans="1:14" ht="14.55" customHeight="1" x14ac:dyDescent="0.3">
      <c r="A404" s="1">
        <v>45223</v>
      </c>
      <c r="B404" t="s">
        <v>31</v>
      </c>
      <c r="C404" t="s">
        <v>13</v>
      </c>
      <c r="D404" t="s">
        <v>40</v>
      </c>
      <c r="E404">
        <v>37</v>
      </c>
      <c r="F404">
        <v>13636.54</v>
      </c>
      <c r="G404" t="s">
        <v>12</v>
      </c>
      <c r="H404">
        <v>1</v>
      </c>
      <c r="I404">
        <v>5475.09</v>
      </c>
      <c r="J404">
        <v>8161.45</v>
      </c>
      <c r="K404" t="str">
        <f t="shared" si="19"/>
        <v>October</v>
      </c>
      <c r="L404" t="str">
        <f t="shared" si="20"/>
        <v>Q4</v>
      </c>
      <c r="M404">
        <f t="shared" si="18"/>
        <v>2023</v>
      </c>
      <c r="N404" t="s">
        <v>45</v>
      </c>
    </row>
    <row r="405" spans="1:14" ht="14.55" customHeight="1" x14ac:dyDescent="0.3">
      <c r="A405" s="1">
        <v>45229</v>
      </c>
      <c r="B405" t="s">
        <v>23</v>
      </c>
      <c r="C405" t="s">
        <v>21</v>
      </c>
      <c r="D405" t="s">
        <v>36</v>
      </c>
      <c r="E405">
        <v>5</v>
      </c>
      <c r="F405">
        <v>2131.21</v>
      </c>
      <c r="G405" t="s">
        <v>20</v>
      </c>
      <c r="H405">
        <v>2</v>
      </c>
      <c r="I405">
        <v>88.63</v>
      </c>
      <c r="J405">
        <v>2042.58</v>
      </c>
      <c r="K405" t="str">
        <f t="shared" si="19"/>
        <v>October</v>
      </c>
      <c r="L405" t="str">
        <f t="shared" si="20"/>
        <v>Q4</v>
      </c>
      <c r="M405">
        <f t="shared" si="18"/>
        <v>2023</v>
      </c>
      <c r="N405" t="s">
        <v>47</v>
      </c>
    </row>
    <row r="406" spans="1:14" ht="14.55" customHeight="1" x14ac:dyDescent="0.3">
      <c r="A406" s="1">
        <v>45142</v>
      </c>
      <c r="B406" t="s">
        <v>31</v>
      </c>
      <c r="C406" t="s">
        <v>25</v>
      </c>
      <c r="D406" t="s">
        <v>30</v>
      </c>
      <c r="E406">
        <v>20</v>
      </c>
      <c r="F406">
        <v>9791.25</v>
      </c>
      <c r="G406" t="s">
        <v>12</v>
      </c>
      <c r="H406">
        <v>5</v>
      </c>
      <c r="I406">
        <v>2590.04</v>
      </c>
      <c r="J406">
        <v>7201.21</v>
      </c>
      <c r="K406" t="str">
        <f t="shared" si="19"/>
        <v>August</v>
      </c>
      <c r="L406" t="str">
        <f t="shared" si="20"/>
        <v>Q3</v>
      </c>
      <c r="M406">
        <f t="shared" si="18"/>
        <v>2023</v>
      </c>
      <c r="N406" t="s">
        <v>44</v>
      </c>
    </row>
    <row r="407" spans="1:14" ht="14.55" customHeight="1" x14ac:dyDescent="0.3">
      <c r="A407" s="1">
        <v>44566</v>
      </c>
      <c r="B407" t="s">
        <v>18</v>
      </c>
      <c r="C407" t="s">
        <v>13</v>
      </c>
      <c r="D407" t="s">
        <v>29</v>
      </c>
      <c r="E407">
        <v>11</v>
      </c>
      <c r="F407">
        <v>5473.25</v>
      </c>
      <c r="G407" t="s">
        <v>20</v>
      </c>
      <c r="H407">
        <v>2</v>
      </c>
      <c r="I407">
        <v>977.54</v>
      </c>
      <c r="J407">
        <v>4495.71</v>
      </c>
      <c r="K407" t="str">
        <f t="shared" si="19"/>
        <v>January</v>
      </c>
      <c r="L407" t="str">
        <f t="shared" si="20"/>
        <v>Q1</v>
      </c>
      <c r="M407">
        <f t="shared" si="18"/>
        <v>2022</v>
      </c>
      <c r="N407" t="s">
        <v>46</v>
      </c>
    </row>
    <row r="408" spans="1:14" ht="14.55" customHeight="1" x14ac:dyDescent="0.3">
      <c r="A408" s="1">
        <v>44830</v>
      </c>
      <c r="B408" t="s">
        <v>18</v>
      </c>
      <c r="C408" t="s">
        <v>13</v>
      </c>
      <c r="D408" t="s">
        <v>14</v>
      </c>
      <c r="E408">
        <v>27</v>
      </c>
      <c r="F408">
        <v>11219.24</v>
      </c>
      <c r="G408" t="s">
        <v>12</v>
      </c>
      <c r="H408">
        <v>2</v>
      </c>
      <c r="I408">
        <v>2022.51</v>
      </c>
      <c r="J408">
        <v>9196.73</v>
      </c>
      <c r="K408" t="str">
        <f t="shared" si="19"/>
        <v>September</v>
      </c>
      <c r="L408" t="str">
        <f t="shared" si="20"/>
        <v>Q3</v>
      </c>
      <c r="M408">
        <f t="shared" si="18"/>
        <v>2022</v>
      </c>
      <c r="N408" t="s">
        <v>45</v>
      </c>
    </row>
    <row r="409" spans="1:14" ht="14.55" customHeight="1" x14ac:dyDescent="0.3">
      <c r="A409" s="1">
        <v>44805</v>
      </c>
      <c r="B409" t="s">
        <v>23</v>
      </c>
      <c r="C409" t="s">
        <v>16</v>
      </c>
      <c r="D409" t="s">
        <v>17</v>
      </c>
      <c r="E409">
        <v>20</v>
      </c>
      <c r="F409">
        <v>4100.8100000000004</v>
      </c>
      <c r="G409" t="s">
        <v>20</v>
      </c>
      <c r="H409">
        <v>2</v>
      </c>
      <c r="I409">
        <v>2805.21</v>
      </c>
      <c r="J409">
        <v>1295.5999999999999</v>
      </c>
      <c r="K409" t="str">
        <f t="shared" si="19"/>
        <v>September</v>
      </c>
      <c r="L409" t="str">
        <f t="shared" si="20"/>
        <v>Q3</v>
      </c>
      <c r="M409">
        <f t="shared" si="18"/>
        <v>2022</v>
      </c>
      <c r="N409" t="s">
        <v>45</v>
      </c>
    </row>
    <row r="410" spans="1:14" ht="14.55" customHeight="1" x14ac:dyDescent="0.3">
      <c r="A410" s="1">
        <v>44562</v>
      </c>
      <c r="B410" t="s">
        <v>9</v>
      </c>
      <c r="C410" t="s">
        <v>13</v>
      </c>
      <c r="D410" t="s">
        <v>29</v>
      </c>
      <c r="E410">
        <v>12</v>
      </c>
      <c r="F410">
        <v>5913.59</v>
      </c>
      <c r="G410" t="s">
        <v>20</v>
      </c>
      <c r="H410">
        <v>2</v>
      </c>
      <c r="I410">
        <v>321.54000000000002</v>
      </c>
      <c r="J410">
        <v>5592.05</v>
      </c>
      <c r="K410" t="str">
        <f t="shared" si="19"/>
        <v>January</v>
      </c>
      <c r="L410" t="str">
        <f t="shared" si="20"/>
        <v>Q1</v>
      </c>
      <c r="M410">
        <f t="shared" si="18"/>
        <v>2022</v>
      </c>
      <c r="N410" t="s">
        <v>44</v>
      </c>
    </row>
    <row r="411" spans="1:14" ht="14.55" customHeight="1" x14ac:dyDescent="0.3">
      <c r="A411" s="1">
        <v>44571</v>
      </c>
      <c r="B411" t="s">
        <v>23</v>
      </c>
      <c r="C411" t="s">
        <v>25</v>
      </c>
      <c r="D411" t="s">
        <v>30</v>
      </c>
      <c r="E411">
        <v>33</v>
      </c>
      <c r="F411">
        <v>8568.1</v>
      </c>
      <c r="G411" t="s">
        <v>12</v>
      </c>
      <c r="H411">
        <v>4</v>
      </c>
      <c r="I411">
        <v>4654.46</v>
      </c>
      <c r="J411">
        <v>3913.64</v>
      </c>
      <c r="K411" t="str">
        <f t="shared" si="19"/>
        <v>January</v>
      </c>
      <c r="L411" t="str">
        <f t="shared" si="20"/>
        <v>Q1</v>
      </c>
      <c r="M411">
        <f t="shared" si="18"/>
        <v>2022</v>
      </c>
      <c r="N411" t="s">
        <v>44</v>
      </c>
    </row>
    <row r="412" spans="1:14" ht="14.55" customHeight="1" x14ac:dyDescent="0.3">
      <c r="A412" s="1">
        <v>44886</v>
      </c>
      <c r="B412" t="s">
        <v>9</v>
      </c>
      <c r="C412" t="s">
        <v>16</v>
      </c>
      <c r="D412" t="s">
        <v>24</v>
      </c>
      <c r="E412">
        <v>28</v>
      </c>
      <c r="F412">
        <v>3941.99</v>
      </c>
      <c r="G412" t="s">
        <v>12</v>
      </c>
      <c r="H412">
        <v>5</v>
      </c>
      <c r="I412">
        <v>6696.26</v>
      </c>
      <c r="J412">
        <v>-2754.27</v>
      </c>
      <c r="K412" t="str">
        <f t="shared" si="19"/>
        <v>November</v>
      </c>
      <c r="L412" t="str">
        <f t="shared" si="20"/>
        <v>Q4</v>
      </c>
      <c r="M412">
        <f t="shared" si="18"/>
        <v>2022</v>
      </c>
      <c r="N412" t="s">
        <v>45</v>
      </c>
    </row>
    <row r="413" spans="1:14" ht="14.55" customHeight="1" x14ac:dyDescent="0.3">
      <c r="A413" s="1">
        <v>44901</v>
      </c>
      <c r="B413" t="s">
        <v>31</v>
      </c>
      <c r="C413" t="s">
        <v>16</v>
      </c>
      <c r="D413" t="s">
        <v>27</v>
      </c>
      <c r="E413">
        <v>11</v>
      </c>
      <c r="F413">
        <v>4351.8599999999997</v>
      </c>
      <c r="G413" t="s">
        <v>20</v>
      </c>
      <c r="H413">
        <v>1</v>
      </c>
      <c r="I413">
        <v>2253.02</v>
      </c>
      <c r="J413">
        <v>2098.84</v>
      </c>
      <c r="K413" t="str">
        <f t="shared" si="19"/>
        <v>December</v>
      </c>
      <c r="L413" t="str">
        <f t="shared" si="20"/>
        <v>Q4</v>
      </c>
      <c r="M413">
        <f t="shared" si="18"/>
        <v>2022</v>
      </c>
      <c r="N413" t="s">
        <v>46</v>
      </c>
    </row>
    <row r="414" spans="1:14" ht="14.55" customHeight="1" x14ac:dyDescent="0.3">
      <c r="A414" s="1">
        <v>44698</v>
      </c>
      <c r="B414" t="s">
        <v>9</v>
      </c>
      <c r="C414" t="s">
        <v>25</v>
      </c>
      <c r="D414" t="s">
        <v>30</v>
      </c>
      <c r="E414">
        <v>20</v>
      </c>
      <c r="F414">
        <v>3622.76</v>
      </c>
      <c r="G414" t="s">
        <v>12</v>
      </c>
      <c r="H414">
        <v>3</v>
      </c>
      <c r="I414">
        <v>719.37</v>
      </c>
      <c r="J414">
        <v>2903.39</v>
      </c>
      <c r="K414" t="str">
        <f t="shared" si="19"/>
        <v>May</v>
      </c>
      <c r="L414" t="str">
        <f t="shared" si="20"/>
        <v>Q2</v>
      </c>
      <c r="M414">
        <f t="shared" si="18"/>
        <v>2022</v>
      </c>
      <c r="N414" t="s">
        <v>44</v>
      </c>
    </row>
    <row r="415" spans="1:14" ht="14.55" customHeight="1" x14ac:dyDescent="0.3">
      <c r="A415" s="1">
        <v>45148</v>
      </c>
      <c r="B415" t="s">
        <v>9</v>
      </c>
      <c r="C415" t="s">
        <v>25</v>
      </c>
      <c r="D415" t="s">
        <v>38</v>
      </c>
      <c r="E415">
        <v>22</v>
      </c>
      <c r="F415">
        <v>10966.05</v>
      </c>
      <c r="G415" t="s">
        <v>20</v>
      </c>
      <c r="H415">
        <v>2</v>
      </c>
      <c r="I415">
        <v>3434.59</v>
      </c>
      <c r="J415">
        <v>7531.46</v>
      </c>
      <c r="K415" t="str">
        <f t="shared" si="19"/>
        <v>August</v>
      </c>
      <c r="L415" t="str">
        <f t="shared" si="20"/>
        <v>Q3</v>
      </c>
      <c r="M415">
        <f t="shared" si="18"/>
        <v>2023</v>
      </c>
      <c r="N415" t="s">
        <v>44</v>
      </c>
    </row>
    <row r="416" spans="1:14" ht="14.55" customHeight="1" x14ac:dyDescent="0.3">
      <c r="A416" s="1">
        <v>44990</v>
      </c>
      <c r="B416" t="s">
        <v>9</v>
      </c>
      <c r="C416" t="s">
        <v>10</v>
      </c>
      <c r="D416" t="s">
        <v>35</v>
      </c>
      <c r="E416">
        <v>31</v>
      </c>
      <c r="F416">
        <v>2402.61</v>
      </c>
      <c r="G416" t="s">
        <v>20</v>
      </c>
      <c r="H416">
        <v>2</v>
      </c>
      <c r="I416">
        <v>2110.4499999999998</v>
      </c>
      <c r="J416">
        <v>292.16000000000003</v>
      </c>
      <c r="K416" t="str">
        <f t="shared" si="19"/>
        <v>March</v>
      </c>
      <c r="L416" t="str">
        <f t="shared" si="20"/>
        <v>Q1</v>
      </c>
      <c r="M416">
        <f t="shared" si="18"/>
        <v>2023</v>
      </c>
      <c r="N416" t="s">
        <v>45</v>
      </c>
    </row>
    <row r="417" spans="1:14" ht="14.55" customHeight="1" x14ac:dyDescent="0.3">
      <c r="A417" s="1">
        <v>44705</v>
      </c>
      <c r="B417" t="s">
        <v>18</v>
      </c>
      <c r="C417" t="s">
        <v>10</v>
      </c>
      <c r="D417" t="s">
        <v>28</v>
      </c>
      <c r="E417">
        <v>25</v>
      </c>
      <c r="F417">
        <v>3876.68</v>
      </c>
      <c r="G417" t="s">
        <v>12</v>
      </c>
      <c r="H417">
        <v>2</v>
      </c>
      <c r="I417">
        <v>2204.5</v>
      </c>
      <c r="J417">
        <v>1672.18</v>
      </c>
      <c r="K417" t="str">
        <f t="shared" si="19"/>
        <v>May</v>
      </c>
      <c r="L417" t="str">
        <f t="shared" si="20"/>
        <v>Q2</v>
      </c>
      <c r="M417">
        <f t="shared" si="18"/>
        <v>2022</v>
      </c>
      <c r="N417" t="s">
        <v>44</v>
      </c>
    </row>
    <row r="418" spans="1:14" ht="14.55" customHeight="1" x14ac:dyDescent="0.3">
      <c r="A418" s="1">
        <v>44897</v>
      </c>
      <c r="B418" t="s">
        <v>18</v>
      </c>
      <c r="C418" t="s">
        <v>13</v>
      </c>
      <c r="D418" t="s">
        <v>14</v>
      </c>
      <c r="E418">
        <v>4</v>
      </c>
      <c r="F418">
        <v>1845.82</v>
      </c>
      <c r="G418" t="s">
        <v>12</v>
      </c>
      <c r="H418">
        <v>5</v>
      </c>
      <c r="I418">
        <v>90.28</v>
      </c>
      <c r="J418">
        <v>1755.54</v>
      </c>
      <c r="K418" t="str">
        <f t="shared" si="19"/>
        <v>December</v>
      </c>
      <c r="L418" t="str">
        <f t="shared" si="20"/>
        <v>Q4</v>
      </c>
      <c r="M418">
        <f t="shared" si="18"/>
        <v>2022</v>
      </c>
      <c r="N418" t="s">
        <v>45</v>
      </c>
    </row>
    <row r="419" spans="1:14" ht="14.55" customHeight="1" x14ac:dyDescent="0.3">
      <c r="A419" s="1">
        <v>44804</v>
      </c>
      <c r="B419" t="s">
        <v>9</v>
      </c>
      <c r="C419" t="s">
        <v>13</v>
      </c>
      <c r="D419" t="s">
        <v>14</v>
      </c>
      <c r="E419">
        <v>1</v>
      </c>
      <c r="F419">
        <v>450.25</v>
      </c>
      <c r="G419" t="s">
        <v>20</v>
      </c>
      <c r="H419">
        <v>3</v>
      </c>
      <c r="I419">
        <v>151.77000000000001</v>
      </c>
      <c r="J419">
        <v>298.48</v>
      </c>
      <c r="K419" t="str">
        <f t="shared" si="19"/>
        <v>August</v>
      </c>
      <c r="L419" t="str">
        <f t="shared" si="20"/>
        <v>Q3</v>
      </c>
      <c r="M419">
        <f t="shared" si="18"/>
        <v>2022</v>
      </c>
      <c r="N419" t="s">
        <v>45</v>
      </c>
    </row>
    <row r="420" spans="1:14" ht="14.55" customHeight="1" x14ac:dyDescent="0.3">
      <c r="A420" s="1">
        <v>45244</v>
      </c>
      <c r="B420" t="s">
        <v>18</v>
      </c>
      <c r="C420" t="s">
        <v>13</v>
      </c>
      <c r="D420" t="s">
        <v>19</v>
      </c>
      <c r="E420">
        <v>48</v>
      </c>
      <c r="F420">
        <v>7274.42</v>
      </c>
      <c r="G420" t="s">
        <v>20</v>
      </c>
      <c r="H420">
        <v>1</v>
      </c>
      <c r="I420">
        <v>4475.6000000000004</v>
      </c>
      <c r="J420">
        <v>2798.82</v>
      </c>
      <c r="K420" t="str">
        <f t="shared" si="19"/>
        <v>November</v>
      </c>
      <c r="L420" t="str">
        <f t="shared" si="20"/>
        <v>Q4</v>
      </c>
      <c r="M420">
        <f t="shared" si="18"/>
        <v>2023</v>
      </c>
      <c r="N420" t="s">
        <v>44</v>
      </c>
    </row>
    <row r="421" spans="1:14" ht="14.55" customHeight="1" x14ac:dyDescent="0.3">
      <c r="A421" s="1">
        <v>44647</v>
      </c>
      <c r="B421" t="s">
        <v>23</v>
      </c>
      <c r="C421" t="s">
        <v>25</v>
      </c>
      <c r="D421" t="s">
        <v>30</v>
      </c>
      <c r="E421">
        <v>22</v>
      </c>
      <c r="F421">
        <v>6709.83</v>
      </c>
      <c r="G421" t="s">
        <v>20</v>
      </c>
      <c r="H421">
        <v>3</v>
      </c>
      <c r="I421">
        <v>3373.01</v>
      </c>
      <c r="J421">
        <v>3336.82</v>
      </c>
      <c r="K421" t="str">
        <f t="shared" si="19"/>
        <v>March</v>
      </c>
      <c r="L421" t="str">
        <f t="shared" si="20"/>
        <v>Q1</v>
      </c>
      <c r="M421">
        <f t="shared" si="18"/>
        <v>2022</v>
      </c>
      <c r="N421" t="s">
        <v>46</v>
      </c>
    </row>
    <row r="422" spans="1:14" ht="14.55" customHeight="1" x14ac:dyDescent="0.3">
      <c r="A422" s="1">
        <v>44689</v>
      </c>
      <c r="B422" t="s">
        <v>23</v>
      </c>
      <c r="C422" t="s">
        <v>10</v>
      </c>
      <c r="D422" t="s">
        <v>11</v>
      </c>
      <c r="E422">
        <v>30</v>
      </c>
      <c r="F422">
        <v>370.26</v>
      </c>
      <c r="G422" t="s">
        <v>20</v>
      </c>
      <c r="H422">
        <v>1</v>
      </c>
      <c r="I422">
        <v>870.08</v>
      </c>
      <c r="J422">
        <v>-499.82</v>
      </c>
      <c r="K422" t="str">
        <f t="shared" si="19"/>
        <v>May</v>
      </c>
      <c r="L422" t="str">
        <f t="shared" si="20"/>
        <v>Q2</v>
      </c>
      <c r="M422">
        <f t="shared" si="18"/>
        <v>2022</v>
      </c>
      <c r="N422" t="s">
        <v>44</v>
      </c>
    </row>
    <row r="423" spans="1:14" ht="14.55" customHeight="1" x14ac:dyDescent="0.3">
      <c r="A423" s="1">
        <v>44779</v>
      </c>
      <c r="B423" t="s">
        <v>23</v>
      </c>
      <c r="C423" t="s">
        <v>13</v>
      </c>
      <c r="D423" t="s">
        <v>29</v>
      </c>
      <c r="E423">
        <v>37</v>
      </c>
      <c r="F423">
        <v>2916.65</v>
      </c>
      <c r="G423" t="s">
        <v>12</v>
      </c>
      <c r="H423">
        <v>2</v>
      </c>
      <c r="I423">
        <v>6850.91</v>
      </c>
      <c r="J423">
        <v>-3934.26</v>
      </c>
      <c r="K423" t="str">
        <f t="shared" si="19"/>
        <v>August</v>
      </c>
      <c r="L423" t="str">
        <f t="shared" si="20"/>
        <v>Q3</v>
      </c>
      <c r="M423">
        <f t="shared" si="18"/>
        <v>2022</v>
      </c>
      <c r="N423" t="s">
        <v>44</v>
      </c>
    </row>
    <row r="424" spans="1:14" ht="14.55" customHeight="1" x14ac:dyDescent="0.3">
      <c r="A424" s="1">
        <v>44850</v>
      </c>
      <c r="B424" t="s">
        <v>23</v>
      </c>
      <c r="C424" t="s">
        <v>13</v>
      </c>
      <c r="D424" t="s">
        <v>14</v>
      </c>
      <c r="E424">
        <v>44</v>
      </c>
      <c r="F424">
        <v>8885.34</v>
      </c>
      <c r="G424" t="s">
        <v>20</v>
      </c>
      <c r="H424">
        <v>5</v>
      </c>
      <c r="I424">
        <v>2892.8</v>
      </c>
      <c r="J424">
        <v>5992.54</v>
      </c>
      <c r="K424" t="str">
        <f t="shared" si="19"/>
        <v>October</v>
      </c>
      <c r="L424" t="str">
        <f t="shared" si="20"/>
        <v>Q4</v>
      </c>
      <c r="M424">
        <f t="shared" si="18"/>
        <v>2022</v>
      </c>
      <c r="N424" t="s">
        <v>46</v>
      </c>
    </row>
    <row r="425" spans="1:14" ht="14.55" customHeight="1" x14ac:dyDescent="0.3">
      <c r="A425" s="1">
        <v>44714</v>
      </c>
      <c r="B425" t="s">
        <v>23</v>
      </c>
      <c r="C425" t="s">
        <v>13</v>
      </c>
      <c r="D425" t="s">
        <v>29</v>
      </c>
      <c r="E425">
        <v>17</v>
      </c>
      <c r="F425">
        <v>6268.52</v>
      </c>
      <c r="G425" t="s">
        <v>12</v>
      </c>
      <c r="H425">
        <v>4</v>
      </c>
      <c r="I425">
        <v>3881.89</v>
      </c>
      <c r="J425">
        <v>2386.63</v>
      </c>
      <c r="K425" t="str">
        <f t="shared" si="19"/>
        <v>June</v>
      </c>
      <c r="L425" t="str">
        <f t="shared" si="20"/>
        <v>Q2</v>
      </c>
      <c r="M425">
        <f t="shared" si="18"/>
        <v>2022</v>
      </c>
      <c r="N425" t="s">
        <v>46</v>
      </c>
    </row>
    <row r="426" spans="1:14" ht="14.55" customHeight="1" x14ac:dyDescent="0.3">
      <c r="A426" s="1">
        <v>45052</v>
      </c>
      <c r="B426" t="s">
        <v>18</v>
      </c>
      <c r="C426" t="s">
        <v>13</v>
      </c>
      <c r="D426" t="s">
        <v>29</v>
      </c>
      <c r="E426">
        <v>10</v>
      </c>
      <c r="F426">
        <v>3188.74</v>
      </c>
      <c r="G426" t="s">
        <v>20</v>
      </c>
      <c r="H426">
        <v>2</v>
      </c>
      <c r="I426">
        <v>865.98</v>
      </c>
      <c r="J426">
        <v>2322.7600000000002</v>
      </c>
      <c r="K426" t="str">
        <f t="shared" si="19"/>
        <v>May</v>
      </c>
      <c r="L426" t="str">
        <f t="shared" si="20"/>
        <v>Q2</v>
      </c>
      <c r="M426">
        <f t="shared" si="18"/>
        <v>2023</v>
      </c>
      <c r="N426" t="s">
        <v>44</v>
      </c>
    </row>
    <row r="427" spans="1:14" ht="14.55" customHeight="1" x14ac:dyDescent="0.3">
      <c r="A427" s="1">
        <v>45022</v>
      </c>
      <c r="B427" t="s">
        <v>23</v>
      </c>
      <c r="C427" t="s">
        <v>25</v>
      </c>
      <c r="D427" t="s">
        <v>26</v>
      </c>
      <c r="E427">
        <v>30</v>
      </c>
      <c r="F427">
        <v>506.52</v>
      </c>
      <c r="G427" t="s">
        <v>12</v>
      </c>
      <c r="H427">
        <v>1</v>
      </c>
      <c r="I427">
        <v>1447.45</v>
      </c>
      <c r="J427">
        <v>-940.93</v>
      </c>
      <c r="K427" t="str">
        <f t="shared" si="19"/>
        <v>April</v>
      </c>
      <c r="L427" t="str">
        <f t="shared" si="20"/>
        <v>Q2</v>
      </c>
      <c r="M427">
        <f t="shared" si="18"/>
        <v>2023</v>
      </c>
      <c r="N427" t="s">
        <v>45</v>
      </c>
    </row>
    <row r="428" spans="1:14" ht="14.55" customHeight="1" x14ac:dyDescent="0.3">
      <c r="A428" s="1">
        <v>45020</v>
      </c>
      <c r="B428" t="s">
        <v>9</v>
      </c>
      <c r="C428" t="s">
        <v>10</v>
      </c>
      <c r="D428" t="s">
        <v>28</v>
      </c>
      <c r="E428">
        <v>37</v>
      </c>
      <c r="F428">
        <v>17522.77</v>
      </c>
      <c r="G428" t="s">
        <v>20</v>
      </c>
      <c r="H428">
        <v>5</v>
      </c>
      <c r="I428">
        <v>3667.34</v>
      </c>
      <c r="J428">
        <v>13855.43</v>
      </c>
      <c r="K428" t="str">
        <f t="shared" si="19"/>
        <v>April</v>
      </c>
      <c r="L428" t="str">
        <f t="shared" si="20"/>
        <v>Q2</v>
      </c>
      <c r="M428">
        <f t="shared" si="18"/>
        <v>2023</v>
      </c>
      <c r="N428" t="s">
        <v>44</v>
      </c>
    </row>
    <row r="429" spans="1:14" ht="14.55" customHeight="1" x14ac:dyDescent="0.3">
      <c r="A429" s="1">
        <v>45140</v>
      </c>
      <c r="B429" t="s">
        <v>9</v>
      </c>
      <c r="C429" t="s">
        <v>25</v>
      </c>
      <c r="D429" t="s">
        <v>39</v>
      </c>
      <c r="E429">
        <v>20</v>
      </c>
      <c r="F429">
        <v>7145.59</v>
      </c>
      <c r="G429" t="s">
        <v>20</v>
      </c>
      <c r="H429">
        <v>5</v>
      </c>
      <c r="I429">
        <v>2202.11</v>
      </c>
      <c r="J429">
        <v>4943.4799999999996</v>
      </c>
      <c r="K429" t="str">
        <f t="shared" si="19"/>
        <v>August</v>
      </c>
      <c r="L429" t="str">
        <f t="shared" si="20"/>
        <v>Q3</v>
      </c>
      <c r="M429">
        <f t="shared" si="18"/>
        <v>2023</v>
      </c>
      <c r="N429" t="s">
        <v>45</v>
      </c>
    </row>
    <row r="430" spans="1:14" ht="14.55" customHeight="1" x14ac:dyDescent="0.3">
      <c r="A430" s="1">
        <v>44593</v>
      </c>
      <c r="B430" t="s">
        <v>18</v>
      </c>
      <c r="C430" t="s">
        <v>16</v>
      </c>
      <c r="D430" t="s">
        <v>17</v>
      </c>
      <c r="E430">
        <v>1</v>
      </c>
      <c r="F430">
        <v>79.05</v>
      </c>
      <c r="G430" t="s">
        <v>20</v>
      </c>
      <c r="H430">
        <v>3</v>
      </c>
      <c r="I430">
        <v>136.38999999999999</v>
      </c>
      <c r="J430">
        <v>-57.34</v>
      </c>
      <c r="K430" t="str">
        <f t="shared" si="19"/>
        <v>February</v>
      </c>
      <c r="L430" t="str">
        <f t="shared" si="20"/>
        <v>Q1</v>
      </c>
      <c r="M430">
        <f t="shared" si="18"/>
        <v>2022</v>
      </c>
      <c r="N430" t="s">
        <v>46</v>
      </c>
    </row>
    <row r="431" spans="1:14" ht="14.55" customHeight="1" x14ac:dyDescent="0.3">
      <c r="A431" s="1">
        <v>44722</v>
      </c>
      <c r="B431" t="s">
        <v>31</v>
      </c>
      <c r="C431" t="s">
        <v>16</v>
      </c>
      <c r="D431" t="s">
        <v>27</v>
      </c>
      <c r="E431">
        <v>5</v>
      </c>
      <c r="F431">
        <v>759.23</v>
      </c>
      <c r="G431" t="s">
        <v>20</v>
      </c>
      <c r="H431">
        <v>4</v>
      </c>
      <c r="I431">
        <v>217.1</v>
      </c>
      <c r="J431">
        <v>542.13</v>
      </c>
      <c r="K431" t="str">
        <f t="shared" si="19"/>
        <v>June</v>
      </c>
      <c r="L431" t="str">
        <f t="shared" si="20"/>
        <v>Q2</v>
      </c>
      <c r="M431">
        <f t="shared" si="18"/>
        <v>2022</v>
      </c>
      <c r="N431" t="s">
        <v>46</v>
      </c>
    </row>
    <row r="432" spans="1:14" ht="14.55" customHeight="1" x14ac:dyDescent="0.3">
      <c r="A432" s="1">
        <v>45168</v>
      </c>
      <c r="B432" t="s">
        <v>31</v>
      </c>
      <c r="C432" t="s">
        <v>16</v>
      </c>
      <c r="D432" t="s">
        <v>17</v>
      </c>
      <c r="E432">
        <v>36</v>
      </c>
      <c r="F432">
        <v>11180.46</v>
      </c>
      <c r="G432" t="s">
        <v>12</v>
      </c>
      <c r="H432">
        <v>2</v>
      </c>
      <c r="I432">
        <v>5220.08</v>
      </c>
      <c r="J432">
        <v>5960.38</v>
      </c>
      <c r="K432" t="str">
        <f t="shared" si="19"/>
        <v>August</v>
      </c>
      <c r="L432" t="str">
        <f t="shared" si="20"/>
        <v>Q3</v>
      </c>
      <c r="M432">
        <f t="shared" si="18"/>
        <v>2023</v>
      </c>
      <c r="N432" t="s">
        <v>46</v>
      </c>
    </row>
    <row r="433" spans="1:14" ht="14.55" customHeight="1" x14ac:dyDescent="0.3">
      <c r="A433" s="1">
        <v>44884</v>
      </c>
      <c r="B433" t="s">
        <v>18</v>
      </c>
      <c r="C433" t="s">
        <v>10</v>
      </c>
      <c r="D433" t="s">
        <v>34</v>
      </c>
      <c r="E433">
        <v>44</v>
      </c>
      <c r="F433">
        <v>20388.86</v>
      </c>
      <c r="G433" t="s">
        <v>20</v>
      </c>
      <c r="H433">
        <v>4</v>
      </c>
      <c r="I433">
        <v>9790.35</v>
      </c>
      <c r="J433">
        <v>10598.51</v>
      </c>
      <c r="K433" t="str">
        <f t="shared" si="19"/>
        <v>November</v>
      </c>
      <c r="L433" t="str">
        <f t="shared" si="20"/>
        <v>Q4</v>
      </c>
      <c r="M433">
        <f t="shared" si="18"/>
        <v>2022</v>
      </c>
      <c r="N433" t="s">
        <v>46</v>
      </c>
    </row>
    <row r="434" spans="1:14" ht="14.55" customHeight="1" x14ac:dyDescent="0.3">
      <c r="A434" s="1">
        <v>44774</v>
      </c>
      <c r="B434" t="s">
        <v>31</v>
      </c>
      <c r="C434" t="s">
        <v>13</v>
      </c>
      <c r="D434" t="s">
        <v>14</v>
      </c>
      <c r="E434">
        <v>21</v>
      </c>
      <c r="F434">
        <v>2817.91</v>
      </c>
      <c r="G434" t="s">
        <v>20</v>
      </c>
      <c r="H434">
        <v>2</v>
      </c>
      <c r="I434">
        <v>1342.6</v>
      </c>
      <c r="J434">
        <v>1475.31</v>
      </c>
      <c r="K434" t="str">
        <f t="shared" si="19"/>
        <v>August</v>
      </c>
      <c r="L434" t="str">
        <f t="shared" si="20"/>
        <v>Q3</v>
      </c>
      <c r="M434">
        <f t="shared" si="18"/>
        <v>2022</v>
      </c>
      <c r="N434" t="s">
        <v>44</v>
      </c>
    </row>
    <row r="435" spans="1:14" ht="14.55" customHeight="1" x14ac:dyDescent="0.3">
      <c r="A435" s="1">
        <v>45183</v>
      </c>
      <c r="B435" t="s">
        <v>23</v>
      </c>
      <c r="C435" t="s">
        <v>10</v>
      </c>
      <c r="D435" t="s">
        <v>35</v>
      </c>
      <c r="E435">
        <v>48</v>
      </c>
      <c r="F435">
        <v>13907.65</v>
      </c>
      <c r="G435" t="s">
        <v>20</v>
      </c>
      <c r="H435">
        <v>4</v>
      </c>
      <c r="I435">
        <v>11438.25</v>
      </c>
      <c r="J435">
        <v>2469.4</v>
      </c>
      <c r="K435" t="str">
        <f t="shared" si="19"/>
        <v>September</v>
      </c>
      <c r="L435" t="str">
        <f t="shared" si="20"/>
        <v>Q3</v>
      </c>
      <c r="M435">
        <f t="shared" si="18"/>
        <v>2023</v>
      </c>
      <c r="N435" t="s">
        <v>44</v>
      </c>
    </row>
    <row r="436" spans="1:14" ht="14.55" customHeight="1" x14ac:dyDescent="0.3">
      <c r="A436" s="1">
        <v>44607</v>
      </c>
      <c r="B436" t="s">
        <v>23</v>
      </c>
      <c r="C436" t="s">
        <v>13</v>
      </c>
      <c r="D436" t="s">
        <v>29</v>
      </c>
      <c r="E436">
        <v>44</v>
      </c>
      <c r="F436">
        <v>10043.77</v>
      </c>
      <c r="G436" t="s">
        <v>12</v>
      </c>
      <c r="H436">
        <v>4</v>
      </c>
      <c r="I436">
        <v>1187.22</v>
      </c>
      <c r="J436">
        <v>8856.5499999999993</v>
      </c>
      <c r="K436" t="str">
        <f t="shared" si="19"/>
        <v>February</v>
      </c>
      <c r="L436" t="str">
        <f t="shared" si="20"/>
        <v>Q1</v>
      </c>
      <c r="M436">
        <f t="shared" si="18"/>
        <v>2022</v>
      </c>
      <c r="N436" t="s">
        <v>47</v>
      </c>
    </row>
    <row r="437" spans="1:14" ht="14.55" customHeight="1" x14ac:dyDescent="0.3">
      <c r="A437" s="1">
        <v>44638</v>
      </c>
      <c r="B437" t="s">
        <v>9</v>
      </c>
      <c r="C437" t="s">
        <v>25</v>
      </c>
      <c r="D437" t="s">
        <v>39</v>
      </c>
      <c r="E437">
        <v>45</v>
      </c>
      <c r="F437">
        <v>6946.85</v>
      </c>
      <c r="G437" t="s">
        <v>20</v>
      </c>
      <c r="H437">
        <v>5</v>
      </c>
      <c r="I437">
        <v>4001.77</v>
      </c>
      <c r="J437">
        <v>2945.08</v>
      </c>
      <c r="K437" t="str">
        <f t="shared" si="19"/>
        <v>March</v>
      </c>
      <c r="L437" t="str">
        <f t="shared" si="20"/>
        <v>Q1</v>
      </c>
      <c r="M437">
        <f t="shared" si="18"/>
        <v>2022</v>
      </c>
      <c r="N437" t="s">
        <v>45</v>
      </c>
    </row>
    <row r="438" spans="1:14" ht="14.55" customHeight="1" x14ac:dyDescent="0.3">
      <c r="A438" s="1">
        <v>45179</v>
      </c>
      <c r="B438" t="s">
        <v>15</v>
      </c>
      <c r="C438" t="s">
        <v>21</v>
      </c>
      <c r="D438" t="s">
        <v>33</v>
      </c>
      <c r="E438">
        <v>11</v>
      </c>
      <c r="F438">
        <v>3523.86</v>
      </c>
      <c r="G438" t="s">
        <v>12</v>
      </c>
      <c r="H438">
        <v>4</v>
      </c>
      <c r="I438">
        <v>2117.54</v>
      </c>
      <c r="J438">
        <v>1406.32</v>
      </c>
      <c r="K438" t="str">
        <f t="shared" si="19"/>
        <v>September</v>
      </c>
      <c r="L438" t="str">
        <f t="shared" si="20"/>
        <v>Q3</v>
      </c>
      <c r="M438">
        <f t="shared" si="18"/>
        <v>2023</v>
      </c>
      <c r="N438" t="s">
        <v>47</v>
      </c>
    </row>
    <row r="439" spans="1:14" ht="14.55" customHeight="1" x14ac:dyDescent="0.3">
      <c r="A439" s="1">
        <v>45074</v>
      </c>
      <c r="B439" t="s">
        <v>9</v>
      </c>
      <c r="C439" t="s">
        <v>21</v>
      </c>
      <c r="D439" t="s">
        <v>36</v>
      </c>
      <c r="E439">
        <v>10</v>
      </c>
      <c r="F439">
        <v>4500.2</v>
      </c>
      <c r="G439" t="s">
        <v>12</v>
      </c>
      <c r="H439">
        <v>2</v>
      </c>
      <c r="I439">
        <v>1821.12</v>
      </c>
      <c r="J439">
        <v>2679.08</v>
      </c>
      <c r="K439" t="str">
        <f t="shared" si="19"/>
        <v>May</v>
      </c>
      <c r="L439" t="str">
        <f t="shared" si="20"/>
        <v>Q2</v>
      </c>
      <c r="M439">
        <f t="shared" si="18"/>
        <v>2023</v>
      </c>
      <c r="N439" t="s">
        <v>44</v>
      </c>
    </row>
    <row r="440" spans="1:14" ht="14.55" customHeight="1" x14ac:dyDescent="0.3">
      <c r="A440" s="1">
        <v>45262</v>
      </c>
      <c r="B440" t="s">
        <v>15</v>
      </c>
      <c r="C440" t="s">
        <v>13</v>
      </c>
      <c r="D440" t="s">
        <v>19</v>
      </c>
      <c r="E440">
        <v>12</v>
      </c>
      <c r="F440">
        <v>4956.16</v>
      </c>
      <c r="G440" t="s">
        <v>20</v>
      </c>
      <c r="H440">
        <v>1</v>
      </c>
      <c r="I440">
        <v>2674.3</v>
      </c>
      <c r="J440">
        <v>2281.86</v>
      </c>
      <c r="K440" t="str">
        <f t="shared" si="19"/>
        <v>December</v>
      </c>
      <c r="L440" t="str">
        <f t="shared" si="20"/>
        <v>Q4</v>
      </c>
      <c r="M440">
        <f t="shared" si="18"/>
        <v>2023</v>
      </c>
      <c r="N440" t="s">
        <v>46</v>
      </c>
    </row>
    <row r="441" spans="1:14" ht="14.55" customHeight="1" x14ac:dyDescent="0.3">
      <c r="A441" s="1">
        <v>45080</v>
      </c>
      <c r="B441" t="s">
        <v>9</v>
      </c>
      <c r="C441" t="s">
        <v>25</v>
      </c>
      <c r="D441" t="s">
        <v>26</v>
      </c>
      <c r="E441">
        <v>39</v>
      </c>
      <c r="F441">
        <v>440.53</v>
      </c>
      <c r="G441" t="s">
        <v>12</v>
      </c>
      <c r="H441">
        <v>4</v>
      </c>
      <c r="I441">
        <v>1201.1400000000001</v>
      </c>
      <c r="J441">
        <v>-760.61</v>
      </c>
      <c r="K441" t="str">
        <f t="shared" si="19"/>
        <v>June</v>
      </c>
      <c r="L441" t="str">
        <f t="shared" si="20"/>
        <v>Q2</v>
      </c>
      <c r="M441">
        <f t="shared" si="18"/>
        <v>2023</v>
      </c>
      <c r="N441" t="s">
        <v>46</v>
      </c>
    </row>
    <row r="442" spans="1:14" ht="14.55" customHeight="1" x14ac:dyDescent="0.3">
      <c r="A442" s="1">
        <v>44810</v>
      </c>
      <c r="B442" t="s">
        <v>9</v>
      </c>
      <c r="C442" t="s">
        <v>16</v>
      </c>
      <c r="D442" t="s">
        <v>37</v>
      </c>
      <c r="E442">
        <v>50</v>
      </c>
      <c r="F442">
        <v>12151.36</v>
      </c>
      <c r="G442" t="s">
        <v>20</v>
      </c>
      <c r="H442">
        <v>4</v>
      </c>
      <c r="I442">
        <v>498.37</v>
      </c>
      <c r="J442">
        <v>11652.99</v>
      </c>
      <c r="K442" t="str">
        <f t="shared" si="19"/>
        <v>September</v>
      </c>
      <c r="L442" t="str">
        <f t="shared" si="20"/>
        <v>Q3</v>
      </c>
      <c r="M442">
        <f t="shared" si="18"/>
        <v>2022</v>
      </c>
      <c r="N442" t="s">
        <v>47</v>
      </c>
    </row>
    <row r="443" spans="1:14" ht="14.55" customHeight="1" x14ac:dyDescent="0.3">
      <c r="A443" s="1">
        <v>44860</v>
      </c>
      <c r="B443" t="s">
        <v>9</v>
      </c>
      <c r="C443" t="s">
        <v>25</v>
      </c>
      <c r="D443" t="s">
        <v>39</v>
      </c>
      <c r="E443">
        <v>32</v>
      </c>
      <c r="F443">
        <v>12404.55</v>
      </c>
      <c r="G443" t="s">
        <v>20</v>
      </c>
      <c r="H443">
        <v>1</v>
      </c>
      <c r="I443">
        <v>5754.85</v>
      </c>
      <c r="J443">
        <v>6649.7</v>
      </c>
      <c r="K443" t="str">
        <f t="shared" si="19"/>
        <v>October</v>
      </c>
      <c r="L443" t="str">
        <f t="shared" si="20"/>
        <v>Q4</v>
      </c>
      <c r="M443">
        <f t="shared" si="18"/>
        <v>2022</v>
      </c>
      <c r="N443" t="s">
        <v>44</v>
      </c>
    </row>
    <row r="444" spans="1:14" ht="14.55" customHeight="1" x14ac:dyDescent="0.3">
      <c r="A444" s="1">
        <v>45196</v>
      </c>
      <c r="B444" t="s">
        <v>9</v>
      </c>
      <c r="C444" t="s">
        <v>13</v>
      </c>
      <c r="D444" t="s">
        <v>14</v>
      </c>
      <c r="E444">
        <v>7</v>
      </c>
      <c r="F444">
        <v>579.41999999999996</v>
      </c>
      <c r="G444" t="s">
        <v>20</v>
      </c>
      <c r="H444">
        <v>5</v>
      </c>
      <c r="I444">
        <v>848.54</v>
      </c>
      <c r="J444">
        <v>-269.12</v>
      </c>
      <c r="K444" t="str">
        <f t="shared" si="19"/>
        <v>September</v>
      </c>
      <c r="L444" t="str">
        <f t="shared" si="20"/>
        <v>Q3</v>
      </c>
      <c r="M444">
        <f t="shared" si="18"/>
        <v>2023</v>
      </c>
      <c r="N444" t="s">
        <v>47</v>
      </c>
    </row>
    <row r="445" spans="1:14" ht="14.55" customHeight="1" x14ac:dyDescent="0.3">
      <c r="A445" s="1">
        <v>44986</v>
      </c>
      <c r="B445" t="s">
        <v>15</v>
      </c>
      <c r="C445" t="s">
        <v>16</v>
      </c>
      <c r="D445" t="s">
        <v>17</v>
      </c>
      <c r="E445">
        <v>33</v>
      </c>
      <c r="F445">
        <v>13718.2</v>
      </c>
      <c r="G445" t="s">
        <v>20</v>
      </c>
      <c r="H445">
        <v>1</v>
      </c>
      <c r="I445">
        <v>2876.19</v>
      </c>
      <c r="J445">
        <v>10842.01</v>
      </c>
      <c r="K445" t="str">
        <f t="shared" si="19"/>
        <v>March</v>
      </c>
      <c r="L445" t="str">
        <f t="shared" si="20"/>
        <v>Q1</v>
      </c>
      <c r="M445">
        <f t="shared" si="18"/>
        <v>2023</v>
      </c>
      <c r="N445" t="s">
        <v>44</v>
      </c>
    </row>
    <row r="446" spans="1:14" ht="14.55" customHeight="1" x14ac:dyDescent="0.3">
      <c r="A446" s="1">
        <v>45045</v>
      </c>
      <c r="B446" t="s">
        <v>23</v>
      </c>
      <c r="C446" t="s">
        <v>21</v>
      </c>
      <c r="D446" t="s">
        <v>36</v>
      </c>
      <c r="E446">
        <v>4</v>
      </c>
      <c r="F446">
        <v>1448.93</v>
      </c>
      <c r="G446" t="s">
        <v>20</v>
      </c>
      <c r="H446">
        <v>1</v>
      </c>
      <c r="I446">
        <v>621.11</v>
      </c>
      <c r="J446">
        <v>827.82</v>
      </c>
      <c r="K446" t="str">
        <f t="shared" si="19"/>
        <v>April</v>
      </c>
      <c r="L446" t="str">
        <f t="shared" si="20"/>
        <v>Q2</v>
      </c>
      <c r="M446">
        <f t="shared" si="18"/>
        <v>2023</v>
      </c>
      <c r="N446" t="s">
        <v>45</v>
      </c>
    </row>
    <row r="447" spans="1:14" ht="14.55" customHeight="1" x14ac:dyDescent="0.3">
      <c r="A447" s="1">
        <v>45104</v>
      </c>
      <c r="B447" t="s">
        <v>15</v>
      </c>
      <c r="C447" t="s">
        <v>10</v>
      </c>
      <c r="D447" t="s">
        <v>11</v>
      </c>
      <c r="E447">
        <v>19</v>
      </c>
      <c r="F447">
        <v>2782.17</v>
      </c>
      <c r="G447" t="s">
        <v>20</v>
      </c>
      <c r="H447">
        <v>4</v>
      </c>
      <c r="I447">
        <v>3778.79</v>
      </c>
      <c r="J447">
        <v>-996.62</v>
      </c>
      <c r="K447" t="str">
        <f t="shared" si="19"/>
        <v>June</v>
      </c>
      <c r="L447" t="str">
        <f t="shared" si="20"/>
        <v>Q2</v>
      </c>
      <c r="M447">
        <f t="shared" si="18"/>
        <v>2023</v>
      </c>
      <c r="N447" t="s">
        <v>44</v>
      </c>
    </row>
    <row r="448" spans="1:14" ht="14.55" customHeight="1" x14ac:dyDescent="0.3">
      <c r="A448" s="1">
        <v>45128</v>
      </c>
      <c r="B448" t="s">
        <v>23</v>
      </c>
      <c r="C448" t="s">
        <v>21</v>
      </c>
      <c r="D448" t="s">
        <v>22</v>
      </c>
      <c r="E448">
        <v>22</v>
      </c>
      <c r="F448">
        <v>585.08000000000004</v>
      </c>
      <c r="G448" t="s">
        <v>12</v>
      </c>
      <c r="H448">
        <v>4</v>
      </c>
      <c r="I448">
        <v>2842.81</v>
      </c>
      <c r="J448">
        <v>-2257.73</v>
      </c>
      <c r="K448" t="str">
        <f t="shared" si="19"/>
        <v>July</v>
      </c>
      <c r="L448" t="str">
        <f t="shared" si="20"/>
        <v>Q3</v>
      </c>
      <c r="M448">
        <f t="shared" si="18"/>
        <v>2023</v>
      </c>
      <c r="N448" t="s">
        <v>45</v>
      </c>
    </row>
    <row r="449" spans="1:14" ht="14.55" customHeight="1" x14ac:dyDescent="0.3">
      <c r="A449" s="1">
        <v>45049</v>
      </c>
      <c r="B449" t="s">
        <v>9</v>
      </c>
      <c r="C449" t="s">
        <v>21</v>
      </c>
      <c r="D449" t="s">
        <v>33</v>
      </c>
      <c r="E449">
        <v>23</v>
      </c>
      <c r="F449">
        <v>1910.01</v>
      </c>
      <c r="G449" t="s">
        <v>20</v>
      </c>
      <c r="H449">
        <v>4</v>
      </c>
      <c r="I449">
        <v>3298.56</v>
      </c>
      <c r="J449">
        <v>-1388.55</v>
      </c>
      <c r="K449" t="str">
        <f t="shared" si="19"/>
        <v>May</v>
      </c>
      <c r="L449" t="str">
        <f t="shared" si="20"/>
        <v>Q2</v>
      </c>
      <c r="M449">
        <f t="shared" si="18"/>
        <v>2023</v>
      </c>
      <c r="N449" t="s">
        <v>44</v>
      </c>
    </row>
    <row r="450" spans="1:14" ht="14.55" customHeight="1" x14ac:dyDescent="0.3">
      <c r="A450" s="1">
        <v>44786</v>
      </c>
      <c r="B450" t="s">
        <v>23</v>
      </c>
      <c r="C450" t="s">
        <v>16</v>
      </c>
      <c r="D450" t="s">
        <v>27</v>
      </c>
      <c r="E450">
        <v>10</v>
      </c>
      <c r="F450">
        <v>3647.6</v>
      </c>
      <c r="G450" t="s">
        <v>12</v>
      </c>
      <c r="H450">
        <v>5</v>
      </c>
      <c r="I450">
        <v>2455.5</v>
      </c>
      <c r="J450">
        <v>1192.0999999999999</v>
      </c>
      <c r="K450" t="str">
        <f t="shared" si="19"/>
        <v>August</v>
      </c>
      <c r="L450" t="str">
        <f t="shared" si="20"/>
        <v>Q3</v>
      </c>
      <c r="M450">
        <f t="shared" ref="M450:M513" si="21">YEAR(A450)</f>
        <v>2022</v>
      </c>
      <c r="N450" t="s">
        <v>47</v>
      </c>
    </row>
    <row r="451" spans="1:14" ht="14.55" customHeight="1" x14ac:dyDescent="0.3">
      <c r="A451" s="1">
        <v>45230</v>
      </c>
      <c r="B451" t="s">
        <v>31</v>
      </c>
      <c r="C451" t="s">
        <v>13</v>
      </c>
      <c r="D451" t="s">
        <v>29</v>
      </c>
      <c r="E451">
        <v>2</v>
      </c>
      <c r="F451">
        <v>941.25</v>
      </c>
      <c r="G451" t="s">
        <v>20</v>
      </c>
      <c r="H451">
        <v>4</v>
      </c>
      <c r="I451">
        <v>291.66000000000003</v>
      </c>
      <c r="J451">
        <v>649.59</v>
      </c>
      <c r="K451" t="str">
        <f t="shared" ref="K451:K514" si="22">TEXT(A451,"mmmm")</f>
        <v>October</v>
      </c>
      <c r="L451" t="str">
        <f t="shared" ref="L451:L514" si="23">"Q"&amp;INT((MONTH(A451)-1)/3)+1</f>
        <v>Q4</v>
      </c>
      <c r="M451">
        <f t="shared" si="21"/>
        <v>2023</v>
      </c>
      <c r="N451" t="s">
        <v>44</v>
      </c>
    </row>
    <row r="452" spans="1:14" ht="14.55" customHeight="1" x14ac:dyDescent="0.3">
      <c r="A452" s="1">
        <v>44681</v>
      </c>
      <c r="B452" t="s">
        <v>31</v>
      </c>
      <c r="C452" t="s">
        <v>21</v>
      </c>
      <c r="D452" t="s">
        <v>36</v>
      </c>
      <c r="E452">
        <v>46</v>
      </c>
      <c r="F452">
        <v>18326.61</v>
      </c>
      <c r="G452" t="s">
        <v>12</v>
      </c>
      <c r="H452">
        <v>1</v>
      </c>
      <c r="I452">
        <v>4438.04</v>
      </c>
      <c r="J452">
        <v>13888.57</v>
      </c>
      <c r="K452" t="str">
        <f t="shared" si="22"/>
        <v>April</v>
      </c>
      <c r="L452" t="str">
        <f t="shared" si="23"/>
        <v>Q2</v>
      </c>
      <c r="M452">
        <f t="shared" si="21"/>
        <v>2022</v>
      </c>
      <c r="N452" t="s">
        <v>45</v>
      </c>
    </row>
    <row r="453" spans="1:14" ht="14.55" customHeight="1" x14ac:dyDescent="0.3">
      <c r="A453" s="1">
        <v>44736</v>
      </c>
      <c r="B453" t="s">
        <v>15</v>
      </c>
      <c r="C453" t="s">
        <v>16</v>
      </c>
      <c r="D453" t="s">
        <v>37</v>
      </c>
      <c r="E453">
        <v>1</v>
      </c>
      <c r="F453">
        <v>148.19999999999999</v>
      </c>
      <c r="G453" t="s">
        <v>12</v>
      </c>
      <c r="H453">
        <v>1</v>
      </c>
      <c r="I453">
        <v>39.71</v>
      </c>
      <c r="J453">
        <v>108.49</v>
      </c>
      <c r="K453" t="str">
        <f t="shared" si="22"/>
        <v>June</v>
      </c>
      <c r="L453" t="str">
        <f t="shared" si="23"/>
        <v>Q2</v>
      </c>
      <c r="M453">
        <f t="shared" si="21"/>
        <v>2022</v>
      </c>
      <c r="N453" t="s">
        <v>46</v>
      </c>
    </row>
    <row r="454" spans="1:14" ht="14.55" customHeight="1" x14ac:dyDescent="0.3">
      <c r="A454" s="1">
        <v>44848</v>
      </c>
      <c r="B454" t="s">
        <v>31</v>
      </c>
      <c r="C454" t="s">
        <v>25</v>
      </c>
      <c r="D454" t="s">
        <v>26</v>
      </c>
      <c r="E454">
        <v>14</v>
      </c>
      <c r="F454">
        <v>1490.5</v>
      </c>
      <c r="G454" t="s">
        <v>12</v>
      </c>
      <c r="H454">
        <v>4</v>
      </c>
      <c r="I454">
        <v>486.5</v>
      </c>
      <c r="J454">
        <v>1004</v>
      </c>
      <c r="K454" t="str">
        <f t="shared" si="22"/>
        <v>October</v>
      </c>
      <c r="L454" t="str">
        <f t="shared" si="23"/>
        <v>Q4</v>
      </c>
      <c r="M454">
        <f t="shared" si="21"/>
        <v>2022</v>
      </c>
      <c r="N454" t="s">
        <v>46</v>
      </c>
    </row>
    <row r="455" spans="1:14" ht="14.55" customHeight="1" x14ac:dyDescent="0.3">
      <c r="A455" s="1">
        <v>45275</v>
      </c>
      <c r="B455" t="s">
        <v>9</v>
      </c>
      <c r="C455" t="s">
        <v>21</v>
      </c>
      <c r="D455" t="s">
        <v>33</v>
      </c>
      <c r="E455">
        <v>49</v>
      </c>
      <c r="F455">
        <v>1718.77</v>
      </c>
      <c r="G455" t="s">
        <v>12</v>
      </c>
      <c r="H455">
        <v>5</v>
      </c>
      <c r="I455">
        <v>9389.77</v>
      </c>
      <c r="J455">
        <v>-7671</v>
      </c>
      <c r="K455" t="str">
        <f t="shared" si="22"/>
        <v>December</v>
      </c>
      <c r="L455" t="str">
        <f t="shared" si="23"/>
        <v>Q4</v>
      </c>
      <c r="M455">
        <f t="shared" si="21"/>
        <v>2023</v>
      </c>
      <c r="N455" t="s">
        <v>44</v>
      </c>
    </row>
    <row r="456" spans="1:14" ht="14.55" customHeight="1" x14ac:dyDescent="0.3">
      <c r="A456" s="1">
        <v>45243</v>
      </c>
      <c r="B456" t="s">
        <v>23</v>
      </c>
      <c r="C456" t="s">
        <v>13</v>
      </c>
      <c r="D456" t="s">
        <v>29</v>
      </c>
      <c r="E456">
        <v>1</v>
      </c>
      <c r="F456">
        <v>381.13</v>
      </c>
      <c r="G456" t="s">
        <v>20</v>
      </c>
      <c r="H456">
        <v>4</v>
      </c>
      <c r="I456">
        <v>172.82</v>
      </c>
      <c r="J456">
        <v>208.31</v>
      </c>
      <c r="K456" t="str">
        <f t="shared" si="22"/>
        <v>November</v>
      </c>
      <c r="L456" t="str">
        <f t="shared" si="23"/>
        <v>Q4</v>
      </c>
      <c r="M456">
        <f t="shared" si="21"/>
        <v>2023</v>
      </c>
      <c r="N456" t="s">
        <v>44</v>
      </c>
    </row>
    <row r="457" spans="1:14" ht="14.55" customHeight="1" x14ac:dyDescent="0.3">
      <c r="A457" s="1">
        <v>45083</v>
      </c>
      <c r="B457" t="s">
        <v>23</v>
      </c>
      <c r="C457" t="s">
        <v>16</v>
      </c>
      <c r="D457" t="s">
        <v>17</v>
      </c>
      <c r="E457">
        <v>38</v>
      </c>
      <c r="F457">
        <v>16480.75</v>
      </c>
      <c r="G457" t="s">
        <v>12</v>
      </c>
      <c r="H457">
        <v>5</v>
      </c>
      <c r="I457">
        <v>1739.28</v>
      </c>
      <c r="J457">
        <v>14741.47</v>
      </c>
      <c r="K457" t="str">
        <f t="shared" si="22"/>
        <v>June</v>
      </c>
      <c r="L457" t="str">
        <f t="shared" si="23"/>
        <v>Q2</v>
      </c>
      <c r="M457">
        <f t="shared" si="21"/>
        <v>2023</v>
      </c>
      <c r="N457" t="s">
        <v>44</v>
      </c>
    </row>
    <row r="458" spans="1:14" ht="14.55" customHeight="1" x14ac:dyDescent="0.3">
      <c r="A458" s="1">
        <v>45192</v>
      </c>
      <c r="B458" t="s">
        <v>31</v>
      </c>
      <c r="C458" t="s">
        <v>25</v>
      </c>
      <c r="D458" t="s">
        <v>39</v>
      </c>
      <c r="E458">
        <v>9</v>
      </c>
      <c r="F458">
        <v>3343.31</v>
      </c>
      <c r="G458" t="s">
        <v>12</v>
      </c>
      <c r="H458">
        <v>5</v>
      </c>
      <c r="I458">
        <v>1206.45</v>
      </c>
      <c r="J458">
        <v>2136.86</v>
      </c>
      <c r="K458" t="str">
        <f t="shared" si="22"/>
        <v>September</v>
      </c>
      <c r="L458" t="str">
        <f t="shared" si="23"/>
        <v>Q3</v>
      </c>
      <c r="M458">
        <f t="shared" si="21"/>
        <v>2023</v>
      </c>
      <c r="N458" t="s">
        <v>46</v>
      </c>
    </row>
    <row r="459" spans="1:14" ht="14.55" customHeight="1" x14ac:dyDescent="0.3">
      <c r="A459" s="1">
        <v>44722</v>
      </c>
      <c r="B459" t="s">
        <v>23</v>
      </c>
      <c r="C459" t="s">
        <v>10</v>
      </c>
      <c r="D459" t="s">
        <v>11</v>
      </c>
      <c r="E459">
        <v>20</v>
      </c>
      <c r="F459">
        <v>9535.0499999999993</v>
      </c>
      <c r="G459" t="s">
        <v>12</v>
      </c>
      <c r="H459">
        <v>3</v>
      </c>
      <c r="I459">
        <v>1619.31</v>
      </c>
      <c r="J459">
        <v>7915.74</v>
      </c>
      <c r="K459" t="str">
        <f t="shared" si="22"/>
        <v>June</v>
      </c>
      <c r="L459" t="str">
        <f t="shared" si="23"/>
        <v>Q2</v>
      </c>
      <c r="M459">
        <f t="shared" si="21"/>
        <v>2022</v>
      </c>
      <c r="N459" t="s">
        <v>44</v>
      </c>
    </row>
    <row r="460" spans="1:14" ht="14.55" customHeight="1" x14ac:dyDescent="0.3">
      <c r="A460" s="1">
        <v>44889</v>
      </c>
      <c r="B460" t="s">
        <v>9</v>
      </c>
      <c r="C460" t="s">
        <v>10</v>
      </c>
      <c r="D460" t="s">
        <v>11</v>
      </c>
      <c r="E460">
        <v>33</v>
      </c>
      <c r="F460">
        <v>2498.54</v>
      </c>
      <c r="G460" t="s">
        <v>20</v>
      </c>
      <c r="H460">
        <v>5</v>
      </c>
      <c r="I460">
        <v>6840.5</v>
      </c>
      <c r="J460">
        <v>-4341.96</v>
      </c>
      <c r="K460" t="str">
        <f t="shared" si="22"/>
        <v>November</v>
      </c>
      <c r="L460" t="str">
        <f t="shared" si="23"/>
        <v>Q4</v>
      </c>
      <c r="M460">
        <f t="shared" si="21"/>
        <v>2022</v>
      </c>
      <c r="N460" t="s">
        <v>44</v>
      </c>
    </row>
    <row r="461" spans="1:14" ht="14.55" customHeight="1" x14ac:dyDescent="0.3">
      <c r="A461" s="1">
        <v>45031</v>
      </c>
      <c r="B461" t="s">
        <v>9</v>
      </c>
      <c r="C461" t="s">
        <v>10</v>
      </c>
      <c r="D461" t="s">
        <v>35</v>
      </c>
      <c r="E461">
        <v>16</v>
      </c>
      <c r="F461">
        <v>2508.1799999999998</v>
      </c>
      <c r="G461" t="s">
        <v>20</v>
      </c>
      <c r="H461">
        <v>5</v>
      </c>
      <c r="I461">
        <v>3918.62</v>
      </c>
      <c r="J461">
        <v>-1410.44</v>
      </c>
      <c r="K461" t="str">
        <f t="shared" si="22"/>
        <v>April</v>
      </c>
      <c r="L461" t="str">
        <f t="shared" si="23"/>
        <v>Q2</v>
      </c>
      <c r="M461">
        <f t="shared" si="21"/>
        <v>2023</v>
      </c>
      <c r="N461" t="s">
        <v>44</v>
      </c>
    </row>
    <row r="462" spans="1:14" ht="14.55" customHeight="1" x14ac:dyDescent="0.3">
      <c r="A462" s="1">
        <v>45025</v>
      </c>
      <c r="B462" t="s">
        <v>9</v>
      </c>
      <c r="C462" t="s">
        <v>13</v>
      </c>
      <c r="D462" t="s">
        <v>14</v>
      </c>
      <c r="E462">
        <v>29</v>
      </c>
      <c r="F462">
        <v>2954.67</v>
      </c>
      <c r="G462" t="s">
        <v>12</v>
      </c>
      <c r="H462">
        <v>2</v>
      </c>
      <c r="I462">
        <v>2435.1799999999998</v>
      </c>
      <c r="J462">
        <v>519.49</v>
      </c>
      <c r="K462" t="str">
        <f t="shared" si="22"/>
        <v>April</v>
      </c>
      <c r="L462" t="str">
        <f t="shared" si="23"/>
        <v>Q2</v>
      </c>
      <c r="M462">
        <f t="shared" si="21"/>
        <v>2023</v>
      </c>
      <c r="N462" t="s">
        <v>44</v>
      </c>
    </row>
    <row r="463" spans="1:14" ht="14.55" customHeight="1" x14ac:dyDescent="0.3">
      <c r="A463" s="1">
        <v>45221</v>
      </c>
      <c r="B463" t="s">
        <v>15</v>
      </c>
      <c r="C463" t="s">
        <v>13</v>
      </c>
      <c r="D463" t="s">
        <v>19</v>
      </c>
      <c r="E463">
        <v>26</v>
      </c>
      <c r="F463">
        <v>10568.85</v>
      </c>
      <c r="G463" t="s">
        <v>12</v>
      </c>
      <c r="H463">
        <v>1</v>
      </c>
      <c r="I463">
        <v>622.84</v>
      </c>
      <c r="J463">
        <v>9946.01</v>
      </c>
      <c r="K463" t="str">
        <f t="shared" si="22"/>
        <v>October</v>
      </c>
      <c r="L463" t="str">
        <f t="shared" si="23"/>
        <v>Q4</v>
      </c>
      <c r="M463">
        <f t="shared" si="21"/>
        <v>2023</v>
      </c>
      <c r="N463" t="s">
        <v>44</v>
      </c>
    </row>
    <row r="464" spans="1:14" ht="14.55" customHeight="1" x14ac:dyDescent="0.3">
      <c r="A464" s="1">
        <v>45099</v>
      </c>
      <c r="B464" t="s">
        <v>15</v>
      </c>
      <c r="C464" t="s">
        <v>10</v>
      </c>
      <c r="D464" t="s">
        <v>34</v>
      </c>
      <c r="E464">
        <v>14</v>
      </c>
      <c r="F464">
        <v>5658.07</v>
      </c>
      <c r="G464" t="s">
        <v>20</v>
      </c>
      <c r="H464">
        <v>2</v>
      </c>
      <c r="I464">
        <v>818.8</v>
      </c>
      <c r="J464">
        <v>4839.2700000000004</v>
      </c>
      <c r="K464" t="str">
        <f t="shared" si="22"/>
        <v>June</v>
      </c>
      <c r="L464" t="str">
        <f t="shared" si="23"/>
        <v>Q2</v>
      </c>
      <c r="M464">
        <f t="shared" si="21"/>
        <v>2023</v>
      </c>
      <c r="N464" t="s">
        <v>44</v>
      </c>
    </row>
    <row r="465" spans="1:14" ht="14.55" customHeight="1" x14ac:dyDescent="0.3">
      <c r="A465" s="1">
        <v>44701</v>
      </c>
      <c r="B465" t="s">
        <v>15</v>
      </c>
      <c r="C465" t="s">
        <v>13</v>
      </c>
      <c r="D465" t="s">
        <v>19</v>
      </c>
      <c r="E465">
        <v>20</v>
      </c>
      <c r="F465">
        <v>8322.41</v>
      </c>
      <c r="G465" t="s">
        <v>20</v>
      </c>
      <c r="H465">
        <v>3</v>
      </c>
      <c r="I465">
        <v>3327.07</v>
      </c>
      <c r="J465">
        <v>4995.34</v>
      </c>
      <c r="K465" t="str">
        <f t="shared" si="22"/>
        <v>May</v>
      </c>
      <c r="L465" t="str">
        <f t="shared" si="23"/>
        <v>Q2</v>
      </c>
      <c r="M465">
        <f t="shared" si="21"/>
        <v>2022</v>
      </c>
      <c r="N465" t="s">
        <v>46</v>
      </c>
    </row>
    <row r="466" spans="1:14" ht="14.55" customHeight="1" x14ac:dyDescent="0.3">
      <c r="A466" s="1">
        <v>45029</v>
      </c>
      <c r="B466" t="s">
        <v>18</v>
      </c>
      <c r="C466" t="s">
        <v>13</v>
      </c>
      <c r="D466" t="s">
        <v>29</v>
      </c>
      <c r="E466">
        <v>38</v>
      </c>
      <c r="F466">
        <v>7339.99</v>
      </c>
      <c r="G466" t="s">
        <v>20</v>
      </c>
      <c r="H466">
        <v>2</v>
      </c>
      <c r="I466">
        <v>5818.78</v>
      </c>
      <c r="J466">
        <v>1521.21</v>
      </c>
      <c r="K466" t="str">
        <f t="shared" si="22"/>
        <v>April</v>
      </c>
      <c r="L466" t="str">
        <f t="shared" si="23"/>
        <v>Q2</v>
      </c>
      <c r="M466">
        <f t="shared" si="21"/>
        <v>2023</v>
      </c>
      <c r="N466" t="s">
        <v>47</v>
      </c>
    </row>
    <row r="467" spans="1:14" ht="14.55" customHeight="1" x14ac:dyDescent="0.3">
      <c r="A467" s="1">
        <v>44756</v>
      </c>
      <c r="B467" t="s">
        <v>18</v>
      </c>
      <c r="C467" t="s">
        <v>25</v>
      </c>
      <c r="D467" t="s">
        <v>38</v>
      </c>
      <c r="E467">
        <v>7</v>
      </c>
      <c r="F467">
        <v>1590.94</v>
      </c>
      <c r="G467" t="s">
        <v>12</v>
      </c>
      <c r="H467">
        <v>3</v>
      </c>
      <c r="I467">
        <v>42.35</v>
      </c>
      <c r="J467">
        <v>1548.59</v>
      </c>
      <c r="K467" t="str">
        <f t="shared" si="22"/>
        <v>July</v>
      </c>
      <c r="L467" t="str">
        <f t="shared" si="23"/>
        <v>Q3</v>
      </c>
      <c r="M467">
        <f t="shared" si="21"/>
        <v>2022</v>
      </c>
      <c r="N467" t="s">
        <v>45</v>
      </c>
    </row>
    <row r="468" spans="1:14" ht="14.55" customHeight="1" x14ac:dyDescent="0.3">
      <c r="A468" s="1">
        <v>44945</v>
      </c>
      <c r="B468" t="s">
        <v>15</v>
      </c>
      <c r="C468" t="s">
        <v>25</v>
      </c>
      <c r="D468" t="s">
        <v>26</v>
      </c>
      <c r="E468">
        <v>35</v>
      </c>
      <c r="F468">
        <v>11263.52</v>
      </c>
      <c r="G468" t="s">
        <v>12</v>
      </c>
      <c r="H468">
        <v>1</v>
      </c>
      <c r="I468">
        <v>7263</v>
      </c>
      <c r="J468">
        <v>4000.52</v>
      </c>
      <c r="K468" t="str">
        <f t="shared" si="22"/>
        <v>January</v>
      </c>
      <c r="L468" t="str">
        <f t="shared" si="23"/>
        <v>Q1</v>
      </c>
      <c r="M468">
        <f t="shared" si="21"/>
        <v>2023</v>
      </c>
      <c r="N468" t="s">
        <v>44</v>
      </c>
    </row>
    <row r="469" spans="1:14" ht="14.55" customHeight="1" x14ac:dyDescent="0.3">
      <c r="A469" s="1">
        <v>45197</v>
      </c>
      <c r="B469" t="s">
        <v>9</v>
      </c>
      <c r="C469" t="s">
        <v>13</v>
      </c>
      <c r="D469" t="s">
        <v>14</v>
      </c>
      <c r="E469">
        <v>19</v>
      </c>
      <c r="F469">
        <v>2796.6</v>
      </c>
      <c r="G469" t="s">
        <v>20</v>
      </c>
      <c r="H469">
        <v>1</v>
      </c>
      <c r="I469">
        <v>2528.44</v>
      </c>
      <c r="J469">
        <v>268.16000000000003</v>
      </c>
      <c r="K469" t="str">
        <f t="shared" si="22"/>
        <v>September</v>
      </c>
      <c r="L469" t="str">
        <f t="shared" si="23"/>
        <v>Q3</v>
      </c>
      <c r="M469">
        <f t="shared" si="21"/>
        <v>2023</v>
      </c>
      <c r="N469" t="s">
        <v>44</v>
      </c>
    </row>
    <row r="470" spans="1:14" ht="14.55" customHeight="1" x14ac:dyDescent="0.3">
      <c r="A470" s="1">
        <v>45135</v>
      </c>
      <c r="B470" t="s">
        <v>15</v>
      </c>
      <c r="C470" t="s">
        <v>21</v>
      </c>
      <c r="D470" t="s">
        <v>32</v>
      </c>
      <c r="E470">
        <v>3</v>
      </c>
      <c r="F470">
        <v>856.22</v>
      </c>
      <c r="G470" t="s">
        <v>20</v>
      </c>
      <c r="H470">
        <v>5</v>
      </c>
      <c r="I470">
        <v>314.85000000000002</v>
      </c>
      <c r="J470">
        <v>541.37</v>
      </c>
      <c r="K470" t="str">
        <f t="shared" si="22"/>
        <v>July</v>
      </c>
      <c r="L470" t="str">
        <f t="shared" si="23"/>
        <v>Q3</v>
      </c>
      <c r="M470">
        <f t="shared" si="21"/>
        <v>2023</v>
      </c>
      <c r="N470" t="s">
        <v>44</v>
      </c>
    </row>
    <row r="471" spans="1:14" ht="14.55" customHeight="1" x14ac:dyDescent="0.3">
      <c r="A471" s="1">
        <v>44824</v>
      </c>
      <c r="B471" t="s">
        <v>31</v>
      </c>
      <c r="C471" t="s">
        <v>25</v>
      </c>
      <c r="D471" t="s">
        <v>30</v>
      </c>
      <c r="E471">
        <v>22</v>
      </c>
      <c r="F471">
        <v>5503.13</v>
      </c>
      <c r="G471" t="s">
        <v>12</v>
      </c>
      <c r="H471">
        <v>5</v>
      </c>
      <c r="I471">
        <v>1176.48</v>
      </c>
      <c r="J471">
        <v>4326.6499999999996</v>
      </c>
      <c r="K471" t="str">
        <f t="shared" si="22"/>
        <v>September</v>
      </c>
      <c r="L471" t="str">
        <f t="shared" si="23"/>
        <v>Q3</v>
      </c>
      <c r="M471">
        <f t="shared" si="21"/>
        <v>2022</v>
      </c>
      <c r="N471" t="s">
        <v>47</v>
      </c>
    </row>
    <row r="472" spans="1:14" ht="14.55" customHeight="1" x14ac:dyDescent="0.3">
      <c r="A472" s="1">
        <v>44573</v>
      </c>
      <c r="B472" t="s">
        <v>18</v>
      </c>
      <c r="C472" t="s">
        <v>10</v>
      </c>
      <c r="D472" t="s">
        <v>34</v>
      </c>
      <c r="E472">
        <v>40</v>
      </c>
      <c r="F472">
        <v>13807.58</v>
      </c>
      <c r="G472" t="s">
        <v>12</v>
      </c>
      <c r="H472">
        <v>2</v>
      </c>
      <c r="I472">
        <v>3375.88</v>
      </c>
      <c r="J472">
        <v>10431.700000000001</v>
      </c>
      <c r="K472" t="str">
        <f t="shared" si="22"/>
        <v>January</v>
      </c>
      <c r="L472" t="str">
        <f t="shared" si="23"/>
        <v>Q1</v>
      </c>
      <c r="M472">
        <f t="shared" si="21"/>
        <v>2022</v>
      </c>
      <c r="N472" t="s">
        <v>47</v>
      </c>
    </row>
    <row r="473" spans="1:14" ht="14.55" customHeight="1" x14ac:dyDescent="0.3">
      <c r="A473" s="1">
        <v>44957</v>
      </c>
      <c r="B473" t="s">
        <v>23</v>
      </c>
      <c r="C473" t="s">
        <v>13</v>
      </c>
      <c r="D473" t="s">
        <v>19</v>
      </c>
      <c r="E473">
        <v>7</v>
      </c>
      <c r="F473">
        <v>767.65</v>
      </c>
      <c r="G473" t="s">
        <v>20</v>
      </c>
      <c r="H473">
        <v>4</v>
      </c>
      <c r="I473">
        <v>311.29000000000002</v>
      </c>
      <c r="J473">
        <v>456.36</v>
      </c>
      <c r="K473" t="str">
        <f t="shared" si="22"/>
        <v>January</v>
      </c>
      <c r="L473" t="str">
        <f t="shared" si="23"/>
        <v>Q1</v>
      </c>
      <c r="M473">
        <f t="shared" si="21"/>
        <v>2023</v>
      </c>
      <c r="N473" t="s">
        <v>44</v>
      </c>
    </row>
    <row r="474" spans="1:14" ht="14.55" customHeight="1" x14ac:dyDescent="0.3">
      <c r="A474" s="1">
        <v>44807</v>
      </c>
      <c r="B474" t="s">
        <v>9</v>
      </c>
      <c r="C474" t="s">
        <v>10</v>
      </c>
      <c r="D474" t="s">
        <v>11</v>
      </c>
      <c r="E474">
        <v>45</v>
      </c>
      <c r="F474">
        <v>11830.81</v>
      </c>
      <c r="G474" t="s">
        <v>20</v>
      </c>
      <c r="H474">
        <v>5</v>
      </c>
      <c r="I474">
        <v>8881.5</v>
      </c>
      <c r="J474">
        <v>2949.31</v>
      </c>
      <c r="K474" t="str">
        <f t="shared" si="22"/>
        <v>September</v>
      </c>
      <c r="L474" t="str">
        <f t="shared" si="23"/>
        <v>Q3</v>
      </c>
      <c r="M474">
        <f t="shared" si="21"/>
        <v>2022</v>
      </c>
      <c r="N474" t="s">
        <v>45</v>
      </c>
    </row>
    <row r="475" spans="1:14" ht="14.55" customHeight="1" x14ac:dyDescent="0.3">
      <c r="A475" s="1">
        <v>44668</v>
      </c>
      <c r="B475" t="s">
        <v>23</v>
      </c>
      <c r="C475" t="s">
        <v>21</v>
      </c>
      <c r="D475" t="s">
        <v>32</v>
      </c>
      <c r="E475">
        <v>24</v>
      </c>
      <c r="F475">
        <v>5008.9399999999996</v>
      </c>
      <c r="G475" t="s">
        <v>12</v>
      </c>
      <c r="H475">
        <v>3</v>
      </c>
      <c r="I475">
        <v>5836.38</v>
      </c>
      <c r="J475">
        <v>-827.44</v>
      </c>
      <c r="K475" t="str">
        <f t="shared" si="22"/>
        <v>April</v>
      </c>
      <c r="L475" t="str">
        <f t="shared" si="23"/>
        <v>Q2</v>
      </c>
      <c r="M475">
        <f t="shared" si="21"/>
        <v>2022</v>
      </c>
      <c r="N475" t="s">
        <v>45</v>
      </c>
    </row>
    <row r="476" spans="1:14" ht="14.55" customHeight="1" x14ac:dyDescent="0.3">
      <c r="A476" s="1">
        <v>45187</v>
      </c>
      <c r="B476" t="s">
        <v>9</v>
      </c>
      <c r="C476" t="s">
        <v>16</v>
      </c>
      <c r="D476" t="s">
        <v>17</v>
      </c>
      <c r="E476">
        <v>5</v>
      </c>
      <c r="F476">
        <v>722.63</v>
      </c>
      <c r="G476" t="s">
        <v>20</v>
      </c>
      <c r="H476">
        <v>4</v>
      </c>
      <c r="I476">
        <v>524.29</v>
      </c>
      <c r="J476">
        <v>198.34</v>
      </c>
      <c r="K476" t="str">
        <f t="shared" si="22"/>
        <v>September</v>
      </c>
      <c r="L476" t="str">
        <f t="shared" si="23"/>
        <v>Q3</v>
      </c>
      <c r="M476">
        <f t="shared" si="21"/>
        <v>2023</v>
      </c>
      <c r="N476" t="s">
        <v>44</v>
      </c>
    </row>
    <row r="477" spans="1:14" ht="14.55" customHeight="1" x14ac:dyDescent="0.3">
      <c r="A477" s="1">
        <v>45070</v>
      </c>
      <c r="B477" t="s">
        <v>23</v>
      </c>
      <c r="C477" t="s">
        <v>16</v>
      </c>
      <c r="D477" t="s">
        <v>37</v>
      </c>
      <c r="E477">
        <v>17</v>
      </c>
      <c r="F477">
        <v>2334.44</v>
      </c>
      <c r="G477" t="s">
        <v>20</v>
      </c>
      <c r="H477">
        <v>1</v>
      </c>
      <c r="I477">
        <v>4246.01</v>
      </c>
      <c r="J477">
        <v>-1911.57</v>
      </c>
      <c r="K477" t="str">
        <f t="shared" si="22"/>
        <v>May</v>
      </c>
      <c r="L477" t="str">
        <f t="shared" si="23"/>
        <v>Q2</v>
      </c>
      <c r="M477">
        <f t="shared" si="21"/>
        <v>2023</v>
      </c>
      <c r="N477" t="s">
        <v>47</v>
      </c>
    </row>
    <row r="478" spans="1:14" ht="14.55" customHeight="1" x14ac:dyDescent="0.3">
      <c r="A478" s="1">
        <v>45244</v>
      </c>
      <c r="B478" t="s">
        <v>9</v>
      </c>
      <c r="C478" t="s">
        <v>25</v>
      </c>
      <c r="D478" t="s">
        <v>39</v>
      </c>
      <c r="E478">
        <v>10</v>
      </c>
      <c r="F478">
        <v>2716.21</v>
      </c>
      <c r="G478" t="s">
        <v>20</v>
      </c>
      <c r="H478">
        <v>2</v>
      </c>
      <c r="I478">
        <v>1755.08</v>
      </c>
      <c r="J478">
        <v>961.13</v>
      </c>
      <c r="K478" t="str">
        <f t="shared" si="22"/>
        <v>November</v>
      </c>
      <c r="L478" t="str">
        <f t="shared" si="23"/>
        <v>Q4</v>
      </c>
      <c r="M478">
        <f t="shared" si="21"/>
        <v>2023</v>
      </c>
      <c r="N478" t="s">
        <v>44</v>
      </c>
    </row>
    <row r="479" spans="1:14" ht="14.55" customHeight="1" x14ac:dyDescent="0.3">
      <c r="A479" s="1">
        <v>44948</v>
      </c>
      <c r="B479" t="s">
        <v>9</v>
      </c>
      <c r="C479" t="s">
        <v>10</v>
      </c>
      <c r="D479" t="s">
        <v>34</v>
      </c>
      <c r="E479">
        <v>8</v>
      </c>
      <c r="F479">
        <v>508.86</v>
      </c>
      <c r="G479" t="s">
        <v>12</v>
      </c>
      <c r="H479">
        <v>2</v>
      </c>
      <c r="I479">
        <v>547.76</v>
      </c>
      <c r="J479">
        <v>-38.9</v>
      </c>
      <c r="K479" t="str">
        <f t="shared" si="22"/>
        <v>January</v>
      </c>
      <c r="L479" t="str">
        <f t="shared" si="23"/>
        <v>Q1</v>
      </c>
      <c r="M479">
        <f t="shared" si="21"/>
        <v>2023</v>
      </c>
      <c r="N479" t="s">
        <v>45</v>
      </c>
    </row>
    <row r="480" spans="1:14" ht="14.55" customHeight="1" x14ac:dyDescent="0.3">
      <c r="A480" s="1">
        <v>45131</v>
      </c>
      <c r="B480" t="s">
        <v>31</v>
      </c>
      <c r="C480" t="s">
        <v>25</v>
      </c>
      <c r="D480" t="s">
        <v>39</v>
      </c>
      <c r="E480">
        <v>32</v>
      </c>
      <c r="F480">
        <v>10133.14</v>
      </c>
      <c r="G480" t="s">
        <v>20</v>
      </c>
      <c r="H480">
        <v>5</v>
      </c>
      <c r="I480">
        <v>3991.78</v>
      </c>
      <c r="J480">
        <v>6141.36</v>
      </c>
      <c r="K480" t="str">
        <f t="shared" si="22"/>
        <v>July</v>
      </c>
      <c r="L480" t="str">
        <f t="shared" si="23"/>
        <v>Q3</v>
      </c>
      <c r="M480">
        <f t="shared" si="21"/>
        <v>2023</v>
      </c>
      <c r="N480" t="s">
        <v>44</v>
      </c>
    </row>
    <row r="481" spans="1:14" ht="14.55" customHeight="1" x14ac:dyDescent="0.3">
      <c r="A481" s="1">
        <v>44847</v>
      </c>
      <c r="B481" t="s">
        <v>9</v>
      </c>
      <c r="C481" t="s">
        <v>25</v>
      </c>
      <c r="D481" t="s">
        <v>39</v>
      </c>
      <c r="E481">
        <v>34</v>
      </c>
      <c r="F481">
        <v>11349.27</v>
      </c>
      <c r="G481" t="s">
        <v>12</v>
      </c>
      <c r="H481">
        <v>2</v>
      </c>
      <c r="I481">
        <v>6944.08</v>
      </c>
      <c r="J481">
        <v>4405.1899999999996</v>
      </c>
      <c r="K481" t="str">
        <f t="shared" si="22"/>
        <v>October</v>
      </c>
      <c r="L481" t="str">
        <f t="shared" si="23"/>
        <v>Q4</v>
      </c>
      <c r="M481">
        <f t="shared" si="21"/>
        <v>2022</v>
      </c>
      <c r="N481" t="s">
        <v>47</v>
      </c>
    </row>
    <row r="482" spans="1:14" ht="14.55" customHeight="1" x14ac:dyDescent="0.3">
      <c r="A482" s="1">
        <v>45049</v>
      </c>
      <c r="B482" t="s">
        <v>18</v>
      </c>
      <c r="C482" t="s">
        <v>25</v>
      </c>
      <c r="D482" t="s">
        <v>30</v>
      </c>
      <c r="E482">
        <v>11</v>
      </c>
      <c r="F482">
        <v>1611.29</v>
      </c>
      <c r="G482" t="s">
        <v>20</v>
      </c>
      <c r="H482">
        <v>2</v>
      </c>
      <c r="I482">
        <v>2495.19</v>
      </c>
      <c r="J482">
        <v>-883.9</v>
      </c>
      <c r="K482" t="str">
        <f t="shared" si="22"/>
        <v>May</v>
      </c>
      <c r="L482" t="str">
        <f t="shared" si="23"/>
        <v>Q2</v>
      </c>
      <c r="M482">
        <f t="shared" si="21"/>
        <v>2023</v>
      </c>
      <c r="N482" t="s">
        <v>47</v>
      </c>
    </row>
    <row r="483" spans="1:14" ht="14.55" customHeight="1" x14ac:dyDescent="0.3">
      <c r="A483" s="1">
        <v>45058</v>
      </c>
      <c r="B483" t="s">
        <v>23</v>
      </c>
      <c r="C483" t="s">
        <v>21</v>
      </c>
      <c r="D483" t="s">
        <v>22</v>
      </c>
      <c r="E483">
        <v>48</v>
      </c>
      <c r="F483">
        <v>12956.18</v>
      </c>
      <c r="G483" t="s">
        <v>20</v>
      </c>
      <c r="H483">
        <v>2</v>
      </c>
      <c r="I483">
        <v>4388.87</v>
      </c>
      <c r="J483">
        <v>8567.31</v>
      </c>
      <c r="K483" t="str">
        <f t="shared" si="22"/>
        <v>May</v>
      </c>
      <c r="L483" t="str">
        <f t="shared" si="23"/>
        <v>Q2</v>
      </c>
      <c r="M483">
        <f t="shared" si="21"/>
        <v>2023</v>
      </c>
      <c r="N483" t="s">
        <v>45</v>
      </c>
    </row>
    <row r="484" spans="1:14" ht="14.55" customHeight="1" x14ac:dyDescent="0.3">
      <c r="A484" s="1">
        <v>44642</v>
      </c>
      <c r="B484" t="s">
        <v>9</v>
      </c>
      <c r="C484" t="s">
        <v>21</v>
      </c>
      <c r="D484" t="s">
        <v>32</v>
      </c>
      <c r="E484">
        <v>44</v>
      </c>
      <c r="F484">
        <v>14710.25</v>
      </c>
      <c r="G484" t="s">
        <v>20</v>
      </c>
      <c r="H484">
        <v>3</v>
      </c>
      <c r="I484">
        <v>10431.969999999999</v>
      </c>
      <c r="J484">
        <v>4278.28</v>
      </c>
      <c r="K484" t="str">
        <f t="shared" si="22"/>
        <v>March</v>
      </c>
      <c r="L484" t="str">
        <f t="shared" si="23"/>
        <v>Q1</v>
      </c>
      <c r="M484">
        <f t="shared" si="21"/>
        <v>2022</v>
      </c>
      <c r="N484" t="s">
        <v>45</v>
      </c>
    </row>
    <row r="485" spans="1:14" ht="14.55" customHeight="1" x14ac:dyDescent="0.3">
      <c r="A485" s="1">
        <v>45031</v>
      </c>
      <c r="B485" t="s">
        <v>9</v>
      </c>
      <c r="C485" t="s">
        <v>10</v>
      </c>
      <c r="D485" t="s">
        <v>34</v>
      </c>
      <c r="E485">
        <v>20</v>
      </c>
      <c r="F485">
        <v>6120.62</v>
      </c>
      <c r="G485" t="s">
        <v>20</v>
      </c>
      <c r="H485">
        <v>5</v>
      </c>
      <c r="I485">
        <v>4938.21</v>
      </c>
      <c r="J485">
        <v>1182.4100000000001</v>
      </c>
      <c r="K485" t="str">
        <f t="shared" si="22"/>
        <v>April</v>
      </c>
      <c r="L485" t="str">
        <f t="shared" si="23"/>
        <v>Q2</v>
      </c>
      <c r="M485">
        <f t="shared" si="21"/>
        <v>2023</v>
      </c>
      <c r="N485" t="s">
        <v>44</v>
      </c>
    </row>
    <row r="486" spans="1:14" ht="14.55" customHeight="1" x14ac:dyDescent="0.3">
      <c r="A486" s="1">
        <v>44656</v>
      </c>
      <c r="B486" t="s">
        <v>31</v>
      </c>
      <c r="C486" t="s">
        <v>16</v>
      </c>
      <c r="D486" t="s">
        <v>27</v>
      </c>
      <c r="E486">
        <v>30</v>
      </c>
      <c r="F486">
        <v>12238.16</v>
      </c>
      <c r="G486" t="s">
        <v>12</v>
      </c>
      <c r="H486">
        <v>3</v>
      </c>
      <c r="I486">
        <v>5166.46</v>
      </c>
      <c r="J486">
        <v>7071.7</v>
      </c>
      <c r="K486" t="str">
        <f t="shared" si="22"/>
        <v>April</v>
      </c>
      <c r="L486" t="str">
        <f t="shared" si="23"/>
        <v>Q2</v>
      </c>
      <c r="M486">
        <f t="shared" si="21"/>
        <v>2022</v>
      </c>
      <c r="N486" t="s">
        <v>47</v>
      </c>
    </row>
    <row r="487" spans="1:14" ht="14.55" customHeight="1" x14ac:dyDescent="0.3">
      <c r="A487" s="1">
        <v>45226</v>
      </c>
      <c r="B487" t="s">
        <v>18</v>
      </c>
      <c r="C487" t="s">
        <v>13</v>
      </c>
      <c r="D487" t="s">
        <v>40</v>
      </c>
      <c r="E487">
        <v>39</v>
      </c>
      <c r="F487">
        <v>15878.38</v>
      </c>
      <c r="G487" t="s">
        <v>20</v>
      </c>
      <c r="H487">
        <v>5</v>
      </c>
      <c r="I487">
        <v>8700.1299999999992</v>
      </c>
      <c r="J487">
        <v>7178.25</v>
      </c>
      <c r="K487" t="str">
        <f t="shared" si="22"/>
        <v>October</v>
      </c>
      <c r="L487" t="str">
        <f t="shared" si="23"/>
        <v>Q4</v>
      </c>
      <c r="M487">
        <f t="shared" si="21"/>
        <v>2023</v>
      </c>
      <c r="N487" t="s">
        <v>45</v>
      </c>
    </row>
    <row r="488" spans="1:14" ht="14.55" customHeight="1" x14ac:dyDescent="0.3">
      <c r="A488" s="1">
        <v>44925</v>
      </c>
      <c r="B488" t="s">
        <v>18</v>
      </c>
      <c r="C488" t="s">
        <v>25</v>
      </c>
      <c r="D488" t="s">
        <v>38</v>
      </c>
      <c r="E488">
        <v>48</v>
      </c>
      <c r="F488">
        <v>11575.7</v>
      </c>
      <c r="G488" t="s">
        <v>20</v>
      </c>
      <c r="H488">
        <v>2</v>
      </c>
      <c r="I488">
        <v>2800.13</v>
      </c>
      <c r="J488">
        <v>8775.57</v>
      </c>
      <c r="K488" t="str">
        <f t="shared" si="22"/>
        <v>December</v>
      </c>
      <c r="L488" t="str">
        <f t="shared" si="23"/>
        <v>Q4</v>
      </c>
      <c r="M488">
        <f t="shared" si="21"/>
        <v>2022</v>
      </c>
      <c r="N488" t="s">
        <v>44</v>
      </c>
    </row>
    <row r="489" spans="1:14" ht="14.55" customHeight="1" x14ac:dyDescent="0.3">
      <c r="A489" s="1">
        <v>44744</v>
      </c>
      <c r="B489" t="s">
        <v>9</v>
      </c>
      <c r="C489" t="s">
        <v>25</v>
      </c>
      <c r="D489" t="s">
        <v>38</v>
      </c>
      <c r="E489">
        <v>11</v>
      </c>
      <c r="F489">
        <v>5056.49</v>
      </c>
      <c r="G489" t="s">
        <v>12</v>
      </c>
      <c r="H489">
        <v>2</v>
      </c>
      <c r="I489">
        <v>2258.36</v>
      </c>
      <c r="J489">
        <v>2798.13</v>
      </c>
      <c r="K489" t="str">
        <f t="shared" si="22"/>
        <v>July</v>
      </c>
      <c r="L489" t="str">
        <f t="shared" si="23"/>
        <v>Q3</v>
      </c>
      <c r="M489">
        <f t="shared" si="21"/>
        <v>2022</v>
      </c>
      <c r="N489" t="s">
        <v>44</v>
      </c>
    </row>
    <row r="490" spans="1:14" ht="14.55" customHeight="1" x14ac:dyDescent="0.3">
      <c r="A490" s="1">
        <v>45171</v>
      </c>
      <c r="B490" t="s">
        <v>15</v>
      </c>
      <c r="C490" t="s">
        <v>13</v>
      </c>
      <c r="D490" t="s">
        <v>29</v>
      </c>
      <c r="E490">
        <v>50</v>
      </c>
      <c r="F490">
        <v>5122.82</v>
      </c>
      <c r="G490" t="s">
        <v>12</v>
      </c>
      <c r="H490">
        <v>5</v>
      </c>
      <c r="I490">
        <v>3850.83</v>
      </c>
      <c r="J490">
        <v>1271.99</v>
      </c>
      <c r="K490" t="str">
        <f t="shared" si="22"/>
        <v>September</v>
      </c>
      <c r="L490" t="str">
        <f t="shared" si="23"/>
        <v>Q3</v>
      </c>
      <c r="M490">
        <f t="shared" si="21"/>
        <v>2023</v>
      </c>
      <c r="N490" t="s">
        <v>45</v>
      </c>
    </row>
    <row r="491" spans="1:14" ht="14.55" customHeight="1" x14ac:dyDescent="0.3">
      <c r="A491" s="1">
        <v>44629</v>
      </c>
      <c r="B491" t="s">
        <v>23</v>
      </c>
      <c r="C491" t="s">
        <v>25</v>
      </c>
      <c r="D491" t="s">
        <v>38</v>
      </c>
      <c r="E491">
        <v>34</v>
      </c>
      <c r="F491">
        <v>3010.29</v>
      </c>
      <c r="G491" t="s">
        <v>20</v>
      </c>
      <c r="H491">
        <v>5</v>
      </c>
      <c r="I491">
        <v>249.44</v>
      </c>
      <c r="J491">
        <v>2760.85</v>
      </c>
      <c r="K491" t="str">
        <f t="shared" si="22"/>
        <v>March</v>
      </c>
      <c r="L491" t="str">
        <f t="shared" si="23"/>
        <v>Q1</v>
      </c>
      <c r="M491">
        <f t="shared" si="21"/>
        <v>2022</v>
      </c>
      <c r="N491" t="s">
        <v>45</v>
      </c>
    </row>
    <row r="492" spans="1:14" ht="14.55" customHeight="1" x14ac:dyDescent="0.3">
      <c r="A492" s="1">
        <v>44597</v>
      </c>
      <c r="B492" t="s">
        <v>18</v>
      </c>
      <c r="C492" t="s">
        <v>13</v>
      </c>
      <c r="D492" t="s">
        <v>29</v>
      </c>
      <c r="E492">
        <v>49</v>
      </c>
      <c r="F492">
        <v>21035.38</v>
      </c>
      <c r="G492" t="s">
        <v>20</v>
      </c>
      <c r="H492">
        <v>4</v>
      </c>
      <c r="I492">
        <v>5436.16</v>
      </c>
      <c r="J492">
        <v>15599.22</v>
      </c>
      <c r="K492" t="str">
        <f t="shared" si="22"/>
        <v>February</v>
      </c>
      <c r="L492" t="str">
        <f t="shared" si="23"/>
        <v>Q1</v>
      </c>
      <c r="M492">
        <f t="shared" si="21"/>
        <v>2022</v>
      </c>
      <c r="N492" t="s">
        <v>44</v>
      </c>
    </row>
    <row r="493" spans="1:14" ht="14.55" customHeight="1" x14ac:dyDescent="0.3">
      <c r="A493" s="1">
        <v>45284</v>
      </c>
      <c r="B493" t="s">
        <v>15</v>
      </c>
      <c r="C493" t="s">
        <v>16</v>
      </c>
      <c r="D493" t="s">
        <v>27</v>
      </c>
      <c r="E493">
        <v>45</v>
      </c>
      <c r="F493">
        <v>9868.15</v>
      </c>
      <c r="G493" t="s">
        <v>12</v>
      </c>
      <c r="H493">
        <v>1</v>
      </c>
      <c r="I493">
        <v>6419.07</v>
      </c>
      <c r="J493">
        <v>3449.08</v>
      </c>
      <c r="K493" t="str">
        <f t="shared" si="22"/>
        <v>December</v>
      </c>
      <c r="L493" t="str">
        <f t="shared" si="23"/>
        <v>Q4</v>
      </c>
      <c r="M493">
        <f t="shared" si="21"/>
        <v>2023</v>
      </c>
      <c r="N493" t="s">
        <v>44</v>
      </c>
    </row>
    <row r="494" spans="1:14" ht="14.55" customHeight="1" x14ac:dyDescent="0.3">
      <c r="A494" s="1">
        <v>44869</v>
      </c>
      <c r="B494" t="s">
        <v>9</v>
      </c>
      <c r="C494" t="s">
        <v>13</v>
      </c>
      <c r="D494" t="s">
        <v>19</v>
      </c>
      <c r="E494">
        <v>26</v>
      </c>
      <c r="F494">
        <v>2426.27</v>
      </c>
      <c r="G494" t="s">
        <v>12</v>
      </c>
      <c r="H494">
        <v>5</v>
      </c>
      <c r="I494">
        <v>5669.15</v>
      </c>
      <c r="J494">
        <v>-3242.88</v>
      </c>
      <c r="K494" t="str">
        <f t="shared" si="22"/>
        <v>November</v>
      </c>
      <c r="L494" t="str">
        <f t="shared" si="23"/>
        <v>Q4</v>
      </c>
      <c r="M494">
        <f t="shared" si="21"/>
        <v>2022</v>
      </c>
      <c r="N494" t="s">
        <v>44</v>
      </c>
    </row>
    <row r="495" spans="1:14" ht="14.55" customHeight="1" x14ac:dyDescent="0.3">
      <c r="A495" s="1">
        <v>45129</v>
      </c>
      <c r="B495" t="s">
        <v>15</v>
      </c>
      <c r="C495" t="s">
        <v>10</v>
      </c>
      <c r="D495" t="s">
        <v>34</v>
      </c>
      <c r="E495">
        <v>29</v>
      </c>
      <c r="F495">
        <v>12382.87</v>
      </c>
      <c r="G495" t="s">
        <v>12</v>
      </c>
      <c r="H495">
        <v>2</v>
      </c>
      <c r="I495">
        <v>6027.94</v>
      </c>
      <c r="J495">
        <v>6354.93</v>
      </c>
      <c r="K495" t="str">
        <f t="shared" si="22"/>
        <v>July</v>
      </c>
      <c r="L495" t="str">
        <f t="shared" si="23"/>
        <v>Q3</v>
      </c>
      <c r="M495">
        <f t="shared" si="21"/>
        <v>2023</v>
      </c>
      <c r="N495" t="s">
        <v>44</v>
      </c>
    </row>
    <row r="496" spans="1:14" ht="14.55" customHeight="1" x14ac:dyDescent="0.3">
      <c r="A496" s="1">
        <v>44794</v>
      </c>
      <c r="B496" t="s">
        <v>9</v>
      </c>
      <c r="C496" t="s">
        <v>25</v>
      </c>
      <c r="D496" t="s">
        <v>39</v>
      </c>
      <c r="E496">
        <v>34</v>
      </c>
      <c r="F496">
        <v>3304.56</v>
      </c>
      <c r="G496" t="s">
        <v>12</v>
      </c>
      <c r="H496">
        <v>1</v>
      </c>
      <c r="I496">
        <v>7604.14</v>
      </c>
      <c r="J496">
        <v>-4299.58</v>
      </c>
      <c r="K496" t="str">
        <f t="shared" si="22"/>
        <v>August</v>
      </c>
      <c r="L496" t="str">
        <f t="shared" si="23"/>
        <v>Q3</v>
      </c>
      <c r="M496">
        <f t="shared" si="21"/>
        <v>2022</v>
      </c>
      <c r="N496" t="s">
        <v>44</v>
      </c>
    </row>
    <row r="497" spans="1:14" ht="14.55" customHeight="1" x14ac:dyDescent="0.3">
      <c r="A497" s="1">
        <v>45200</v>
      </c>
      <c r="B497" t="s">
        <v>23</v>
      </c>
      <c r="C497" t="s">
        <v>25</v>
      </c>
      <c r="D497" t="s">
        <v>39</v>
      </c>
      <c r="E497">
        <v>2</v>
      </c>
      <c r="F497">
        <v>660.58</v>
      </c>
      <c r="G497" t="s">
        <v>20</v>
      </c>
      <c r="H497">
        <v>4</v>
      </c>
      <c r="I497">
        <v>370.75</v>
      </c>
      <c r="J497">
        <v>289.83</v>
      </c>
      <c r="K497" t="str">
        <f t="shared" si="22"/>
        <v>October</v>
      </c>
      <c r="L497" t="str">
        <f t="shared" si="23"/>
        <v>Q4</v>
      </c>
      <c r="M497">
        <f t="shared" si="21"/>
        <v>2023</v>
      </c>
      <c r="N497" t="s">
        <v>45</v>
      </c>
    </row>
    <row r="498" spans="1:14" ht="14.55" customHeight="1" x14ac:dyDescent="0.3">
      <c r="A498" s="1">
        <v>45205</v>
      </c>
      <c r="B498" t="s">
        <v>9</v>
      </c>
      <c r="C498" t="s">
        <v>25</v>
      </c>
      <c r="D498" t="s">
        <v>26</v>
      </c>
      <c r="E498">
        <v>34</v>
      </c>
      <c r="F498">
        <v>14957.83</v>
      </c>
      <c r="G498" t="s">
        <v>20</v>
      </c>
      <c r="H498">
        <v>5</v>
      </c>
      <c r="I498">
        <v>4162.54</v>
      </c>
      <c r="J498">
        <v>10795.29</v>
      </c>
      <c r="K498" t="str">
        <f t="shared" si="22"/>
        <v>October</v>
      </c>
      <c r="L498" t="str">
        <f t="shared" si="23"/>
        <v>Q4</v>
      </c>
      <c r="M498">
        <f t="shared" si="21"/>
        <v>2023</v>
      </c>
      <c r="N498" t="s">
        <v>46</v>
      </c>
    </row>
    <row r="499" spans="1:14" ht="14.55" customHeight="1" x14ac:dyDescent="0.3">
      <c r="A499" s="1">
        <v>44724</v>
      </c>
      <c r="B499" t="s">
        <v>31</v>
      </c>
      <c r="C499" t="s">
        <v>16</v>
      </c>
      <c r="D499" t="s">
        <v>37</v>
      </c>
      <c r="E499">
        <v>9</v>
      </c>
      <c r="F499">
        <v>3427.58</v>
      </c>
      <c r="G499" t="s">
        <v>12</v>
      </c>
      <c r="H499">
        <v>1</v>
      </c>
      <c r="I499">
        <v>1400</v>
      </c>
      <c r="J499">
        <v>2027.58</v>
      </c>
      <c r="K499" t="str">
        <f t="shared" si="22"/>
        <v>June</v>
      </c>
      <c r="L499" t="str">
        <f t="shared" si="23"/>
        <v>Q2</v>
      </c>
      <c r="M499">
        <f t="shared" si="21"/>
        <v>2022</v>
      </c>
      <c r="N499" t="s">
        <v>46</v>
      </c>
    </row>
    <row r="500" spans="1:14" ht="14.55" customHeight="1" x14ac:dyDescent="0.3">
      <c r="A500" s="1">
        <v>44720</v>
      </c>
      <c r="B500" t="s">
        <v>9</v>
      </c>
      <c r="C500" t="s">
        <v>13</v>
      </c>
      <c r="D500" t="s">
        <v>14</v>
      </c>
      <c r="E500">
        <v>18</v>
      </c>
      <c r="F500">
        <v>2339.94</v>
      </c>
      <c r="G500" t="s">
        <v>20</v>
      </c>
      <c r="H500">
        <v>2</v>
      </c>
      <c r="I500">
        <v>1324.64</v>
      </c>
      <c r="J500">
        <v>1015.3</v>
      </c>
      <c r="K500" t="str">
        <f t="shared" si="22"/>
        <v>June</v>
      </c>
      <c r="L500" t="str">
        <f t="shared" si="23"/>
        <v>Q2</v>
      </c>
      <c r="M500">
        <f t="shared" si="21"/>
        <v>2022</v>
      </c>
      <c r="N500" t="s">
        <v>45</v>
      </c>
    </row>
    <row r="501" spans="1:14" ht="14.55" customHeight="1" x14ac:dyDescent="0.3">
      <c r="A501" s="1">
        <v>44578</v>
      </c>
      <c r="B501" t="s">
        <v>9</v>
      </c>
      <c r="C501" t="s">
        <v>10</v>
      </c>
      <c r="D501" t="s">
        <v>34</v>
      </c>
      <c r="E501">
        <v>28</v>
      </c>
      <c r="F501">
        <v>3609.29</v>
      </c>
      <c r="G501" t="s">
        <v>12</v>
      </c>
      <c r="H501">
        <v>4</v>
      </c>
      <c r="I501">
        <v>5920.39</v>
      </c>
      <c r="J501">
        <v>-2311.1</v>
      </c>
      <c r="K501" t="str">
        <f t="shared" si="22"/>
        <v>January</v>
      </c>
      <c r="L501" t="str">
        <f t="shared" si="23"/>
        <v>Q1</v>
      </c>
      <c r="M501">
        <f t="shared" si="21"/>
        <v>2022</v>
      </c>
      <c r="N501" t="s">
        <v>47</v>
      </c>
    </row>
    <row r="502" spans="1:14" ht="14.55" customHeight="1" x14ac:dyDescent="0.3">
      <c r="A502" s="1">
        <v>45047</v>
      </c>
      <c r="B502" t="s">
        <v>23</v>
      </c>
      <c r="C502" t="s">
        <v>13</v>
      </c>
      <c r="D502" t="s">
        <v>29</v>
      </c>
      <c r="E502">
        <v>1</v>
      </c>
      <c r="F502">
        <v>86.89</v>
      </c>
      <c r="G502" t="s">
        <v>12</v>
      </c>
      <c r="H502">
        <v>5</v>
      </c>
      <c r="I502">
        <v>228.07</v>
      </c>
      <c r="J502">
        <v>-141.18</v>
      </c>
      <c r="K502" t="str">
        <f t="shared" si="22"/>
        <v>May</v>
      </c>
      <c r="L502" t="str">
        <f t="shared" si="23"/>
        <v>Q2</v>
      </c>
      <c r="M502">
        <f t="shared" si="21"/>
        <v>2023</v>
      </c>
      <c r="N502" t="s">
        <v>45</v>
      </c>
    </row>
    <row r="503" spans="1:14" ht="14.55" customHeight="1" x14ac:dyDescent="0.3">
      <c r="A503" s="1">
        <v>45189</v>
      </c>
      <c r="B503" t="s">
        <v>15</v>
      </c>
      <c r="C503" t="s">
        <v>13</v>
      </c>
      <c r="D503" t="s">
        <v>19</v>
      </c>
      <c r="E503">
        <v>27</v>
      </c>
      <c r="F503">
        <v>9781.9599999999991</v>
      </c>
      <c r="G503" t="s">
        <v>12</v>
      </c>
      <c r="H503">
        <v>3</v>
      </c>
      <c r="I503">
        <v>1293.32</v>
      </c>
      <c r="J503">
        <v>8488.64</v>
      </c>
      <c r="K503" t="str">
        <f t="shared" si="22"/>
        <v>September</v>
      </c>
      <c r="L503" t="str">
        <f t="shared" si="23"/>
        <v>Q3</v>
      </c>
      <c r="M503">
        <f t="shared" si="21"/>
        <v>2023</v>
      </c>
      <c r="N503" t="s">
        <v>45</v>
      </c>
    </row>
    <row r="504" spans="1:14" ht="14.55" customHeight="1" x14ac:dyDescent="0.3">
      <c r="A504" s="1">
        <v>45156</v>
      </c>
      <c r="B504" t="s">
        <v>18</v>
      </c>
      <c r="C504" t="s">
        <v>10</v>
      </c>
      <c r="D504" t="s">
        <v>11</v>
      </c>
      <c r="E504">
        <v>30</v>
      </c>
      <c r="F504">
        <v>4713.5200000000004</v>
      </c>
      <c r="G504" t="s">
        <v>12</v>
      </c>
      <c r="H504">
        <v>5</v>
      </c>
      <c r="I504">
        <v>310.70999999999998</v>
      </c>
      <c r="J504">
        <v>4402.8100000000004</v>
      </c>
      <c r="K504" t="str">
        <f t="shared" si="22"/>
        <v>August</v>
      </c>
      <c r="L504" t="str">
        <f t="shared" si="23"/>
        <v>Q3</v>
      </c>
      <c r="M504">
        <f t="shared" si="21"/>
        <v>2023</v>
      </c>
      <c r="N504" t="s">
        <v>47</v>
      </c>
    </row>
    <row r="505" spans="1:14" ht="14.55" customHeight="1" x14ac:dyDescent="0.3">
      <c r="A505" s="1">
        <v>44944</v>
      </c>
      <c r="B505" t="s">
        <v>18</v>
      </c>
      <c r="C505" t="s">
        <v>16</v>
      </c>
      <c r="D505" t="s">
        <v>24</v>
      </c>
      <c r="E505">
        <v>12</v>
      </c>
      <c r="F505">
        <v>5965.05</v>
      </c>
      <c r="G505" t="s">
        <v>20</v>
      </c>
      <c r="H505">
        <v>3</v>
      </c>
      <c r="I505">
        <v>2284.89</v>
      </c>
      <c r="J505">
        <v>3680.16</v>
      </c>
      <c r="K505" t="str">
        <f t="shared" si="22"/>
        <v>January</v>
      </c>
      <c r="L505" t="str">
        <f t="shared" si="23"/>
        <v>Q1</v>
      </c>
      <c r="M505">
        <f t="shared" si="21"/>
        <v>2023</v>
      </c>
      <c r="N505" t="s">
        <v>46</v>
      </c>
    </row>
    <row r="506" spans="1:14" ht="14.55" customHeight="1" x14ac:dyDescent="0.3">
      <c r="A506" s="1">
        <v>44777</v>
      </c>
      <c r="B506" t="s">
        <v>15</v>
      </c>
      <c r="C506" t="s">
        <v>13</v>
      </c>
      <c r="D506" t="s">
        <v>19</v>
      </c>
      <c r="E506">
        <v>49</v>
      </c>
      <c r="F506">
        <v>18009</v>
      </c>
      <c r="G506" t="s">
        <v>12</v>
      </c>
      <c r="H506">
        <v>3</v>
      </c>
      <c r="I506">
        <v>4702.1899999999996</v>
      </c>
      <c r="J506">
        <v>13306.81</v>
      </c>
      <c r="K506" t="str">
        <f t="shared" si="22"/>
        <v>August</v>
      </c>
      <c r="L506" t="str">
        <f t="shared" si="23"/>
        <v>Q3</v>
      </c>
      <c r="M506">
        <f t="shared" si="21"/>
        <v>2022</v>
      </c>
      <c r="N506" t="s">
        <v>47</v>
      </c>
    </row>
    <row r="507" spans="1:14" ht="14.55" customHeight="1" x14ac:dyDescent="0.3">
      <c r="A507" s="1">
        <v>45158</v>
      </c>
      <c r="B507" t="s">
        <v>18</v>
      </c>
      <c r="C507" t="s">
        <v>21</v>
      </c>
      <c r="D507" t="s">
        <v>22</v>
      </c>
      <c r="E507">
        <v>29</v>
      </c>
      <c r="F507">
        <v>13085.25</v>
      </c>
      <c r="G507" t="s">
        <v>20</v>
      </c>
      <c r="H507">
        <v>2</v>
      </c>
      <c r="I507">
        <v>6460.21</v>
      </c>
      <c r="J507">
        <v>6625.04</v>
      </c>
      <c r="K507" t="str">
        <f t="shared" si="22"/>
        <v>August</v>
      </c>
      <c r="L507" t="str">
        <f t="shared" si="23"/>
        <v>Q3</v>
      </c>
      <c r="M507">
        <f t="shared" si="21"/>
        <v>2023</v>
      </c>
      <c r="N507" t="s">
        <v>44</v>
      </c>
    </row>
    <row r="508" spans="1:14" ht="14.55" customHeight="1" x14ac:dyDescent="0.3">
      <c r="A508" s="1">
        <v>44989</v>
      </c>
      <c r="B508" t="s">
        <v>18</v>
      </c>
      <c r="C508" t="s">
        <v>16</v>
      </c>
      <c r="D508" t="s">
        <v>17</v>
      </c>
      <c r="E508">
        <v>11</v>
      </c>
      <c r="F508">
        <v>2771.56</v>
      </c>
      <c r="G508" t="s">
        <v>12</v>
      </c>
      <c r="H508">
        <v>4</v>
      </c>
      <c r="I508">
        <v>1598.38</v>
      </c>
      <c r="J508">
        <v>1173.18</v>
      </c>
      <c r="K508" t="str">
        <f t="shared" si="22"/>
        <v>March</v>
      </c>
      <c r="L508" t="str">
        <f t="shared" si="23"/>
        <v>Q1</v>
      </c>
      <c r="M508">
        <f t="shared" si="21"/>
        <v>2023</v>
      </c>
      <c r="N508" t="s">
        <v>44</v>
      </c>
    </row>
    <row r="509" spans="1:14" ht="14.55" customHeight="1" x14ac:dyDescent="0.3">
      <c r="A509" s="1">
        <v>45089</v>
      </c>
      <c r="B509" t="s">
        <v>23</v>
      </c>
      <c r="C509" t="s">
        <v>10</v>
      </c>
      <c r="D509" t="s">
        <v>34</v>
      </c>
      <c r="E509">
        <v>15</v>
      </c>
      <c r="F509">
        <v>7290.65</v>
      </c>
      <c r="G509" t="s">
        <v>20</v>
      </c>
      <c r="H509">
        <v>4</v>
      </c>
      <c r="I509">
        <v>2499.88</v>
      </c>
      <c r="J509">
        <v>4790.7700000000004</v>
      </c>
      <c r="K509" t="str">
        <f t="shared" si="22"/>
        <v>June</v>
      </c>
      <c r="L509" t="str">
        <f t="shared" si="23"/>
        <v>Q2</v>
      </c>
      <c r="M509">
        <f t="shared" si="21"/>
        <v>2023</v>
      </c>
      <c r="N509" t="s">
        <v>45</v>
      </c>
    </row>
    <row r="510" spans="1:14" ht="14.55" customHeight="1" x14ac:dyDescent="0.3">
      <c r="A510" s="1">
        <v>44758</v>
      </c>
      <c r="B510" t="s">
        <v>31</v>
      </c>
      <c r="C510" t="s">
        <v>25</v>
      </c>
      <c r="D510" t="s">
        <v>26</v>
      </c>
      <c r="E510">
        <v>40</v>
      </c>
      <c r="F510">
        <v>3993.48</v>
      </c>
      <c r="G510" t="s">
        <v>20</v>
      </c>
      <c r="H510">
        <v>4</v>
      </c>
      <c r="I510">
        <v>6377.09</v>
      </c>
      <c r="J510">
        <v>-2383.61</v>
      </c>
      <c r="K510" t="str">
        <f t="shared" si="22"/>
        <v>July</v>
      </c>
      <c r="L510" t="str">
        <f t="shared" si="23"/>
        <v>Q3</v>
      </c>
      <c r="M510">
        <f t="shared" si="21"/>
        <v>2022</v>
      </c>
      <c r="N510" t="s">
        <v>45</v>
      </c>
    </row>
    <row r="511" spans="1:14" ht="14.55" customHeight="1" x14ac:dyDescent="0.3">
      <c r="A511" s="1">
        <v>45228</v>
      </c>
      <c r="B511" t="s">
        <v>23</v>
      </c>
      <c r="C511" t="s">
        <v>16</v>
      </c>
      <c r="D511" t="s">
        <v>17</v>
      </c>
      <c r="E511">
        <v>17</v>
      </c>
      <c r="F511">
        <v>6336.95</v>
      </c>
      <c r="G511" t="s">
        <v>12</v>
      </c>
      <c r="H511">
        <v>4</v>
      </c>
      <c r="I511">
        <v>434.83</v>
      </c>
      <c r="J511">
        <v>5902.12</v>
      </c>
      <c r="K511" t="str">
        <f t="shared" si="22"/>
        <v>October</v>
      </c>
      <c r="L511" t="str">
        <f t="shared" si="23"/>
        <v>Q4</v>
      </c>
      <c r="M511">
        <f t="shared" si="21"/>
        <v>2023</v>
      </c>
      <c r="N511" t="s">
        <v>46</v>
      </c>
    </row>
    <row r="512" spans="1:14" ht="14.55" customHeight="1" x14ac:dyDescent="0.3">
      <c r="A512" s="1">
        <v>45041</v>
      </c>
      <c r="B512" t="s">
        <v>23</v>
      </c>
      <c r="C512" t="s">
        <v>21</v>
      </c>
      <c r="D512" t="s">
        <v>22</v>
      </c>
      <c r="E512">
        <v>25</v>
      </c>
      <c r="F512">
        <v>6257.77</v>
      </c>
      <c r="G512" t="s">
        <v>12</v>
      </c>
      <c r="H512">
        <v>2</v>
      </c>
      <c r="I512">
        <v>5119.9399999999996</v>
      </c>
      <c r="J512">
        <v>1137.83</v>
      </c>
      <c r="K512" t="str">
        <f t="shared" si="22"/>
        <v>April</v>
      </c>
      <c r="L512" t="str">
        <f t="shared" si="23"/>
        <v>Q2</v>
      </c>
      <c r="M512">
        <f t="shared" si="21"/>
        <v>2023</v>
      </c>
      <c r="N512" t="s">
        <v>44</v>
      </c>
    </row>
    <row r="513" spans="1:14" ht="14.55" customHeight="1" x14ac:dyDescent="0.3">
      <c r="A513" s="1">
        <v>44573</v>
      </c>
      <c r="B513" t="s">
        <v>9</v>
      </c>
      <c r="C513" t="s">
        <v>16</v>
      </c>
      <c r="D513" t="s">
        <v>37</v>
      </c>
      <c r="E513">
        <v>36</v>
      </c>
      <c r="F513">
        <v>16891.71</v>
      </c>
      <c r="G513" t="s">
        <v>20</v>
      </c>
      <c r="H513">
        <v>4</v>
      </c>
      <c r="I513">
        <v>8124.85</v>
      </c>
      <c r="J513">
        <v>8766.86</v>
      </c>
      <c r="K513" t="str">
        <f t="shared" si="22"/>
        <v>January</v>
      </c>
      <c r="L513" t="str">
        <f t="shared" si="23"/>
        <v>Q1</v>
      </c>
      <c r="M513">
        <f t="shared" si="21"/>
        <v>2022</v>
      </c>
      <c r="N513" t="s">
        <v>46</v>
      </c>
    </row>
    <row r="514" spans="1:14" ht="14.55" customHeight="1" x14ac:dyDescent="0.3">
      <c r="A514" s="1">
        <v>45090</v>
      </c>
      <c r="B514" t="s">
        <v>23</v>
      </c>
      <c r="C514" t="s">
        <v>13</v>
      </c>
      <c r="D514" t="s">
        <v>29</v>
      </c>
      <c r="E514">
        <v>16</v>
      </c>
      <c r="F514">
        <v>3439.33</v>
      </c>
      <c r="G514" t="s">
        <v>20</v>
      </c>
      <c r="H514">
        <v>3</v>
      </c>
      <c r="I514">
        <v>2797.05</v>
      </c>
      <c r="J514">
        <v>642.28</v>
      </c>
      <c r="K514" t="str">
        <f t="shared" si="22"/>
        <v>June</v>
      </c>
      <c r="L514" t="str">
        <f t="shared" si="23"/>
        <v>Q2</v>
      </c>
      <c r="M514">
        <f t="shared" ref="M514:M577" si="24">YEAR(A514)</f>
        <v>2023</v>
      </c>
      <c r="N514" t="s">
        <v>44</v>
      </c>
    </row>
    <row r="515" spans="1:14" ht="14.55" customHeight="1" x14ac:dyDescent="0.3">
      <c r="A515" s="1">
        <v>44880</v>
      </c>
      <c r="B515" t="s">
        <v>23</v>
      </c>
      <c r="C515" t="s">
        <v>10</v>
      </c>
      <c r="D515" t="s">
        <v>28</v>
      </c>
      <c r="E515">
        <v>47</v>
      </c>
      <c r="F515">
        <v>1981</v>
      </c>
      <c r="G515" t="s">
        <v>12</v>
      </c>
      <c r="H515">
        <v>5</v>
      </c>
      <c r="I515">
        <v>9354.83</v>
      </c>
      <c r="J515">
        <v>-7373.83</v>
      </c>
      <c r="K515" t="str">
        <f t="shared" ref="K515:K578" si="25">TEXT(A515,"mmmm")</f>
        <v>November</v>
      </c>
      <c r="L515" t="str">
        <f t="shared" ref="L515:L578" si="26">"Q"&amp;INT((MONTH(A515)-1)/3)+1</f>
        <v>Q4</v>
      </c>
      <c r="M515">
        <f t="shared" si="24"/>
        <v>2022</v>
      </c>
      <c r="N515" t="s">
        <v>43</v>
      </c>
    </row>
    <row r="516" spans="1:14" ht="14.55" customHeight="1" x14ac:dyDescent="0.3">
      <c r="A516" s="1">
        <v>45092</v>
      </c>
      <c r="B516" t="s">
        <v>15</v>
      </c>
      <c r="C516" t="s">
        <v>21</v>
      </c>
      <c r="D516" t="s">
        <v>33</v>
      </c>
      <c r="E516">
        <v>41</v>
      </c>
      <c r="F516">
        <v>6554.41</v>
      </c>
      <c r="G516" t="s">
        <v>20</v>
      </c>
      <c r="H516">
        <v>5</v>
      </c>
      <c r="I516">
        <v>8826.39</v>
      </c>
      <c r="J516">
        <v>-2271.98</v>
      </c>
      <c r="K516" t="str">
        <f t="shared" si="25"/>
        <v>June</v>
      </c>
      <c r="L516" t="str">
        <f t="shared" si="26"/>
        <v>Q2</v>
      </c>
      <c r="M516">
        <f t="shared" si="24"/>
        <v>2023</v>
      </c>
      <c r="N516" t="s">
        <v>45</v>
      </c>
    </row>
    <row r="517" spans="1:14" ht="14.55" customHeight="1" x14ac:dyDescent="0.3">
      <c r="A517" s="1">
        <v>44934</v>
      </c>
      <c r="B517" t="s">
        <v>9</v>
      </c>
      <c r="C517" t="s">
        <v>13</v>
      </c>
      <c r="D517" t="s">
        <v>29</v>
      </c>
      <c r="E517">
        <v>2</v>
      </c>
      <c r="F517">
        <v>402.02</v>
      </c>
      <c r="G517" t="s">
        <v>20</v>
      </c>
      <c r="H517">
        <v>5</v>
      </c>
      <c r="I517">
        <v>484.28</v>
      </c>
      <c r="J517">
        <v>-82.26</v>
      </c>
      <c r="K517" t="str">
        <f t="shared" si="25"/>
        <v>January</v>
      </c>
      <c r="L517" t="str">
        <f t="shared" si="26"/>
        <v>Q1</v>
      </c>
      <c r="M517">
        <f t="shared" si="24"/>
        <v>2023</v>
      </c>
      <c r="N517" t="s">
        <v>45</v>
      </c>
    </row>
    <row r="518" spans="1:14" ht="14.55" customHeight="1" x14ac:dyDescent="0.3">
      <c r="A518" s="1">
        <v>44622</v>
      </c>
      <c r="B518" t="s">
        <v>23</v>
      </c>
      <c r="C518" t="s">
        <v>25</v>
      </c>
      <c r="D518" t="s">
        <v>39</v>
      </c>
      <c r="E518">
        <v>2</v>
      </c>
      <c r="F518">
        <v>509.77</v>
      </c>
      <c r="G518" t="s">
        <v>12</v>
      </c>
      <c r="H518">
        <v>3</v>
      </c>
      <c r="I518">
        <v>104.74</v>
      </c>
      <c r="J518">
        <v>405.03</v>
      </c>
      <c r="K518" t="str">
        <f t="shared" si="25"/>
        <v>March</v>
      </c>
      <c r="L518" t="str">
        <f t="shared" si="26"/>
        <v>Q1</v>
      </c>
      <c r="M518">
        <f t="shared" si="24"/>
        <v>2022</v>
      </c>
      <c r="N518" t="s">
        <v>44</v>
      </c>
    </row>
    <row r="519" spans="1:14" ht="14.55" customHeight="1" x14ac:dyDescent="0.3">
      <c r="A519" s="1">
        <v>44787</v>
      </c>
      <c r="B519" t="s">
        <v>23</v>
      </c>
      <c r="C519" t="s">
        <v>13</v>
      </c>
      <c r="D519" t="s">
        <v>29</v>
      </c>
      <c r="E519">
        <v>18</v>
      </c>
      <c r="F519">
        <v>393.56</v>
      </c>
      <c r="G519" t="s">
        <v>12</v>
      </c>
      <c r="H519">
        <v>1</v>
      </c>
      <c r="I519">
        <v>3229.27</v>
      </c>
      <c r="J519">
        <v>-2835.71</v>
      </c>
      <c r="K519" t="str">
        <f t="shared" si="25"/>
        <v>August</v>
      </c>
      <c r="L519" t="str">
        <f t="shared" si="26"/>
        <v>Q3</v>
      </c>
      <c r="M519">
        <f t="shared" si="24"/>
        <v>2022</v>
      </c>
      <c r="N519" t="s">
        <v>43</v>
      </c>
    </row>
    <row r="520" spans="1:14" ht="14.55" customHeight="1" x14ac:dyDescent="0.3">
      <c r="A520" s="1">
        <v>44608</v>
      </c>
      <c r="B520" t="s">
        <v>23</v>
      </c>
      <c r="C520" t="s">
        <v>16</v>
      </c>
      <c r="D520" t="s">
        <v>37</v>
      </c>
      <c r="E520">
        <v>44</v>
      </c>
      <c r="F520">
        <v>13597.97</v>
      </c>
      <c r="G520" t="s">
        <v>20</v>
      </c>
      <c r="H520">
        <v>1</v>
      </c>
      <c r="I520">
        <v>8891.6200000000008</v>
      </c>
      <c r="J520">
        <v>4706.3500000000004</v>
      </c>
      <c r="K520" t="str">
        <f t="shared" si="25"/>
        <v>February</v>
      </c>
      <c r="L520" t="str">
        <f t="shared" si="26"/>
        <v>Q1</v>
      </c>
      <c r="M520">
        <f t="shared" si="24"/>
        <v>2022</v>
      </c>
      <c r="N520" t="s">
        <v>43</v>
      </c>
    </row>
    <row r="521" spans="1:14" ht="14.55" customHeight="1" x14ac:dyDescent="0.3">
      <c r="A521" s="1">
        <v>44989</v>
      </c>
      <c r="B521" t="s">
        <v>9</v>
      </c>
      <c r="C521" t="s">
        <v>10</v>
      </c>
      <c r="D521" t="s">
        <v>34</v>
      </c>
      <c r="E521">
        <v>30</v>
      </c>
      <c r="F521">
        <v>2729.07</v>
      </c>
      <c r="G521" t="s">
        <v>12</v>
      </c>
      <c r="H521">
        <v>5</v>
      </c>
      <c r="I521">
        <v>662.28</v>
      </c>
      <c r="J521">
        <v>2066.79</v>
      </c>
      <c r="K521" t="str">
        <f t="shared" si="25"/>
        <v>March</v>
      </c>
      <c r="L521" t="str">
        <f t="shared" si="26"/>
        <v>Q1</v>
      </c>
      <c r="M521">
        <f t="shared" si="24"/>
        <v>2023</v>
      </c>
      <c r="N521" t="s">
        <v>43</v>
      </c>
    </row>
    <row r="522" spans="1:14" ht="14.55" customHeight="1" x14ac:dyDescent="0.3">
      <c r="A522" s="1">
        <v>45192</v>
      </c>
      <c r="B522" t="s">
        <v>23</v>
      </c>
      <c r="C522" t="s">
        <v>16</v>
      </c>
      <c r="D522" t="s">
        <v>37</v>
      </c>
      <c r="E522">
        <v>7</v>
      </c>
      <c r="F522">
        <v>988.2</v>
      </c>
      <c r="G522" t="s">
        <v>20</v>
      </c>
      <c r="H522">
        <v>3</v>
      </c>
      <c r="I522">
        <v>429.77</v>
      </c>
      <c r="J522">
        <v>558.42999999999995</v>
      </c>
      <c r="K522" t="str">
        <f t="shared" si="25"/>
        <v>September</v>
      </c>
      <c r="L522" t="str">
        <f t="shared" si="26"/>
        <v>Q3</v>
      </c>
      <c r="M522">
        <f t="shared" si="24"/>
        <v>2023</v>
      </c>
      <c r="N522" t="s">
        <v>46</v>
      </c>
    </row>
    <row r="523" spans="1:14" ht="14.55" customHeight="1" x14ac:dyDescent="0.3">
      <c r="A523" s="1">
        <v>45104</v>
      </c>
      <c r="B523" t="s">
        <v>23</v>
      </c>
      <c r="C523" t="s">
        <v>13</v>
      </c>
      <c r="D523" t="s">
        <v>40</v>
      </c>
      <c r="E523">
        <v>23</v>
      </c>
      <c r="F523">
        <v>9326.5499999999993</v>
      </c>
      <c r="G523" t="s">
        <v>12</v>
      </c>
      <c r="H523">
        <v>4</v>
      </c>
      <c r="I523">
        <v>2122.83</v>
      </c>
      <c r="J523">
        <v>7203.72</v>
      </c>
      <c r="K523" t="str">
        <f t="shared" si="25"/>
        <v>June</v>
      </c>
      <c r="L523" t="str">
        <f t="shared" si="26"/>
        <v>Q2</v>
      </c>
      <c r="M523">
        <f t="shared" si="24"/>
        <v>2023</v>
      </c>
      <c r="N523" t="s">
        <v>46</v>
      </c>
    </row>
    <row r="524" spans="1:14" ht="14.55" customHeight="1" x14ac:dyDescent="0.3">
      <c r="A524" s="1">
        <v>44997</v>
      </c>
      <c r="B524" t="s">
        <v>23</v>
      </c>
      <c r="C524" t="s">
        <v>21</v>
      </c>
      <c r="D524" t="s">
        <v>22</v>
      </c>
      <c r="E524">
        <v>43</v>
      </c>
      <c r="F524">
        <v>13323.15</v>
      </c>
      <c r="G524" t="s">
        <v>20</v>
      </c>
      <c r="H524">
        <v>3</v>
      </c>
      <c r="I524">
        <v>4080.38</v>
      </c>
      <c r="J524">
        <v>9242.77</v>
      </c>
      <c r="K524" t="str">
        <f t="shared" si="25"/>
        <v>March</v>
      </c>
      <c r="L524" t="str">
        <f t="shared" si="26"/>
        <v>Q1</v>
      </c>
      <c r="M524">
        <f t="shared" si="24"/>
        <v>2023</v>
      </c>
      <c r="N524" t="s">
        <v>46</v>
      </c>
    </row>
    <row r="525" spans="1:14" ht="14.55" customHeight="1" x14ac:dyDescent="0.3">
      <c r="A525" s="1">
        <v>44691</v>
      </c>
      <c r="B525" t="s">
        <v>9</v>
      </c>
      <c r="C525" t="s">
        <v>21</v>
      </c>
      <c r="D525" t="s">
        <v>32</v>
      </c>
      <c r="E525">
        <v>34</v>
      </c>
      <c r="F525">
        <v>11267.92</v>
      </c>
      <c r="G525" t="s">
        <v>20</v>
      </c>
      <c r="H525">
        <v>1</v>
      </c>
      <c r="I525">
        <v>3942.07</v>
      </c>
      <c r="J525">
        <v>7325.85</v>
      </c>
      <c r="K525" t="str">
        <f t="shared" si="25"/>
        <v>May</v>
      </c>
      <c r="L525" t="str">
        <f t="shared" si="26"/>
        <v>Q2</v>
      </c>
      <c r="M525">
        <f t="shared" si="24"/>
        <v>2022</v>
      </c>
      <c r="N525" t="s">
        <v>44</v>
      </c>
    </row>
    <row r="526" spans="1:14" ht="14.55" customHeight="1" x14ac:dyDescent="0.3">
      <c r="A526" s="1">
        <v>44777</v>
      </c>
      <c r="B526" t="s">
        <v>9</v>
      </c>
      <c r="C526" t="s">
        <v>25</v>
      </c>
      <c r="D526" t="s">
        <v>39</v>
      </c>
      <c r="E526">
        <v>49</v>
      </c>
      <c r="F526">
        <v>10022.74</v>
      </c>
      <c r="G526" t="s">
        <v>12</v>
      </c>
      <c r="H526">
        <v>2</v>
      </c>
      <c r="I526">
        <v>3612.23</v>
      </c>
      <c r="J526">
        <v>6410.51</v>
      </c>
      <c r="K526" t="str">
        <f t="shared" si="25"/>
        <v>August</v>
      </c>
      <c r="L526" t="str">
        <f t="shared" si="26"/>
        <v>Q3</v>
      </c>
      <c r="M526">
        <f t="shared" si="24"/>
        <v>2022</v>
      </c>
      <c r="N526" t="s">
        <v>45</v>
      </c>
    </row>
    <row r="527" spans="1:14" ht="14.55" customHeight="1" x14ac:dyDescent="0.3">
      <c r="A527" s="1">
        <v>44751</v>
      </c>
      <c r="B527" t="s">
        <v>15</v>
      </c>
      <c r="C527" t="s">
        <v>21</v>
      </c>
      <c r="D527" t="s">
        <v>36</v>
      </c>
      <c r="E527">
        <v>44</v>
      </c>
      <c r="F527">
        <v>20710.12</v>
      </c>
      <c r="G527" t="s">
        <v>20</v>
      </c>
      <c r="H527">
        <v>5</v>
      </c>
      <c r="I527">
        <v>5785.26</v>
      </c>
      <c r="J527">
        <v>14924.86</v>
      </c>
      <c r="K527" t="str">
        <f t="shared" si="25"/>
        <v>July</v>
      </c>
      <c r="L527" t="str">
        <f t="shared" si="26"/>
        <v>Q3</v>
      </c>
      <c r="M527">
        <f t="shared" si="24"/>
        <v>2022</v>
      </c>
      <c r="N527" t="s">
        <v>46</v>
      </c>
    </row>
    <row r="528" spans="1:14" ht="14.55" customHeight="1" x14ac:dyDescent="0.3">
      <c r="A528" s="1">
        <v>45280</v>
      </c>
      <c r="B528" t="s">
        <v>15</v>
      </c>
      <c r="C528" t="s">
        <v>16</v>
      </c>
      <c r="D528" t="s">
        <v>27</v>
      </c>
      <c r="E528">
        <v>26</v>
      </c>
      <c r="F528">
        <v>11061.31</v>
      </c>
      <c r="G528" t="s">
        <v>20</v>
      </c>
      <c r="H528">
        <v>1</v>
      </c>
      <c r="I528">
        <v>2224.39</v>
      </c>
      <c r="J528">
        <v>8836.92</v>
      </c>
      <c r="K528" t="str">
        <f t="shared" si="25"/>
        <v>December</v>
      </c>
      <c r="L528" t="str">
        <f t="shared" si="26"/>
        <v>Q4</v>
      </c>
      <c r="M528">
        <f t="shared" si="24"/>
        <v>2023</v>
      </c>
      <c r="N528" t="s">
        <v>44</v>
      </c>
    </row>
    <row r="529" spans="1:14" ht="14.55" customHeight="1" x14ac:dyDescent="0.3">
      <c r="A529" s="1">
        <v>44596</v>
      </c>
      <c r="B529" t="s">
        <v>31</v>
      </c>
      <c r="C529" t="s">
        <v>10</v>
      </c>
      <c r="D529" t="s">
        <v>28</v>
      </c>
      <c r="E529">
        <v>25</v>
      </c>
      <c r="F529">
        <v>1332.45</v>
      </c>
      <c r="G529" t="s">
        <v>20</v>
      </c>
      <c r="H529">
        <v>2</v>
      </c>
      <c r="I529">
        <v>3465.83</v>
      </c>
      <c r="J529">
        <v>-2133.38</v>
      </c>
      <c r="K529" t="str">
        <f t="shared" si="25"/>
        <v>February</v>
      </c>
      <c r="L529" t="str">
        <f t="shared" si="26"/>
        <v>Q1</v>
      </c>
      <c r="M529">
        <f t="shared" si="24"/>
        <v>2022</v>
      </c>
      <c r="N529" t="s">
        <v>44</v>
      </c>
    </row>
    <row r="530" spans="1:14" ht="14.55" customHeight="1" x14ac:dyDescent="0.3">
      <c r="A530" s="1">
        <v>45246</v>
      </c>
      <c r="B530" t="s">
        <v>15</v>
      </c>
      <c r="C530" t="s">
        <v>25</v>
      </c>
      <c r="D530" t="s">
        <v>26</v>
      </c>
      <c r="E530">
        <v>32</v>
      </c>
      <c r="F530">
        <v>9886.06</v>
      </c>
      <c r="G530" t="s">
        <v>20</v>
      </c>
      <c r="H530">
        <v>4</v>
      </c>
      <c r="I530">
        <v>4713.2299999999996</v>
      </c>
      <c r="J530">
        <v>5172.83</v>
      </c>
      <c r="K530" t="str">
        <f t="shared" si="25"/>
        <v>November</v>
      </c>
      <c r="L530" t="str">
        <f t="shared" si="26"/>
        <v>Q4</v>
      </c>
      <c r="M530">
        <f t="shared" si="24"/>
        <v>2023</v>
      </c>
      <c r="N530" t="s">
        <v>45</v>
      </c>
    </row>
    <row r="531" spans="1:14" ht="14.55" customHeight="1" x14ac:dyDescent="0.3">
      <c r="A531" s="1">
        <v>45208</v>
      </c>
      <c r="B531" t="s">
        <v>31</v>
      </c>
      <c r="C531" t="s">
        <v>21</v>
      </c>
      <c r="D531" t="s">
        <v>22</v>
      </c>
      <c r="E531">
        <v>14</v>
      </c>
      <c r="F531">
        <v>5358.84</v>
      </c>
      <c r="G531" t="s">
        <v>20</v>
      </c>
      <c r="H531">
        <v>1</v>
      </c>
      <c r="I531">
        <v>1531.83</v>
      </c>
      <c r="J531">
        <v>3827.01</v>
      </c>
      <c r="K531" t="str">
        <f t="shared" si="25"/>
        <v>October</v>
      </c>
      <c r="L531" t="str">
        <f t="shared" si="26"/>
        <v>Q4</v>
      </c>
      <c r="M531">
        <f t="shared" si="24"/>
        <v>2023</v>
      </c>
      <c r="N531" t="s">
        <v>44</v>
      </c>
    </row>
    <row r="532" spans="1:14" ht="14.55" customHeight="1" x14ac:dyDescent="0.3">
      <c r="A532" s="1">
        <v>45156</v>
      </c>
      <c r="B532" t="s">
        <v>31</v>
      </c>
      <c r="C532" t="s">
        <v>25</v>
      </c>
      <c r="D532" t="s">
        <v>38</v>
      </c>
      <c r="E532">
        <v>28</v>
      </c>
      <c r="F532">
        <v>2609.33</v>
      </c>
      <c r="G532" t="s">
        <v>20</v>
      </c>
      <c r="H532">
        <v>5</v>
      </c>
      <c r="I532">
        <v>6198.92</v>
      </c>
      <c r="J532">
        <v>-3589.59</v>
      </c>
      <c r="K532" t="str">
        <f t="shared" si="25"/>
        <v>August</v>
      </c>
      <c r="L532" t="str">
        <f t="shared" si="26"/>
        <v>Q3</v>
      </c>
      <c r="M532">
        <f t="shared" si="24"/>
        <v>2023</v>
      </c>
      <c r="N532" t="s">
        <v>45</v>
      </c>
    </row>
    <row r="533" spans="1:14" ht="14.55" customHeight="1" x14ac:dyDescent="0.3">
      <c r="A533" s="1">
        <v>45095</v>
      </c>
      <c r="B533" t="s">
        <v>23</v>
      </c>
      <c r="C533" t="s">
        <v>25</v>
      </c>
      <c r="D533" t="s">
        <v>30</v>
      </c>
      <c r="E533">
        <v>44</v>
      </c>
      <c r="F533">
        <v>7038.29</v>
      </c>
      <c r="G533" t="s">
        <v>20</v>
      </c>
      <c r="H533">
        <v>5</v>
      </c>
      <c r="I533">
        <v>3465.96</v>
      </c>
      <c r="J533">
        <v>3572.33</v>
      </c>
      <c r="K533" t="str">
        <f t="shared" si="25"/>
        <v>June</v>
      </c>
      <c r="L533" t="str">
        <f t="shared" si="26"/>
        <v>Q2</v>
      </c>
      <c r="M533">
        <f t="shared" si="24"/>
        <v>2023</v>
      </c>
      <c r="N533" t="s">
        <v>47</v>
      </c>
    </row>
    <row r="534" spans="1:14" ht="14.55" customHeight="1" x14ac:dyDescent="0.3">
      <c r="A534" s="1">
        <v>44881</v>
      </c>
      <c r="B534" t="s">
        <v>9</v>
      </c>
      <c r="C534" t="s">
        <v>13</v>
      </c>
      <c r="D534" t="s">
        <v>29</v>
      </c>
      <c r="E534">
        <v>25</v>
      </c>
      <c r="F534">
        <v>4071.63</v>
      </c>
      <c r="G534" t="s">
        <v>12</v>
      </c>
      <c r="H534">
        <v>3</v>
      </c>
      <c r="I534">
        <v>2900.33</v>
      </c>
      <c r="J534">
        <v>1171.3</v>
      </c>
      <c r="K534" t="str">
        <f t="shared" si="25"/>
        <v>November</v>
      </c>
      <c r="L534" t="str">
        <f t="shared" si="26"/>
        <v>Q4</v>
      </c>
      <c r="M534">
        <f t="shared" si="24"/>
        <v>2022</v>
      </c>
      <c r="N534" t="s">
        <v>45</v>
      </c>
    </row>
    <row r="535" spans="1:14" ht="14.55" customHeight="1" x14ac:dyDescent="0.3">
      <c r="A535" s="1">
        <v>44811</v>
      </c>
      <c r="B535" t="s">
        <v>15</v>
      </c>
      <c r="C535" t="s">
        <v>21</v>
      </c>
      <c r="D535" t="s">
        <v>36</v>
      </c>
      <c r="E535">
        <v>50</v>
      </c>
      <c r="F535">
        <v>13462.43</v>
      </c>
      <c r="G535" t="s">
        <v>20</v>
      </c>
      <c r="H535">
        <v>3</v>
      </c>
      <c r="I535">
        <v>6515.57</v>
      </c>
      <c r="J535">
        <v>6946.86</v>
      </c>
      <c r="K535" t="str">
        <f t="shared" si="25"/>
        <v>September</v>
      </c>
      <c r="L535" t="str">
        <f t="shared" si="26"/>
        <v>Q3</v>
      </c>
      <c r="M535">
        <f t="shared" si="24"/>
        <v>2022</v>
      </c>
      <c r="N535" t="s">
        <v>47</v>
      </c>
    </row>
    <row r="536" spans="1:14" ht="14.55" customHeight="1" x14ac:dyDescent="0.3">
      <c r="A536" s="1">
        <v>44859</v>
      </c>
      <c r="B536" t="s">
        <v>23</v>
      </c>
      <c r="C536" t="s">
        <v>16</v>
      </c>
      <c r="D536" t="s">
        <v>24</v>
      </c>
      <c r="E536">
        <v>11</v>
      </c>
      <c r="F536">
        <v>2435.17</v>
      </c>
      <c r="G536" t="s">
        <v>20</v>
      </c>
      <c r="H536">
        <v>1</v>
      </c>
      <c r="I536">
        <v>2392.9299999999998</v>
      </c>
      <c r="J536">
        <v>42.24</v>
      </c>
      <c r="K536" t="str">
        <f t="shared" si="25"/>
        <v>October</v>
      </c>
      <c r="L536" t="str">
        <f t="shared" si="26"/>
        <v>Q4</v>
      </c>
      <c r="M536">
        <f t="shared" si="24"/>
        <v>2022</v>
      </c>
      <c r="N536" t="s">
        <v>44</v>
      </c>
    </row>
    <row r="537" spans="1:14" ht="14.55" customHeight="1" x14ac:dyDescent="0.3">
      <c r="A537" s="1">
        <v>44649</v>
      </c>
      <c r="B537" t="s">
        <v>18</v>
      </c>
      <c r="C537" t="s">
        <v>16</v>
      </c>
      <c r="D537" t="s">
        <v>17</v>
      </c>
      <c r="E537">
        <v>6</v>
      </c>
      <c r="F537">
        <v>566.14</v>
      </c>
      <c r="G537" t="s">
        <v>12</v>
      </c>
      <c r="H537">
        <v>2</v>
      </c>
      <c r="I537">
        <v>327.48</v>
      </c>
      <c r="J537">
        <v>238.66</v>
      </c>
      <c r="K537" t="str">
        <f t="shared" si="25"/>
        <v>March</v>
      </c>
      <c r="L537" t="str">
        <f t="shared" si="26"/>
        <v>Q1</v>
      </c>
      <c r="M537">
        <f t="shared" si="24"/>
        <v>2022</v>
      </c>
      <c r="N537" t="s">
        <v>45</v>
      </c>
    </row>
    <row r="538" spans="1:14" ht="14.55" customHeight="1" x14ac:dyDescent="0.3">
      <c r="A538" s="1">
        <v>44680</v>
      </c>
      <c r="B538" t="s">
        <v>9</v>
      </c>
      <c r="C538" t="s">
        <v>13</v>
      </c>
      <c r="D538" t="s">
        <v>14</v>
      </c>
      <c r="E538">
        <v>37</v>
      </c>
      <c r="F538">
        <v>14806.1</v>
      </c>
      <c r="G538" t="s">
        <v>12</v>
      </c>
      <c r="H538">
        <v>1</v>
      </c>
      <c r="I538">
        <v>5570.69</v>
      </c>
      <c r="J538">
        <v>9235.41</v>
      </c>
      <c r="K538" t="str">
        <f t="shared" si="25"/>
        <v>April</v>
      </c>
      <c r="L538" t="str">
        <f t="shared" si="26"/>
        <v>Q2</v>
      </c>
      <c r="M538">
        <f t="shared" si="24"/>
        <v>2022</v>
      </c>
      <c r="N538" t="s">
        <v>43</v>
      </c>
    </row>
    <row r="539" spans="1:14" ht="14.55" customHeight="1" x14ac:dyDescent="0.3">
      <c r="A539" s="1">
        <v>44817</v>
      </c>
      <c r="B539" t="s">
        <v>18</v>
      </c>
      <c r="C539" t="s">
        <v>10</v>
      </c>
      <c r="D539" t="s">
        <v>34</v>
      </c>
      <c r="E539">
        <v>24</v>
      </c>
      <c r="F539">
        <v>711.95</v>
      </c>
      <c r="G539" t="s">
        <v>20</v>
      </c>
      <c r="H539">
        <v>5</v>
      </c>
      <c r="I539">
        <v>1291.8499999999999</v>
      </c>
      <c r="J539">
        <v>-579.9</v>
      </c>
      <c r="K539" t="str">
        <f t="shared" si="25"/>
        <v>September</v>
      </c>
      <c r="L539" t="str">
        <f t="shared" si="26"/>
        <v>Q3</v>
      </c>
      <c r="M539">
        <f t="shared" si="24"/>
        <v>2022</v>
      </c>
      <c r="N539" t="s">
        <v>44</v>
      </c>
    </row>
    <row r="540" spans="1:14" ht="14.55" customHeight="1" x14ac:dyDescent="0.3">
      <c r="A540" s="1">
        <v>44702</v>
      </c>
      <c r="B540" t="s">
        <v>31</v>
      </c>
      <c r="C540" t="s">
        <v>25</v>
      </c>
      <c r="D540" t="s">
        <v>38</v>
      </c>
      <c r="E540">
        <v>30</v>
      </c>
      <c r="F540">
        <v>14643.54</v>
      </c>
      <c r="G540" t="s">
        <v>20</v>
      </c>
      <c r="H540">
        <v>1</v>
      </c>
      <c r="I540">
        <v>5143.3</v>
      </c>
      <c r="J540">
        <v>9500.24</v>
      </c>
      <c r="K540" t="str">
        <f t="shared" si="25"/>
        <v>May</v>
      </c>
      <c r="L540" t="str">
        <f t="shared" si="26"/>
        <v>Q2</v>
      </c>
      <c r="M540">
        <f t="shared" si="24"/>
        <v>2022</v>
      </c>
      <c r="N540" t="s">
        <v>45</v>
      </c>
    </row>
    <row r="541" spans="1:14" ht="14.55" customHeight="1" x14ac:dyDescent="0.3">
      <c r="A541" s="1">
        <v>45256</v>
      </c>
      <c r="B541" t="s">
        <v>15</v>
      </c>
      <c r="C541" t="s">
        <v>25</v>
      </c>
      <c r="D541" t="s">
        <v>26</v>
      </c>
      <c r="E541">
        <v>25</v>
      </c>
      <c r="F541">
        <v>1508.22</v>
      </c>
      <c r="G541" t="s">
        <v>12</v>
      </c>
      <c r="H541">
        <v>1</v>
      </c>
      <c r="I541">
        <v>1935.13</v>
      </c>
      <c r="J541">
        <v>-426.91</v>
      </c>
      <c r="K541" t="str">
        <f t="shared" si="25"/>
        <v>November</v>
      </c>
      <c r="L541" t="str">
        <f t="shared" si="26"/>
        <v>Q4</v>
      </c>
      <c r="M541">
        <f t="shared" si="24"/>
        <v>2023</v>
      </c>
      <c r="N541" t="s">
        <v>43</v>
      </c>
    </row>
    <row r="542" spans="1:14" ht="14.55" customHeight="1" x14ac:dyDescent="0.3">
      <c r="A542" s="1">
        <v>44842</v>
      </c>
      <c r="B542" t="s">
        <v>9</v>
      </c>
      <c r="C542" t="s">
        <v>21</v>
      </c>
      <c r="D542" t="s">
        <v>22</v>
      </c>
      <c r="E542">
        <v>14</v>
      </c>
      <c r="F542">
        <v>3571.33</v>
      </c>
      <c r="G542" t="s">
        <v>12</v>
      </c>
      <c r="H542">
        <v>4</v>
      </c>
      <c r="I542">
        <v>2843.1</v>
      </c>
      <c r="J542">
        <v>728.23</v>
      </c>
      <c r="K542" t="str">
        <f t="shared" si="25"/>
        <v>October</v>
      </c>
      <c r="L542" t="str">
        <f t="shared" si="26"/>
        <v>Q4</v>
      </c>
      <c r="M542">
        <f t="shared" si="24"/>
        <v>2022</v>
      </c>
      <c r="N542" t="s">
        <v>45</v>
      </c>
    </row>
    <row r="543" spans="1:14" ht="14.55" customHeight="1" x14ac:dyDescent="0.3">
      <c r="A543" s="1">
        <v>44935</v>
      </c>
      <c r="B543" t="s">
        <v>9</v>
      </c>
      <c r="C543" t="s">
        <v>16</v>
      </c>
      <c r="D543" t="s">
        <v>27</v>
      </c>
      <c r="E543">
        <v>38</v>
      </c>
      <c r="F543">
        <v>13702.55</v>
      </c>
      <c r="G543" t="s">
        <v>20</v>
      </c>
      <c r="H543">
        <v>1</v>
      </c>
      <c r="I543">
        <v>3028.47</v>
      </c>
      <c r="J543">
        <v>10674.08</v>
      </c>
      <c r="K543" t="str">
        <f t="shared" si="25"/>
        <v>January</v>
      </c>
      <c r="L543" t="str">
        <f t="shared" si="26"/>
        <v>Q1</v>
      </c>
      <c r="M543">
        <f t="shared" si="24"/>
        <v>2023</v>
      </c>
      <c r="N543" t="s">
        <v>45</v>
      </c>
    </row>
    <row r="544" spans="1:14" ht="14.55" customHeight="1" x14ac:dyDescent="0.3">
      <c r="A544" s="1">
        <v>45146</v>
      </c>
      <c r="B544" t="s">
        <v>31</v>
      </c>
      <c r="C544" t="s">
        <v>25</v>
      </c>
      <c r="D544" t="s">
        <v>39</v>
      </c>
      <c r="E544">
        <v>16</v>
      </c>
      <c r="F544">
        <v>356.27</v>
      </c>
      <c r="G544" t="s">
        <v>12</v>
      </c>
      <c r="H544">
        <v>1</v>
      </c>
      <c r="I544">
        <v>222.6</v>
      </c>
      <c r="J544">
        <v>133.66999999999999</v>
      </c>
      <c r="K544" t="str">
        <f t="shared" si="25"/>
        <v>August</v>
      </c>
      <c r="L544" t="str">
        <f t="shared" si="26"/>
        <v>Q3</v>
      </c>
      <c r="M544">
        <f t="shared" si="24"/>
        <v>2023</v>
      </c>
      <c r="N544" t="s">
        <v>44</v>
      </c>
    </row>
    <row r="545" spans="1:14" ht="14.55" customHeight="1" x14ac:dyDescent="0.3">
      <c r="A545" s="1">
        <v>45167</v>
      </c>
      <c r="B545" t="s">
        <v>18</v>
      </c>
      <c r="C545" t="s">
        <v>21</v>
      </c>
      <c r="D545" t="s">
        <v>22</v>
      </c>
      <c r="E545">
        <v>27</v>
      </c>
      <c r="F545">
        <v>12255.57</v>
      </c>
      <c r="G545" t="s">
        <v>20</v>
      </c>
      <c r="H545">
        <v>5</v>
      </c>
      <c r="I545">
        <v>3317.29</v>
      </c>
      <c r="J545">
        <v>8938.2800000000007</v>
      </c>
      <c r="K545" t="str">
        <f t="shared" si="25"/>
        <v>August</v>
      </c>
      <c r="L545" t="str">
        <f t="shared" si="26"/>
        <v>Q3</v>
      </c>
      <c r="M545">
        <f t="shared" si="24"/>
        <v>2023</v>
      </c>
      <c r="N545" t="s">
        <v>44</v>
      </c>
    </row>
    <row r="546" spans="1:14" ht="14.55" customHeight="1" x14ac:dyDescent="0.3">
      <c r="A546" s="1">
        <v>44987</v>
      </c>
      <c r="B546" t="s">
        <v>23</v>
      </c>
      <c r="C546" t="s">
        <v>25</v>
      </c>
      <c r="D546" t="s">
        <v>30</v>
      </c>
      <c r="E546">
        <v>5</v>
      </c>
      <c r="F546">
        <v>1624.64</v>
      </c>
      <c r="G546" t="s">
        <v>20</v>
      </c>
      <c r="H546">
        <v>5</v>
      </c>
      <c r="I546">
        <v>929.23</v>
      </c>
      <c r="J546">
        <v>695.41</v>
      </c>
      <c r="K546" t="str">
        <f t="shared" si="25"/>
        <v>March</v>
      </c>
      <c r="L546" t="str">
        <f t="shared" si="26"/>
        <v>Q1</v>
      </c>
      <c r="M546">
        <f t="shared" si="24"/>
        <v>2023</v>
      </c>
      <c r="N546" t="s">
        <v>47</v>
      </c>
    </row>
    <row r="547" spans="1:14" ht="14.55" customHeight="1" x14ac:dyDescent="0.3">
      <c r="A547" s="1">
        <v>45223</v>
      </c>
      <c r="B547" t="s">
        <v>23</v>
      </c>
      <c r="C547" t="s">
        <v>10</v>
      </c>
      <c r="D547" t="s">
        <v>35</v>
      </c>
      <c r="E547">
        <v>20</v>
      </c>
      <c r="F547">
        <v>4984.17</v>
      </c>
      <c r="G547" t="s">
        <v>20</v>
      </c>
      <c r="H547">
        <v>5</v>
      </c>
      <c r="I547">
        <v>1282.44</v>
      </c>
      <c r="J547">
        <v>3701.73</v>
      </c>
      <c r="K547" t="str">
        <f t="shared" si="25"/>
        <v>October</v>
      </c>
      <c r="L547" t="str">
        <f t="shared" si="26"/>
        <v>Q4</v>
      </c>
      <c r="M547">
        <f t="shared" si="24"/>
        <v>2023</v>
      </c>
      <c r="N547" t="s">
        <v>44</v>
      </c>
    </row>
    <row r="548" spans="1:14" ht="14.55" customHeight="1" x14ac:dyDescent="0.3">
      <c r="A548" s="1">
        <v>45082</v>
      </c>
      <c r="B548" t="s">
        <v>23</v>
      </c>
      <c r="C548" t="s">
        <v>16</v>
      </c>
      <c r="D548" t="s">
        <v>24</v>
      </c>
      <c r="E548">
        <v>44</v>
      </c>
      <c r="F548">
        <v>9728.39</v>
      </c>
      <c r="G548" t="s">
        <v>12</v>
      </c>
      <c r="H548">
        <v>5</v>
      </c>
      <c r="I548">
        <v>3524.92</v>
      </c>
      <c r="J548">
        <v>6203.47</v>
      </c>
      <c r="K548" t="str">
        <f t="shared" si="25"/>
        <v>June</v>
      </c>
      <c r="L548" t="str">
        <f t="shared" si="26"/>
        <v>Q2</v>
      </c>
      <c r="M548">
        <f t="shared" si="24"/>
        <v>2023</v>
      </c>
      <c r="N548" t="s">
        <v>47</v>
      </c>
    </row>
    <row r="549" spans="1:14" ht="14.55" customHeight="1" x14ac:dyDescent="0.3">
      <c r="A549" s="1">
        <v>45009</v>
      </c>
      <c r="B549" t="s">
        <v>15</v>
      </c>
      <c r="C549" t="s">
        <v>13</v>
      </c>
      <c r="D549" t="s">
        <v>40</v>
      </c>
      <c r="E549">
        <v>22</v>
      </c>
      <c r="F549">
        <v>7863.48</v>
      </c>
      <c r="G549" t="s">
        <v>20</v>
      </c>
      <c r="H549">
        <v>5</v>
      </c>
      <c r="I549">
        <v>5176.87</v>
      </c>
      <c r="J549">
        <v>2686.61</v>
      </c>
      <c r="K549" t="str">
        <f t="shared" si="25"/>
        <v>March</v>
      </c>
      <c r="L549" t="str">
        <f t="shared" si="26"/>
        <v>Q1</v>
      </c>
      <c r="M549">
        <f t="shared" si="24"/>
        <v>2023</v>
      </c>
      <c r="N549" t="s">
        <v>44</v>
      </c>
    </row>
    <row r="550" spans="1:14" ht="14.55" customHeight="1" x14ac:dyDescent="0.3">
      <c r="A550" s="1">
        <v>44633</v>
      </c>
      <c r="B550" t="s">
        <v>31</v>
      </c>
      <c r="C550" t="s">
        <v>13</v>
      </c>
      <c r="D550" t="s">
        <v>14</v>
      </c>
      <c r="E550">
        <v>17</v>
      </c>
      <c r="F550">
        <v>6103.41</v>
      </c>
      <c r="G550" t="s">
        <v>12</v>
      </c>
      <c r="H550">
        <v>3</v>
      </c>
      <c r="I550">
        <v>4059.81</v>
      </c>
      <c r="J550">
        <v>2043.6</v>
      </c>
      <c r="K550" t="str">
        <f t="shared" si="25"/>
        <v>March</v>
      </c>
      <c r="L550" t="str">
        <f t="shared" si="26"/>
        <v>Q1</v>
      </c>
      <c r="M550">
        <f t="shared" si="24"/>
        <v>2022</v>
      </c>
      <c r="N550" t="s">
        <v>45</v>
      </c>
    </row>
    <row r="551" spans="1:14" ht="14.55" customHeight="1" x14ac:dyDescent="0.3">
      <c r="A551" s="1">
        <v>44870</v>
      </c>
      <c r="B551" t="s">
        <v>18</v>
      </c>
      <c r="C551" t="s">
        <v>21</v>
      </c>
      <c r="D551" t="s">
        <v>32</v>
      </c>
      <c r="E551">
        <v>45</v>
      </c>
      <c r="F551">
        <v>987.45</v>
      </c>
      <c r="G551" t="s">
        <v>20</v>
      </c>
      <c r="H551">
        <v>1</v>
      </c>
      <c r="I551">
        <v>4150.16</v>
      </c>
      <c r="J551">
        <v>-3162.71</v>
      </c>
      <c r="K551" t="str">
        <f t="shared" si="25"/>
        <v>November</v>
      </c>
      <c r="L551" t="str">
        <f t="shared" si="26"/>
        <v>Q4</v>
      </c>
      <c r="M551">
        <f t="shared" si="24"/>
        <v>2022</v>
      </c>
      <c r="N551" t="s">
        <v>44</v>
      </c>
    </row>
    <row r="552" spans="1:14" ht="14.55" customHeight="1" x14ac:dyDescent="0.3">
      <c r="A552" s="1">
        <v>45109</v>
      </c>
      <c r="B552" t="s">
        <v>23</v>
      </c>
      <c r="C552" t="s">
        <v>10</v>
      </c>
      <c r="D552" t="s">
        <v>35</v>
      </c>
      <c r="E552">
        <v>23</v>
      </c>
      <c r="F552">
        <v>9730.5400000000009</v>
      </c>
      <c r="G552" t="s">
        <v>12</v>
      </c>
      <c r="H552">
        <v>5</v>
      </c>
      <c r="I552">
        <v>5530.56</v>
      </c>
      <c r="J552">
        <v>4199.9799999999996</v>
      </c>
      <c r="K552" t="str">
        <f t="shared" si="25"/>
        <v>July</v>
      </c>
      <c r="L552" t="str">
        <f t="shared" si="26"/>
        <v>Q3</v>
      </c>
      <c r="M552">
        <f t="shared" si="24"/>
        <v>2023</v>
      </c>
      <c r="N552" t="s">
        <v>43</v>
      </c>
    </row>
    <row r="553" spans="1:14" ht="14.55" customHeight="1" x14ac:dyDescent="0.3">
      <c r="A553" s="1">
        <v>44713</v>
      </c>
      <c r="B553" t="s">
        <v>18</v>
      </c>
      <c r="C553" t="s">
        <v>25</v>
      </c>
      <c r="D553" t="s">
        <v>39</v>
      </c>
      <c r="E553">
        <v>5</v>
      </c>
      <c r="F553">
        <v>971.15</v>
      </c>
      <c r="G553" t="s">
        <v>20</v>
      </c>
      <c r="H553">
        <v>1</v>
      </c>
      <c r="I553">
        <v>724.91</v>
      </c>
      <c r="J553">
        <v>246.24</v>
      </c>
      <c r="K553" t="str">
        <f t="shared" si="25"/>
        <v>June</v>
      </c>
      <c r="L553" t="str">
        <f t="shared" si="26"/>
        <v>Q2</v>
      </c>
      <c r="M553">
        <f t="shared" si="24"/>
        <v>2022</v>
      </c>
      <c r="N553" t="s">
        <v>47</v>
      </c>
    </row>
    <row r="554" spans="1:14" ht="14.55" customHeight="1" x14ac:dyDescent="0.3">
      <c r="A554" s="1">
        <v>44853</v>
      </c>
      <c r="B554" t="s">
        <v>31</v>
      </c>
      <c r="C554" t="s">
        <v>25</v>
      </c>
      <c r="D554" t="s">
        <v>39</v>
      </c>
      <c r="E554">
        <v>44</v>
      </c>
      <c r="F554">
        <v>21862.26</v>
      </c>
      <c r="G554" t="s">
        <v>12</v>
      </c>
      <c r="H554">
        <v>1</v>
      </c>
      <c r="I554">
        <v>585.84</v>
      </c>
      <c r="J554">
        <v>21276.42</v>
      </c>
      <c r="K554" t="str">
        <f t="shared" si="25"/>
        <v>October</v>
      </c>
      <c r="L554" t="str">
        <f t="shared" si="26"/>
        <v>Q4</v>
      </c>
      <c r="M554">
        <f t="shared" si="24"/>
        <v>2022</v>
      </c>
      <c r="N554" t="s">
        <v>43</v>
      </c>
    </row>
    <row r="555" spans="1:14" ht="14.55" customHeight="1" x14ac:dyDescent="0.3">
      <c r="A555" s="1">
        <v>44812</v>
      </c>
      <c r="B555" t="s">
        <v>18</v>
      </c>
      <c r="C555" t="s">
        <v>16</v>
      </c>
      <c r="D555" t="s">
        <v>27</v>
      </c>
      <c r="E555">
        <v>18</v>
      </c>
      <c r="F555">
        <v>2700.56</v>
      </c>
      <c r="G555" t="s">
        <v>20</v>
      </c>
      <c r="H555">
        <v>5</v>
      </c>
      <c r="I555">
        <v>1054.21</v>
      </c>
      <c r="J555">
        <v>1646.35</v>
      </c>
      <c r="K555" t="str">
        <f t="shared" si="25"/>
        <v>September</v>
      </c>
      <c r="L555" t="str">
        <f t="shared" si="26"/>
        <v>Q3</v>
      </c>
      <c r="M555">
        <f t="shared" si="24"/>
        <v>2022</v>
      </c>
      <c r="N555" t="s">
        <v>45</v>
      </c>
    </row>
    <row r="556" spans="1:14" ht="14.55" customHeight="1" x14ac:dyDescent="0.3">
      <c r="A556" s="1">
        <v>45179</v>
      </c>
      <c r="B556" t="s">
        <v>23</v>
      </c>
      <c r="C556" t="s">
        <v>25</v>
      </c>
      <c r="D556" t="s">
        <v>26</v>
      </c>
      <c r="E556">
        <v>22</v>
      </c>
      <c r="F556">
        <v>9881.43</v>
      </c>
      <c r="G556" t="s">
        <v>20</v>
      </c>
      <c r="H556">
        <v>3</v>
      </c>
      <c r="I556">
        <v>4616.08</v>
      </c>
      <c r="J556">
        <v>5265.35</v>
      </c>
      <c r="K556" t="str">
        <f t="shared" si="25"/>
        <v>September</v>
      </c>
      <c r="L556" t="str">
        <f t="shared" si="26"/>
        <v>Q3</v>
      </c>
      <c r="M556">
        <f t="shared" si="24"/>
        <v>2023</v>
      </c>
      <c r="N556" t="s">
        <v>44</v>
      </c>
    </row>
    <row r="557" spans="1:14" ht="14.55" customHeight="1" x14ac:dyDescent="0.3">
      <c r="A557" s="1">
        <v>44863</v>
      </c>
      <c r="B557" t="s">
        <v>15</v>
      </c>
      <c r="C557" t="s">
        <v>10</v>
      </c>
      <c r="D557" t="s">
        <v>11</v>
      </c>
      <c r="E557">
        <v>6</v>
      </c>
      <c r="F557">
        <v>1197.3499999999999</v>
      </c>
      <c r="G557" t="s">
        <v>20</v>
      </c>
      <c r="H557">
        <v>2</v>
      </c>
      <c r="I557">
        <v>1161.17</v>
      </c>
      <c r="J557">
        <v>36.18</v>
      </c>
      <c r="K557" t="str">
        <f t="shared" si="25"/>
        <v>October</v>
      </c>
      <c r="L557" t="str">
        <f t="shared" si="26"/>
        <v>Q4</v>
      </c>
      <c r="M557">
        <f t="shared" si="24"/>
        <v>2022</v>
      </c>
      <c r="N557" t="s">
        <v>44</v>
      </c>
    </row>
    <row r="558" spans="1:14" ht="14.55" customHeight="1" x14ac:dyDescent="0.3">
      <c r="A558" s="1">
        <v>44755</v>
      </c>
      <c r="B558" t="s">
        <v>31</v>
      </c>
      <c r="C558" t="s">
        <v>21</v>
      </c>
      <c r="D558" t="s">
        <v>22</v>
      </c>
      <c r="E558">
        <v>14</v>
      </c>
      <c r="F558">
        <v>3757.52</v>
      </c>
      <c r="G558" t="s">
        <v>20</v>
      </c>
      <c r="H558">
        <v>3</v>
      </c>
      <c r="I558">
        <v>3062.72</v>
      </c>
      <c r="J558">
        <v>694.8</v>
      </c>
      <c r="K558" t="str">
        <f t="shared" si="25"/>
        <v>July</v>
      </c>
      <c r="L558" t="str">
        <f t="shared" si="26"/>
        <v>Q3</v>
      </c>
      <c r="M558">
        <f t="shared" si="24"/>
        <v>2022</v>
      </c>
      <c r="N558" t="s">
        <v>47</v>
      </c>
    </row>
    <row r="559" spans="1:14" ht="14.55" customHeight="1" x14ac:dyDescent="0.3">
      <c r="A559" s="1">
        <v>45102</v>
      </c>
      <c r="B559" t="s">
        <v>9</v>
      </c>
      <c r="C559" t="s">
        <v>16</v>
      </c>
      <c r="D559" t="s">
        <v>37</v>
      </c>
      <c r="E559">
        <v>9</v>
      </c>
      <c r="F559">
        <v>2298.7399999999998</v>
      </c>
      <c r="G559" t="s">
        <v>12</v>
      </c>
      <c r="H559">
        <v>4</v>
      </c>
      <c r="I559">
        <v>1839.67</v>
      </c>
      <c r="J559">
        <v>459.07</v>
      </c>
      <c r="K559" t="str">
        <f t="shared" si="25"/>
        <v>June</v>
      </c>
      <c r="L559" t="str">
        <f t="shared" si="26"/>
        <v>Q2</v>
      </c>
      <c r="M559">
        <f t="shared" si="24"/>
        <v>2023</v>
      </c>
      <c r="N559" t="s">
        <v>43</v>
      </c>
    </row>
    <row r="560" spans="1:14" ht="14.55" customHeight="1" x14ac:dyDescent="0.3">
      <c r="A560" s="1">
        <v>44705</v>
      </c>
      <c r="B560" t="s">
        <v>18</v>
      </c>
      <c r="C560" t="s">
        <v>13</v>
      </c>
      <c r="D560" t="s">
        <v>29</v>
      </c>
      <c r="E560">
        <v>3</v>
      </c>
      <c r="F560">
        <v>330.77</v>
      </c>
      <c r="G560" t="s">
        <v>12</v>
      </c>
      <c r="H560">
        <v>5</v>
      </c>
      <c r="I560">
        <v>673.43</v>
      </c>
      <c r="J560">
        <v>-342.66</v>
      </c>
      <c r="K560" t="str">
        <f t="shared" si="25"/>
        <v>May</v>
      </c>
      <c r="L560" t="str">
        <f t="shared" si="26"/>
        <v>Q2</v>
      </c>
      <c r="M560">
        <f t="shared" si="24"/>
        <v>2022</v>
      </c>
      <c r="N560" t="s">
        <v>44</v>
      </c>
    </row>
    <row r="561" spans="1:14" ht="14.55" customHeight="1" x14ac:dyDescent="0.3">
      <c r="A561" s="1">
        <v>44568</v>
      </c>
      <c r="B561" t="s">
        <v>9</v>
      </c>
      <c r="C561" t="s">
        <v>16</v>
      </c>
      <c r="D561" t="s">
        <v>17</v>
      </c>
      <c r="E561">
        <v>27</v>
      </c>
      <c r="F561">
        <v>4050.84</v>
      </c>
      <c r="G561" t="s">
        <v>12</v>
      </c>
      <c r="H561">
        <v>1</v>
      </c>
      <c r="I561">
        <v>5158.87</v>
      </c>
      <c r="J561">
        <v>-1108.03</v>
      </c>
      <c r="K561" t="str">
        <f t="shared" si="25"/>
        <v>January</v>
      </c>
      <c r="L561" t="str">
        <f t="shared" si="26"/>
        <v>Q1</v>
      </c>
      <c r="M561">
        <f t="shared" si="24"/>
        <v>2022</v>
      </c>
      <c r="N561" t="s">
        <v>47</v>
      </c>
    </row>
    <row r="562" spans="1:14" ht="14.55" customHeight="1" x14ac:dyDescent="0.3">
      <c r="A562" s="1">
        <v>44614</v>
      </c>
      <c r="B562" t="s">
        <v>31</v>
      </c>
      <c r="C562" t="s">
        <v>21</v>
      </c>
      <c r="D562" t="s">
        <v>32</v>
      </c>
      <c r="E562">
        <v>37</v>
      </c>
      <c r="F562">
        <v>11784.37</v>
      </c>
      <c r="G562" t="s">
        <v>12</v>
      </c>
      <c r="H562">
        <v>4</v>
      </c>
      <c r="I562">
        <v>7448.69</v>
      </c>
      <c r="J562">
        <v>4335.68</v>
      </c>
      <c r="K562" t="str">
        <f t="shared" si="25"/>
        <v>February</v>
      </c>
      <c r="L562" t="str">
        <f t="shared" si="26"/>
        <v>Q1</v>
      </c>
      <c r="M562">
        <f t="shared" si="24"/>
        <v>2022</v>
      </c>
      <c r="N562" t="s">
        <v>44</v>
      </c>
    </row>
    <row r="563" spans="1:14" ht="14.55" customHeight="1" x14ac:dyDescent="0.3">
      <c r="A563" s="1">
        <v>45072</v>
      </c>
      <c r="B563" t="s">
        <v>9</v>
      </c>
      <c r="C563" t="s">
        <v>21</v>
      </c>
      <c r="D563" t="s">
        <v>22</v>
      </c>
      <c r="E563">
        <v>50</v>
      </c>
      <c r="F563">
        <v>22208.65</v>
      </c>
      <c r="G563" t="s">
        <v>12</v>
      </c>
      <c r="H563">
        <v>4</v>
      </c>
      <c r="I563">
        <v>2235.31</v>
      </c>
      <c r="J563">
        <v>19973.34</v>
      </c>
      <c r="K563" t="str">
        <f t="shared" si="25"/>
        <v>May</v>
      </c>
      <c r="L563" t="str">
        <f t="shared" si="26"/>
        <v>Q2</v>
      </c>
      <c r="M563">
        <f t="shared" si="24"/>
        <v>2023</v>
      </c>
      <c r="N563" t="s">
        <v>44</v>
      </c>
    </row>
    <row r="564" spans="1:14" ht="14.55" customHeight="1" x14ac:dyDescent="0.3">
      <c r="A564" s="1">
        <v>44750</v>
      </c>
      <c r="B564" t="s">
        <v>18</v>
      </c>
      <c r="C564" t="s">
        <v>25</v>
      </c>
      <c r="D564" t="s">
        <v>39</v>
      </c>
      <c r="E564">
        <v>16</v>
      </c>
      <c r="F564">
        <v>7823.09</v>
      </c>
      <c r="G564" t="s">
        <v>20</v>
      </c>
      <c r="H564">
        <v>5</v>
      </c>
      <c r="I564">
        <v>1841.1</v>
      </c>
      <c r="J564">
        <v>5981.99</v>
      </c>
      <c r="K564" t="str">
        <f t="shared" si="25"/>
        <v>July</v>
      </c>
      <c r="L564" t="str">
        <f t="shared" si="26"/>
        <v>Q3</v>
      </c>
      <c r="M564">
        <f t="shared" si="24"/>
        <v>2022</v>
      </c>
      <c r="N564" t="s">
        <v>44</v>
      </c>
    </row>
    <row r="565" spans="1:14" ht="14.55" customHeight="1" x14ac:dyDescent="0.3">
      <c r="A565" s="1">
        <v>45272</v>
      </c>
      <c r="B565" t="s">
        <v>31</v>
      </c>
      <c r="C565" t="s">
        <v>10</v>
      </c>
      <c r="D565" t="s">
        <v>28</v>
      </c>
      <c r="E565">
        <v>21</v>
      </c>
      <c r="F565">
        <v>4917.9399999999996</v>
      </c>
      <c r="G565" t="s">
        <v>12</v>
      </c>
      <c r="H565">
        <v>2</v>
      </c>
      <c r="I565">
        <v>997.68</v>
      </c>
      <c r="J565">
        <v>3920.26</v>
      </c>
      <c r="K565" t="str">
        <f t="shared" si="25"/>
        <v>December</v>
      </c>
      <c r="L565" t="str">
        <f t="shared" si="26"/>
        <v>Q4</v>
      </c>
      <c r="M565">
        <f t="shared" si="24"/>
        <v>2023</v>
      </c>
      <c r="N565" t="s">
        <v>43</v>
      </c>
    </row>
    <row r="566" spans="1:14" ht="14.55" customHeight="1" x14ac:dyDescent="0.3">
      <c r="A566" s="1">
        <v>44979</v>
      </c>
      <c r="B566" t="s">
        <v>15</v>
      </c>
      <c r="C566" t="s">
        <v>10</v>
      </c>
      <c r="D566" t="s">
        <v>11</v>
      </c>
      <c r="E566">
        <v>6</v>
      </c>
      <c r="F566">
        <v>2941.29</v>
      </c>
      <c r="G566" t="s">
        <v>12</v>
      </c>
      <c r="H566">
        <v>4</v>
      </c>
      <c r="I566">
        <v>228.99</v>
      </c>
      <c r="J566">
        <v>2712.3</v>
      </c>
      <c r="K566" t="str">
        <f t="shared" si="25"/>
        <v>February</v>
      </c>
      <c r="L566" t="str">
        <f t="shared" si="26"/>
        <v>Q1</v>
      </c>
      <c r="M566">
        <f t="shared" si="24"/>
        <v>2023</v>
      </c>
      <c r="N566" t="s">
        <v>43</v>
      </c>
    </row>
    <row r="567" spans="1:14" ht="14.55" customHeight="1" x14ac:dyDescent="0.3">
      <c r="A567" s="1">
        <v>44860</v>
      </c>
      <c r="B567" t="s">
        <v>23</v>
      </c>
      <c r="C567" t="s">
        <v>16</v>
      </c>
      <c r="D567" t="s">
        <v>27</v>
      </c>
      <c r="E567">
        <v>42</v>
      </c>
      <c r="F567">
        <v>20284.099999999999</v>
      </c>
      <c r="G567" t="s">
        <v>12</v>
      </c>
      <c r="H567">
        <v>5</v>
      </c>
      <c r="I567">
        <v>1043.05</v>
      </c>
      <c r="J567">
        <v>19241.05</v>
      </c>
      <c r="K567" t="str">
        <f t="shared" si="25"/>
        <v>October</v>
      </c>
      <c r="L567" t="str">
        <f t="shared" si="26"/>
        <v>Q4</v>
      </c>
      <c r="M567">
        <f t="shared" si="24"/>
        <v>2022</v>
      </c>
      <c r="N567" t="s">
        <v>45</v>
      </c>
    </row>
    <row r="568" spans="1:14" ht="14.55" customHeight="1" x14ac:dyDescent="0.3">
      <c r="A568" s="1">
        <v>45122</v>
      </c>
      <c r="B568" t="s">
        <v>9</v>
      </c>
      <c r="C568" t="s">
        <v>25</v>
      </c>
      <c r="D568" t="s">
        <v>30</v>
      </c>
      <c r="E568">
        <v>19</v>
      </c>
      <c r="F568">
        <v>849.73</v>
      </c>
      <c r="G568" t="s">
        <v>12</v>
      </c>
      <c r="H568">
        <v>3</v>
      </c>
      <c r="I568">
        <v>3724.59</v>
      </c>
      <c r="J568">
        <v>-2874.86</v>
      </c>
      <c r="K568" t="str">
        <f t="shared" si="25"/>
        <v>July</v>
      </c>
      <c r="L568" t="str">
        <f t="shared" si="26"/>
        <v>Q3</v>
      </c>
      <c r="M568">
        <f t="shared" si="24"/>
        <v>2023</v>
      </c>
      <c r="N568" t="s">
        <v>43</v>
      </c>
    </row>
    <row r="569" spans="1:14" ht="14.55" customHeight="1" x14ac:dyDescent="0.3">
      <c r="A569" s="1">
        <v>44740</v>
      </c>
      <c r="B569" t="s">
        <v>15</v>
      </c>
      <c r="C569" t="s">
        <v>13</v>
      </c>
      <c r="D569" t="s">
        <v>40</v>
      </c>
      <c r="E569">
        <v>8</v>
      </c>
      <c r="F569">
        <v>2037.82</v>
      </c>
      <c r="G569" t="s">
        <v>12</v>
      </c>
      <c r="H569">
        <v>5</v>
      </c>
      <c r="I569">
        <v>1048.6300000000001</v>
      </c>
      <c r="J569">
        <v>989.19</v>
      </c>
      <c r="K569" t="str">
        <f t="shared" si="25"/>
        <v>June</v>
      </c>
      <c r="L569" t="str">
        <f t="shared" si="26"/>
        <v>Q2</v>
      </c>
      <c r="M569">
        <f t="shared" si="24"/>
        <v>2022</v>
      </c>
      <c r="N569" t="s">
        <v>43</v>
      </c>
    </row>
    <row r="570" spans="1:14" ht="14.55" customHeight="1" x14ac:dyDescent="0.3">
      <c r="A570" s="1">
        <v>44882</v>
      </c>
      <c r="B570" t="s">
        <v>31</v>
      </c>
      <c r="C570" t="s">
        <v>25</v>
      </c>
      <c r="D570" t="s">
        <v>38</v>
      </c>
      <c r="E570">
        <v>9</v>
      </c>
      <c r="F570">
        <v>3121.03</v>
      </c>
      <c r="G570" t="s">
        <v>20</v>
      </c>
      <c r="H570">
        <v>3</v>
      </c>
      <c r="I570">
        <v>805.45</v>
      </c>
      <c r="J570">
        <v>2315.58</v>
      </c>
      <c r="K570" t="str">
        <f t="shared" si="25"/>
        <v>November</v>
      </c>
      <c r="L570" t="str">
        <f t="shared" si="26"/>
        <v>Q4</v>
      </c>
      <c r="M570">
        <f t="shared" si="24"/>
        <v>2022</v>
      </c>
      <c r="N570" t="s">
        <v>44</v>
      </c>
    </row>
    <row r="571" spans="1:14" ht="14.55" customHeight="1" x14ac:dyDescent="0.3">
      <c r="A571" s="1">
        <v>45054</v>
      </c>
      <c r="B571" t="s">
        <v>23</v>
      </c>
      <c r="C571" t="s">
        <v>13</v>
      </c>
      <c r="D571" t="s">
        <v>40</v>
      </c>
      <c r="E571">
        <v>5</v>
      </c>
      <c r="F571">
        <v>1664.36</v>
      </c>
      <c r="G571" t="s">
        <v>12</v>
      </c>
      <c r="H571">
        <v>5</v>
      </c>
      <c r="I571">
        <v>799.22</v>
      </c>
      <c r="J571">
        <v>865.14</v>
      </c>
      <c r="K571" t="str">
        <f t="shared" si="25"/>
        <v>May</v>
      </c>
      <c r="L571" t="str">
        <f t="shared" si="26"/>
        <v>Q2</v>
      </c>
      <c r="M571">
        <f t="shared" si="24"/>
        <v>2023</v>
      </c>
      <c r="N571" t="s">
        <v>45</v>
      </c>
    </row>
    <row r="572" spans="1:14" ht="14.55" customHeight="1" x14ac:dyDescent="0.3">
      <c r="A572" s="1">
        <v>45139</v>
      </c>
      <c r="B572" t="s">
        <v>15</v>
      </c>
      <c r="C572" t="s">
        <v>21</v>
      </c>
      <c r="D572" t="s">
        <v>32</v>
      </c>
      <c r="E572">
        <v>31</v>
      </c>
      <c r="F572">
        <v>5694.37</v>
      </c>
      <c r="G572" t="s">
        <v>12</v>
      </c>
      <c r="H572">
        <v>2</v>
      </c>
      <c r="I572">
        <v>6482.92</v>
      </c>
      <c r="J572">
        <v>-788.55</v>
      </c>
      <c r="K572" t="str">
        <f t="shared" si="25"/>
        <v>August</v>
      </c>
      <c r="L572" t="str">
        <f t="shared" si="26"/>
        <v>Q3</v>
      </c>
      <c r="M572">
        <f t="shared" si="24"/>
        <v>2023</v>
      </c>
      <c r="N572" t="s">
        <v>44</v>
      </c>
    </row>
    <row r="573" spans="1:14" ht="14.55" customHeight="1" x14ac:dyDescent="0.3">
      <c r="A573" s="1">
        <v>44875</v>
      </c>
      <c r="B573" t="s">
        <v>31</v>
      </c>
      <c r="C573" t="s">
        <v>10</v>
      </c>
      <c r="D573" t="s">
        <v>11</v>
      </c>
      <c r="E573">
        <v>8</v>
      </c>
      <c r="F573">
        <v>930.38</v>
      </c>
      <c r="G573" t="s">
        <v>12</v>
      </c>
      <c r="H573">
        <v>2</v>
      </c>
      <c r="I573">
        <v>1324.41</v>
      </c>
      <c r="J573">
        <v>-394.03</v>
      </c>
      <c r="K573" t="str">
        <f t="shared" si="25"/>
        <v>November</v>
      </c>
      <c r="L573" t="str">
        <f t="shared" si="26"/>
        <v>Q4</v>
      </c>
      <c r="M573">
        <f t="shared" si="24"/>
        <v>2022</v>
      </c>
      <c r="N573" t="s">
        <v>46</v>
      </c>
    </row>
    <row r="574" spans="1:14" ht="14.55" customHeight="1" x14ac:dyDescent="0.3">
      <c r="A574" s="1">
        <v>45009</v>
      </c>
      <c r="B574" t="s">
        <v>15</v>
      </c>
      <c r="C574" t="s">
        <v>10</v>
      </c>
      <c r="D574" t="s">
        <v>28</v>
      </c>
      <c r="E574">
        <v>33</v>
      </c>
      <c r="F574">
        <v>4160.54</v>
      </c>
      <c r="G574" t="s">
        <v>12</v>
      </c>
      <c r="H574">
        <v>3</v>
      </c>
      <c r="I574">
        <v>788.61</v>
      </c>
      <c r="J574">
        <v>3371.93</v>
      </c>
      <c r="K574" t="str">
        <f t="shared" si="25"/>
        <v>March</v>
      </c>
      <c r="L574" t="str">
        <f t="shared" si="26"/>
        <v>Q1</v>
      </c>
      <c r="M574">
        <f t="shared" si="24"/>
        <v>2023</v>
      </c>
      <c r="N574" t="s">
        <v>46</v>
      </c>
    </row>
    <row r="575" spans="1:14" ht="14.55" customHeight="1" x14ac:dyDescent="0.3">
      <c r="A575" s="1">
        <v>44652</v>
      </c>
      <c r="B575" t="s">
        <v>23</v>
      </c>
      <c r="C575" t="s">
        <v>21</v>
      </c>
      <c r="D575" t="s">
        <v>22</v>
      </c>
      <c r="E575">
        <v>11</v>
      </c>
      <c r="F575">
        <v>5093.3100000000004</v>
      </c>
      <c r="G575" t="s">
        <v>12</v>
      </c>
      <c r="H575">
        <v>4</v>
      </c>
      <c r="I575">
        <v>321.51</v>
      </c>
      <c r="J575">
        <v>4771.8</v>
      </c>
      <c r="K575" t="str">
        <f t="shared" si="25"/>
        <v>April</v>
      </c>
      <c r="L575" t="str">
        <f t="shared" si="26"/>
        <v>Q2</v>
      </c>
      <c r="M575">
        <f t="shared" si="24"/>
        <v>2022</v>
      </c>
      <c r="N575" t="s">
        <v>46</v>
      </c>
    </row>
    <row r="576" spans="1:14" ht="14.55" customHeight="1" x14ac:dyDescent="0.3">
      <c r="A576" s="1">
        <v>45276</v>
      </c>
      <c r="B576" t="s">
        <v>18</v>
      </c>
      <c r="C576" t="s">
        <v>10</v>
      </c>
      <c r="D576" t="s">
        <v>35</v>
      </c>
      <c r="E576">
        <v>44</v>
      </c>
      <c r="F576">
        <v>18112.36</v>
      </c>
      <c r="G576" t="s">
        <v>20</v>
      </c>
      <c r="H576">
        <v>3</v>
      </c>
      <c r="I576">
        <v>3283.42</v>
      </c>
      <c r="J576">
        <v>14828.94</v>
      </c>
      <c r="K576" t="str">
        <f t="shared" si="25"/>
        <v>December</v>
      </c>
      <c r="L576" t="str">
        <f t="shared" si="26"/>
        <v>Q4</v>
      </c>
      <c r="M576">
        <f t="shared" si="24"/>
        <v>2023</v>
      </c>
      <c r="N576" t="s">
        <v>44</v>
      </c>
    </row>
    <row r="577" spans="1:14" ht="14.55" customHeight="1" x14ac:dyDescent="0.3">
      <c r="A577" s="1">
        <v>45117</v>
      </c>
      <c r="B577" t="s">
        <v>15</v>
      </c>
      <c r="C577" t="s">
        <v>25</v>
      </c>
      <c r="D577" t="s">
        <v>38</v>
      </c>
      <c r="E577">
        <v>3</v>
      </c>
      <c r="F577">
        <v>971.88</v>
      </c>
      <c r="G577" t="s">
        <v>12</v>
      </c>
      <c r="H577">
        <v>2</v>
      </c>
      <c r="I577">
        <v>75.31</v>
      </c>
      <c r="J577">
        <v>896.57</v>
      </c>
      <c r="K577" t="str">
        <f t="shared" si="25"/>
        <v>July</v>
      </c>
      <c r="L577" t="str">
        <f t="shared" si="26"/>
        <v>Q3</v>
      </c>
      <c r="M577">
        <f t="shared" si="24"/>
        <v>2023</v>
      </c>
      <c r="N577" t="s">
        <v>44</v>
      </c>
    </row>
    <row r="578" spans="1:14" ht="14.55" customHeight="1" x14ac:dyDescent="0.3">
      <c r="A578" s="1">
        <v>45259</v>
      </c>
      <c r="B578" t="s">
        <v>15</v>
      </c>
      <c r="C578" t="s">
        <v>25</v>
      </c>
      <c r="D578" t="s">
        <v>30</v>
      </c>
      <c r="E578">
        <v>27</v>
      </c>
      <c r="F578">
        <v>5562.07</v>
      </c>
      <c r="G578" t="s">
        <v>12</v>
      </c>
      <c r="H578">
        <v>2</v>
      </c>
      <c r="I578">
        <v>6236.09</v>
      </c>
      <c r="J578">
        <v>-674.02</v>
      </c>
      <c r="K578" t="str">
        <f t="shared" si="25"/>
        <v>November</v>
      </c>
      <c r="L578" t="str">
        <f t="shared" si="26"/>
        <v>Q4</v>
      </c>
      <c r="M578">
        <f t="shared" ref="M578:M641" si="27">YEAR(A578)</f>
        <v>2023</v>
      </c>
      <c r="N578" t="s">
        <v>46</v>
      </c>
    </row>
    <row r="579" spans="1:14" ht="14.55" customHeight="1" x14ac:dyDescent="0.3">
      <c r="A579" s="1">
        <v>44963</v>
      </c>
      <c r="B579" t="s">
        <v>31</v>
      </c>
      <c r="C579" t="s">
        <v>21</v>
      </c>
      <c r="D579" t="s">
        <v>33</v>
      </c>
      <c r="E579">
        <v>18</v>
      </c>
      <c r="F579">
        <v>5972.55</v>
      </c>
      <c r="G579" t="s">
        <v>12</v>
      </c>
      <c r="H579">
        <v>2</v>
      </c>
      <c r="I579">
        <v>1488.77</v>
      </c>
      <c r="J579">
        <v>4483.78</v>
      </c>
      <c r="K579" t="str">
        <f t="shared" ref="K579:K642" si="28">TEXT(A579,"mmmm")</f>
        <v>February</v>
      </c>
      <c r="L579" t="str">
        <f t="shared" ref="L579:L642" si="29">"Q"&amp;INT((MONTH(A579)-1)/3)+1</f>
        <v>Q1</v>
      </c>
      <c r="M579">
        <f t="shared" si="27"/>
        <v>2023</v>
      </c>
      <c r="N579" t="s">
        <v>44</v>
      </c>
    </row>
    <row r="580" spans="1:14" ht="14.55" customHeight="1" x14ac:dyDescent="0.3">
      <c r="A580" s="1">
        <v>44785</v>
      </c>
      <c r="B580" t="s">
        <v>9</v>
      </c>
      <c r="C580" t="s">
        <v>13</v>
      </c>
      <c r="D580" t="s">
        <v>40</v>
      </c>
      <c r="E580">
        <v>48</v>
      </c>
      <c r="F580">
        <v>11662.84</v>
      </c>
      <c r="G580" t="s">
        <v>20</v>
      </c>
      <c r="H580">
        <v>5</v>
      </c>
      <c r="I580">
        <v>4307.4799999999996</v>
      </c>
      <c r="J580">
        <v>7355.36</v>
      </c>
      <c r="K580" t="str">
        <f t="shared" si="28"/>
        <v>August</v>
      </c>
      <c r="L580" t="str">
        <f t="shared" si="29"/>
        <v>Q3</v>
      </c>
      <c r="M580">
        <f t="shared" si="27"/>
        <v>2022</v>
      </c>
      <c r="N580" t="s">
        <v>43</v>
      </c>
    </row>
    <row r="581" spans="1:14" ht="14.55" customHeight="1" x14ac:dyDescent="0.3">
      <c r="A581" s="1">
        <v>44755</v>
      </c>
      <c r="B581" t="s">
        <v>31</v>
      </c>
      <c r="C581" t="s">
        <v>16</v>
      </c>
      <c r="D581" t="s">
        <v>24</v>
      </c>
      <c r="E581">
        <v>40</v>
      </c>
      <c r="F581">
        <v>11796.11</v>
      </c>
      <c r="G581" t="s">
        <v>12</v>
      </c>
      <c r="H581">
        <v>5</v>
      </c>
      <c r="I581">
        <v>551.89</v>
      </c>
      <c r="J581">
        <v>11244.22</v>
      </c>
      <c r="K581" t="str">
        <f t="shared" si="28"/>
        <v>July</v>
      </c>
      <c r="L581" t="str">
        <f t="shared" si="29"/>
        <v>Q3</v>
      </c>
      <c r="M581">
        <f t="shared" si="27"/>
        <v>2022</v>
      </c>
      <c r="N581" t="s">
        <v>44</v>
      </c>
    </row>
    <row r="582" spans="1:14" ht="14.55" customHeight="1" x14ac:dyDescent="0.3">
      <c r="A582" s="1">
        <v>45039</v>
      </c>
      <c r="B582" t="s">
        <v>15</v>
      </c>
      <c r="C582" t="s">
        <v>25</v>
      </c>
      <c r="D582" t="s">
        <v>30</v>
      </c>
      <c r="E582">
        <v>26</v>
      </c>
      <c r="F582">
        <v>3443.25</v>
      </c>
      <c r="G582" t="s">
        <v>20</v>
      </c>
      <c r="H582">
        <v>5</v>
      </c>
      <c r="I582">
        <v>874.16</v>
      </c>
      <c r="J582">
        <v>2569.09</v>
      </c>
      <c r="K582" t="str">
        <f t="shared" si="28"/>
        <v>April</v>
      </c>
      <c r="L582" t="str">
        <f t="shared" si="29"/>
        <v>Q2</v>
      </c>
      <c r="M582">
        <f t="shared" si="27"/>
        <v>2023</v>
      </c>
      <c r="N582" t="s">
        <v>43</v>
      </c>
    </row>
    <row r="583" spans="1:14" ht="14.55" customHeight="1" x14ac:dyDescent="0.3">
      <c r="A583" s="1">
        <v>44866</v>
      </c>
      <c r="B583" t="s">
        <v>9</v>
      </c>
      <c r="C583" t="s">
        <v>10</v>
      </c>
      <c r="D583" t="s">
        <v>28</v>
      </c>
      <c r="E583">
        <v>15</v>
      </c>
      <c r="F583">
        <v>4165.67</v>
      </c>
      <c r="G583" t="s">
        <v>20</v>
      </c>
      <c r="H583">
        <v>4</v>
      </c>
      <c r="I583">
        <v>1497.88</v>
      </c>
      <c r="J583">
        <v>2667.79</v>
      </c>
      <c r="K583" t="str">
        <f t="shared" si="28"/>
        <v>November</v>
      </c>
      <c r="L583" t="str">
        <f t="shared" si="29"/>
        <v>Q4</v>
      </c>
      <c r="M583">
        <f t="shared" si="27"/>
        <v>2022</v>
      </c>
      <c r="N583" t="s">
        <v>43</v>
      </c>
    </row>
    <row r="584" spans="1:14" ht="14.55" customHeight="1" x14ac:dyDescent="0.3">
      <c r="A584" s="1">
        <v>44636</v>
      </c>
      <c r="B584" t="s">
        <v>23</v>
      </c>
      <c r="C584" t="s">
        <v>21</v>
      </c>
      <c r="D584" t="s">
        <v>36</v>
      </c>
      <c r="E584">
        <v>24</v>
      </c>
      <c r="F584">
        <v>10085.26</v>
      </c>
      <c r="G584" t="s">
        <v>12</v>
      </c>
      <c r="H584">
        <v>3</v>
      </c>
      <c r="I584">
        <v>2719.09</v>
      </c>
      <c r="J584">
        <v>7366.17</v>
      </c>
      <c r="K584" t="str">
        <f t="shared" si="28"/>
        <v>March</v>
      </c>
      <c r="L584" t="str">
        <f t="shared" si="29"/>
        <v>Q1</v>
      </c>
      <c r="M584">
        <f t="shared" si="27"/>
        <v>2022</v>
      </c>
      <c r="N584" t="s">
        <v>43</v>
      </c>
    </row>
    <row r="585" spans="1:14" ht="14.55" customHeight="1" x14ac:dyDescent="0.3">
      <c r="A585" s="1">
        <v>45036</v>
      </c>
      <c r="B585" t="s">
        <v>9</v>
      </c>
      <c r="C585" t="s">
        <v>16</v>
      </c>
      <c r="D585" t="s">
        <v>27</v>
      </c>
      <c r="E585">
        <v>29</v>
      </c>
      <c r="F585">
        <v>1873.73</v>
      </c>
      <c r="G585" t="s">
        <v>20</v>
      </c>
      <c r="H585">
        <v>3</v>
      </c>
      <c r="I585">
        <v>2370.1</v>
      </c>
      <c r="J585">
        <v>-496.37</v>
      </c>
      <c r="K585" t="str">
        <f t="shared" si="28"/>
        <v>April</v>
      </c>
      <c r="L585" t="str">
        <f t="shared" si="29"/>
        <v>Q2</v>
      </c>
      <c r="M585">
        <f t="shared" si="27"/>
        <v>2023</v>
      </c>
      <c r="N585" t="s">
        <v>43</v>
      </c>
    </row>
    <row r="586" spans="1:14" ht="14.55" customHeight="1" x14ac:dyDescent="0.3">
      <c r="A586" s="1">
        <v>44676</v>
      </c>
      <c r="B586" t="s">
        <v>18</v>
      </c>
      <c r="C586" t="s">
        <v>13</v>
      </c>
      <c r="D586" t="s">
        <v>19</v>
      </c>
      <c r="E586">
        <v>44</v>
      </c>
      <c r="F586">
        <v>1538.52</v>
      </c>
      <c r="G586" t="s">
        <v>20</v>
      </c>
      <c r="H586">
        <v>1</v>
      </c>
      <c r="I586">
        <v>3035.13</v>
      </c>
      <c r="J586">
        <v>-1496.61</v>
      </c>
      <c r="K586" t="str">
        <f t="shared" si="28"/>
        <v>April</v>
      </c>
      <c r="L586" t="str">
        <f t="shared" si="29"/>
        <v>Q2</v>
      </c>
      <c r="M586">
        <f t="shared" si="27"/>
        <v>2022</v>
      </c>
      <c r="N586" t="s">
        <v>44</v>
      </c>
    </row>
    <row r="587" spans="1:14" ht="14.55" customHeight="1" x14ac:dyDescent="0.3">
      <c r="A587" s="1">
        <v>45243</v>
      </c>
      <c r="B587" t="s">
        <v>9</v>
      </c>
      <c r="C587" t="s">
        <v>21</v>
      </c>
      <c r="D587" t="s">
        <v>32</v>
      </c>
      <c r="E587">
        <v>19</v>
      </c>
      <c r="F587">
        <v>232.48</v>
      </c>
      <c r="G587" t="s">
        <v>12</v>
      </c>
      <c r="H587">
        <v>4</v>
      </c>
      <c r="I587">
        <v>3749.57</v>
      </c>
      <c r="J587">
        <v>-3517.09</v>
      </c>
      <c r="K587" t="str">
        <f t="shared" si="28"/>
        <v>November</v>
      </c>
      <c r="L587" t="str">
        <f t="shared" si="29"/>
        <v>Q4</v>
      </c>
      <c r="M587">
        <f t="shared" si="27"/>
        <v>2023</v>
      </c>
      <c r="N587" t="s">
        <v>43</v>
      </c>
    </row>
    <row r="588" spans="1:14" ht="14.55" customHeight="1" x14ac:dyDescent="0.3">
      <c r="A588" s="1">
        <v>44731</v>
      </c>
      <c r="B588" t="s">
        <v>23</v>
      </c>
      <c r="C588" t="s">
        <v>16</v>
      </c>
      <c r="D588" t="s">
        <v>17</v>
      </c>
      <c r="E588">
        <v>3</v>
      </c>
      <c r="F588">
        <v>230.84</v>
      </c>
      <c r="G588" t="s">
        <v>12</v>
      </c>
      <c r="H588">
        <v>3</v>
      </c>
      <c r="I588">
        <v>318.62</v>
      </c>
      <c r="J588">
        <v>-87.78</v>
      </c>
      <c r="K588" t="str">
        <f t="shared" si="28"/>
        <v>June</v>
      </c>
      <c r="L588" t="str">
        <f t="shared" si="29"/>
        <v>Q2</v>
      </c>
      <c r="M588">
        <f t="shared" si="27"/>
        <v>2022</v>
      </c>
      <c r="N588" t="s">
        <v>43</v>
      </c>
    </row>
    <row r="589" spans="1:14" ht="14.55" customHeight="1" x14ac:dyDescent="0.3">
      <c r="A589" s="1">
        <v>44632</v>
      </c>
      <c r="B589" t="s">
        <v>9</v>
      </c>
      <c r="C589" t="s">
        <v>16</v>
      </c>
      <c r="D589" t="s">
        <v>37</v>
      </c>
      <c r="E589">
        <v>22</v>
      </c>
      <c r="F589">
        <v>5054.42</v>
      </c>
      <c r="G589" t="s">
        <v>20</v>
      </c>
      <c r="H589">
        <v>5</v>
      </c>
      <c r="I589">
        <v>1672.84</v>
      </c>
      <c r="J589">
        <v>3381.58</v>
      </c>
      <c r="K589" t="str">
        <f t="shared" si="28"/>
        <v>March</v>
      </c>
      <c r="L589" t="str">
        <f t="shared" si="29"/>
        <v>Q1</v>
      </c>
      <c r="M589">
        <f t="shared" si="27"/>
        <v>2022</v>
      </c>
      <c r="N589" t="s">
        <v>43</v>
      </c>
    </row>
    <row r="590" spans="1:14" ht="14.55" customHeight="1" x14ac:dyDescent="0.3">
      <c r="A590" s="1">
        <v>44608</v>
      </c>
      <c r="B590" t="s">
        <v>23</v>
      </c>
      <c r="C590" t="s">
        <v>13</v>
      </c>
      <c r="D590" t="s">
        <v>14</v>
      </c>
      <c r="E590">
        <v>12</v>
      </c>
      <c r="F590">
        <v>4662.7700000000004</v>
      </c>
      <c r="G590" t="s">
        <v>12</v>
      </c>
      <c r="H590">
        <v>2</v>
      </c>
      <c r="I590">
        <v>2744.4</v>
      </c>
      <c r="J590">
        <v>1918.37</v>
      </c>
      <c r="K590" t="str">
        <f t="shared" si="28"/>
        <v>February</v>
      </c>
      <c r="L590" t="str">
        <f t="shared" si="29"/>
        <v>Q1</v>
      </c>
      <c r="M590">
        <f t="shared" si="27"/>
        <v>2022</v>
      </c>
      <c r="N590" t="s">
        <v>44</v>
      </c>
    </row>
    <row r="591" spans="1:14" ht="14.55" customHeight="1" x14ac:dyDescent="0.3">
      <c r="A591" s="1">
        <v>44671</v>
      </c>
      <c r="B591" t="s">
        <v>23</v>
      </c>
      <c r="C591" t="s">
        <v>10</v>
      </c>
      <c r="D591" t="s">
        <v>11</v>
      </c>
      <c r="E591">
        <v>24</v>
      </c>
      <c r="F591">
        <v>624.41</v>
      </c>
      <c r="G591" t="s">
        <v>20</v>
      </c>
      <c r="H591">
        <v>4</v>
      </c>
      <c r="I591">
        <v>2733.08</v>
      </c>
      <c r="J591">
        <v>-2108.67</v>
      </c>
      <c r="K591" t="str">
        <f t="shared" si="28"/>
        <v>April</v>
      </c>
      <c r="L591" t="str">
        <f t="shared" si="29"/>
        <v>Q2</v>
      </c>
      <c r="M591">
        <f t="shared" si="27"/>
        <v>2022</v>
      </c>
      <c r="N591" t="s">
        <v>44</v>
      </c>
    </row>
    <row r="592" spans="1:14" ht="14.55" customHeight="1" x14ac:dyDescent="0.3">
      <c r="A592" s="1">
        <v>44723</v>
      </c>
      <c r="B592" t="s">
        <v>31</v>
      </c>
      <c r="C592" t="s">
        <v>10</v>
      </c>
      <c r="D592" t="s">
        <v>35</v>
      </c>
      <c r="E592">
        <v>45</v>
      </c>
      <c r="F592">
        <v>14749.72</v>
      </c>
      <c r="G592" t="s">
        <v>12</v>
      </c>
      <c r="H592">
        <v>2</v>
      </c>
      <c r="I592">
        <v>6947.97</v>
      </c>
      <c r="J592">
        <v>7801.75</v>
      </c>
      <c r="K592" t="str">
        <f t="shared" si="28"/>
        <v>June</v>
      </c>
      <c r="L592" t="str">
        <f t="shared" si="29"/>
        <v>Q2</v>
      </c>
      <c r="M592">
        <f t="shared" si="27"/>
        <v>2022</v>
      </c>
      <c r="N592" t="s">
        <v>44</v>
      </c>
    </row>
    <row r="593" spans="1:14" ht="14.55" customHeight="1" x14ac:dyDescent="0.3">
      <c r="A593" s="1">
        <v>44685</v>
      </c>
      <c r="B593" t="s">
        <v>9</v>
      </c>
      <c r="C593" t="s">
        <v>21</v>
      </c>
      <c r="D593" t="s">
        <v>33</v>
      </c>
      <c r="E593">
        <v>47</v>
      </c>
      <c r="F593">
        <v>13098.96</v>
      </c>
      <c r="G593" t="s">
        <v>20</v>
      </c>
      <c r="H593">
        <v>5</v>
      </c>
      <c r="I593">
        <v>10613.33</v>
      </c>
      <c r="J593">
        <v>2485.63</v>
      </c>
      <c r="K593" t="str">
        <f t="shared" si="28"/>
        <v>May</v>
      </c>
      <c r="L593" t="str">
        <f t="shared" si="29"/>
        <v>Q2</v>
      </c>
      <c r="M593">
        <f t="shared" si="27"/>
        <v>2022</v>
      </c>
      <c r="N593" t="s">
        <v>43</v>
      </c>
    </row>
    <row r="594" spans="1:14" ht="14.55" customHeight="1" x14ac:dyDescent="0.3">
      <c r="A594" s="1">
        <v>44848</v>
      </c>
      <c r="B594" t="s">
        <v>31</v>
      </c>
      <c r="C594" t="s">
        <v>21</v>
      </c>
      <c r="D594" t="s">
        <v>36</v>
      </c>
      <c r="E594">
        <v>11</v>
      </c>
      <c r="F594">
        <v>3283.24</v>
      </c>
      <c r="G594" t="s">
        <v>12</v>
      </c>
      <c r="H594">
        <v>1</v>
      </c>
      <c r="I594">
        <v>1846.25</v>
      </c>
      <c r="J594">
        <v>1436.99</v>
      </c>
      <c r="K594" t="str">
        <f t="shared" si="28"/>
        <v>October</v>
      </c>
      <c r="L594" t="str">
        <f t="shared" si="29"/>
        <v>Q4</v>
      </c>
      <c r="M594">
        <f t="shared" si="27"/>
        <v>2022</v>
      </c>
      <c r="N594" t="s">
        <v>47</v>
      </c>
    </row>
    <row r="595" spans="1:14" ht="14.55" customHeight="1" x14ac:dyDescent="0.3">
      <c r="A595" s="1">
        <v>44867</v>
      </c>
      <c r="B595" t="s">
        <v>15</v>
      </c>
      <c r="C595" t="s">
        <v>25</v>
      </c>
      <c r="D595" t="s">
        <v>38</v>
      </c>
      <c r="E595">
        <v>8</v>
      </c>
      <c r="F595">
        <v>1034.99</v>
      </c>
      <c r="G595" t="s">
        <v>12</v>
      </c>
      <c r="H595">
        <v>5</v>
      </c>
      <c r="I595">
        <v>1510.43</v>
      </c>
      <c r="J595">
        <v>-475.44</v>
      </c>
      <c r="K595" t="str">
        <f t="shared" si="28"/>
        <v>November</v>
      </c>
      <c r="L595" t="str">
        <f t="shared" si="29"/>
        <v>Q4</v>
      </c>
      <c r="M595">
        <f t="shared" si="27"/>
        <v>2022</v>
      </c>
      <c r="N595" t="s">
        <v>45</v>
      </c>
    </row>
    <row r="596" spans="1:14" ht="14.55" customHeight="1" x14ac:dyDescent="0.3">
      <c r="A596" s="1">
        <v>44964</v>
      </c>
      <c r="B596" t="s">
        <v>23</v>
      </c>
      <c r="C596" t="s">
        <v>13</v>
      </c>
      <c r="D596" t="s">
        <v>29</v>
      </c>
      <c r="E596">
        <v>38</v>
      </c>
      <c r="F596">
        <v>1645.74</v>
      </c>
      <c r="G596" t="s">
        <v>20</v>
      </c>
      <c r="H596">
        <v>4</v>
      </c>
      <c r="I596">
        <v>2630.16</v>
      </c>
      <c r="J596">
        <v>-984.42</v>
      </c>
      <c r="K596" t="str">
        <f t="shared" si="28"/>
        <v>February</v>
      </c>
      <c r="L596" t="str">
        <f t="shared" si="29"/>
        <v>Q1</v>
      </c>
      <c r="M596">
        <f t="shared" si="27"/>
        <v>2023</v>
      </c>
      <c r="N596" t="s">
        <v>47</v>
      </c>
    </row>
    <row r="597" spans="1:14" ht="14.55" customHeight="1" x14ac:dyDescent="0.3">
      <c r="A597" s="1">
        <v>44906</v>
      </c>
      <c r="B597" t="s">
        <v>18</v>
      </c>
      <c r="C597" t="s">
        <v>10</v>
      </c>
      <c r="D597" t="s">
        <v>35</v>
      </c>
      <c r="E597">
        <v>33</v>
      </c>
      <c r="F597">
        <v>13465.91</v>
      </c>
      <c r="G597" t="s">
        <v>12</v>
      </c>
      <c r="H597">
        <v>2</v>
      </c>
      <c r="I597">
        <v>7255.85</v>
      </c>
      <c r="J597">
        <v>6210.06</v>
      </c>
      <c r="K597" t="str">
        <f t="shared" si="28"/>
        <v>December</v>
      </c>
      <c r="L597" t="str">
        <f t="shared" si="29"/>
        <v>Q4</v>
      </c>
      <c r="M597">
        <f t="shared" si="27"/>
        <v>2022</v>
      </c>
      <c r="N597" t="s">
        <v>44</v>
      </c>
    </row>
    <row r="598" spans="1:14" ht="14.55" customHeight="1" x14ac:dyDescent="0.3">
      <c r="A598" s="1">
        <v>44749</v>
      </c>
      <c r="B598" t="s">
        <v>15</v>
      </c>
      <c r="C598" t="s">
        <v>25</v>
      </c>
      <c r="D598" t="s">
        <v>39</v>
      </c>
      <c r="E598">
        <v>16</v>
      </c>
      <c r="F598">
        <v>1462.89</v>
      </c>
      <c r="G598" t="s">
        <v>12</v>
      </c>
      <c r="H598">
        <v>4</v>
      </c>
      <c r="I598">
        <v>991.24</v>
      </c>
      <c r="J598">
        <v>471.65</v>
      </c>
      <c r="K598" t="str">
        <f t="shared" si="28"/>
        <v>July</v>
      </c>
      <c r="L598" t="str">
        <f t="shared" si="29"/>
        <v>Q3</v>
      </c>
      <c r="M598">
        <f t="shared" si="27"/>
        <v>2022</v>
      </c>
      <c r="N598" t="s">
        <v>43</v>
      </c>
    </row>
    <row r="599" spans="1:14" ht="14.55" customHeight="1" x14ac:dyDescent="0.3">
      <c r="A599" s="1">
        <v>45253</v>
      </c>
      <c r="B599" t="s">
        <v>9</v>
      </c>
      <c r="C599" t="s">
        <v>25</v>
      </c>
      <c r="D599" t="s">
        <v>30</v>
      </c>
      <c r="E599">
        <v>19</v>
      </c>
      <c r="F599">
        <v>1487.91</v>
      </c>
      <c r="G599" t="s">
        <v>12</v>
      </c>
      <c r="H599">
        <v>1</v>
      </c>
      <c r="I599">
        <v>4063.34</v>
      </c>
      <c r="J599">
        <v>-2575.4299999999998</v>
      </c>
      <c r="K599" t="str">
        <f t="shared" si="28"/>
        <v>November</v>
      </c>
      <c r="L599" t="str">
        <f t="shared" si="29"/>
        <v>Q4</v>
      </c>
      <c r="M599">
        <f t="shared" si="27"/>
        <v>2023</v>
      </c>
      <c r="N599" t="s">
        <v>45</v>
      </c>
    </row>
    <row r="600" spans="1:14" ht="14.55" customHeight="1" x14ac:dyDescent="0.3">
      <c r="A600" s="1">
        <v>44588</v>
      </c>
      <c r="B600" t="s">
        <v>18</v>
      </c>
      <c r="C600" t="s">
        <v>10</v>
      </c>
      <c r="D600" t="s">
        <v>35</v>
      </c>
      <c r="E600">
        <v>29</v>
      </c>
      <c r="F600">
        <v>6338.53</v>
      </c>
      <c r="G600" t="s">
        <v>12</v>
      </c>
      <c r="H600">
        <v>2</v>
      </c>
      <c r="I600">
        <v>2869.25</v>
      </c>
      <c r="J600">
        <v>3469.28</v>
      </c>
      <c r="K600" t="str">
        <f t="shared" si="28"/>
        <v>January</v>
      </c>
      <c r="L600" t="str">
        <f t="shared" si="29"/>
        <v>Q1</v>
      </c>
      <c r="M600">
        <f t="shared" si="27"/>
        <v>2022</v>
      </c>
      <c r="N600" t="s">
        <v>43</v>
      </c>
    </row>
    <row r="601" spans="1:14" ht="14.55" customHeight="1" x14ac:dyDescent="0.3">
      <c r="A601" s="1">
        <v>44682</v>
      </c>
      <c r="B601" t="s">
        <v>23</v>
      </c>
      <c r="C601" t="s">
        <v>21</v>
      </c>
      <c r="D601" t="s">
        <v>32</v>
      </c>
      <c r="E601">
        <v>21</v>
      </c>
      <c r="F601">
        <v>8583.2800000000007</v>
      </c>
      <c r="G601" t="s">
        <v>12</v>
      </c>
      <c r="H601">
        <v>2</v>
      </c>
      <c r="I601">
        <v>4980.34</v>
      </c>
      <c r="J601">
        <v>3602.94</v>
      </c>
      <c r="K601" t="str">
        <f t="shared" si="28"/>
        <v>May</v>
      </c>
      <c r="L601" t="str">
        <f t="shared" si="29"/>
        <v>Q2</v>
      </c>
      <c r="M601">
        <f t="shared" si="27"/>
        <v>2022</v>
      </c>
      <c r="N601" t="s">
        <v>45</v>
      </c>
    </row>
    <row r="602" spans="1:14" ht="14.55" customHeight="1" x14ac:dyDescent="0.3">
      <c r="A602" s="1">
        <v>45179</v>
      </c>
      <c r="B602" t="s">
        <v>31</v>
      </c>
      <c r="C602" t="s">
        <v>21</v>
      </c>
      <c r="D602" t="s">
        <v>32</v>
      </c>
      <c r="E602">
        <v>36</v>
      </c>
      <c r="F602">
        <v>4432.3</v>
      </c>
      <c r="G602" t="s">
        <v>12</v>
      </c>
      <c r="H602">
        <v>2</v>
      </c>
      <c r="I602">
        <v>2329.0100000000002</v>
      </c>
      <c r="J602">
        <v>2103.29</v>
      </c>
      <c r="K602" t="str">
        <f t="shared" si="28"/>
        <v>September</v>
      </c>
      <c r="L602" t="str">
        <f t="shared" si="29"/>
        <v>Q3</v>
      </c>
      <c r="M602">
        <f t="shared" si="27"/>
        <v>2023</v>
      </c>
      <c r="N602" t="s">
        <v>43</v>
      </c>
    </row>
    <row r="603" spans="1:14" ht="14.55" customHeight="1" x14ac:dyDescent="0.3">
      <c r="A603" s="1">
        <v>44659</v>
      </c>
      <c r="B603" t="s">
        <v>9</v>
      </c>
      <c r="C603" t="s">
        <v>25</v>
      </c>
      <c r="D603" t="s">
        <v>39</v>
      </c>
      <c r="E603">
        <v>18</v>
      </c>
      <c r="F603">
        <v>3066.27</v>
      </c>
      <c r="G603" t="s">
        <v>12</v>
      </c>
      <c r="H603">
        <v>1</v>
      </c>
      <c r="I603">
        <v>3094.28</v>
      </c>
      <c r="J603">
        <v>-28.01</v>
      </c>
      <c r="K603" t="str">
        <f t="shared" si="28"/>
        <v>April</v>
      </c>
      <c r="L603" t="str">
        <f t="shared" si="29"/>
        <v>Q2</v>
      </c>
      <c r="M603">
        <f t="shared" si="27"/>
        <v>2022</v>
      </c>
      <c r="N603" t="s">
        <v>45</v>
      </c>
    </row>
    <row r="604" spans="1:14" ht="14.55" customHeight="1" x14ac:dyDescent="0.3">
      <c r="A604" s="1">
        <v>44606</v>
      </c>
      <c r="B604" t="s">
        <v>31</v>
      </c>
      <c r="C604" t="s">
        <v>16</v>
      </c>
      <c r="D604" t="s">
        <v>24</v>
      </c>
      <c r="E604">
        <v>32</v>
      </c>
      <c r="F604">
        <v>8979.24</v>
      </c>
      <c r="G604" t="s">
        <v>12</v>
      </c>
      <c r="H604">
        <v>3</v>
      </c>
      <c r="I604">
        <v>4108.24</v>
      </c>
      <c r="J604">
        <v>4871</v>
      </c>
      <c r="K604" t="str">
        <f t="shared" si="28"/>
        <v>February</v>
      </c>
      <c r="L604" t="str">
        <f t="shared" si="29"/>
        <v>Q1</v>
      </c>
      <c r="M604">
        <f t="shared" si="27"/>
        <v>2022</v>
      </c>
      <c r="N604" t="s">
        <v>45</v>
      </c>
    </row>
    <row r="605" spans="1:14" ht="14.55" customHeight="1" x14ac:dyDescent="0.3">
      <c r="A605" s="1">
        <v>45190</v>
      </c>
      <c r="B605" t="s">
        <v>18</v>
      </c>
      <c r="C605" t="s">
        <v>21</v>
      </c>
      <c r="D605" t="s">
        <v>33</v>
      </c>
      <c r="E605">
        <v>33</v>
      </c>
      <c r="F605">
        <v>13901.74</v>
      </c>
      <c r="G605" t="s">
        <v>12</v>
      </c>
      <c r="H605">
        <v>4</v>
      </c>
      <c r="I605">
        <v>3080.71</v>
      </c>
      <c r="J605">
        <v>10821.03</v>
      </c>
      <c r="K605" t="str">
        <f t="shared" si="28"/>
        <v>September</v>
      </c>
      <c r="L605" t="str">
        <f t="shared" si="29"/>
        <v>Q3</v>
      </c>
      <c r="M605">
        <f t="shared" si="27"/>
        <v>2023</v>
      </c>
      <c r="N605" t="s">
        <v>45</v>
      </c>
    </row>
    <row r="606" spans="1:14" ht="14.55" customHeight="1" x14ac:dyDescent="0.3">
      <c r="A606" s="1">
        <v>44591</v>
      </c>
      <c r="B606" t="s">
        <v>15</v>
      </c>
      <c r="C606" t="s">
        <v>10</v>
      </c>
      <c r="D606" t="s">
        <v>34</v>
      </c>
      <c r="E606">
        <v>18</v>
      </c>
      <c r="F606">
        <v>8886.74</v>
      </c>
      <c r="G606" t="s">
        <v>12</v>
      </c>
      <c r="H606">
        <v>5</v>
      </c>
      <c r="I606">
        <v>150.71</v>
      </c>
      <c r="J606">
        <v>8736.0300000000007</v>
      </c>
      <c r="K606" t="str">
        <f t="shared" si="28"/>
        <v>January</v>
      </c>
      <c r="L606" t="str">
        <f t="shared" si="29"/>
        <v>Q1</v>
      </c>
      <c r="M606">
        <f t="shared" si="27"/>
        <v>2022</v>
      </c>
      <c r="N606" t="s">
        <v>45</v>
      </c>
    </row>
    <row r="607" spans="1:14" ht="14.55" customHeight="1" x14ac:dyDescent="0.3">
      <c r="A607" s="1">
        <v>44587</v>
      </c>
      <c r="B607" t="s">
        <v>9</v>
      </c>
      <c r="C607" t="s">
        <v>25</v>
      </c>
      <c r="D607" t="s">
        <v>39</v>
      </c>
      <c r="E607">
        <v>44</v>
      </c>
      <c r="F607">
        <v>16606.25</v>
      </c>
      <c r="G607" t="s">
        <v>20</v>
      </c>
      <c r="H607">
        <v>2</v>
      </c>
      <c r="I607">
        <v>5384.56</v>
      </c>
      <c r="J607">
        <v>11221.69</v>
      </c>
      <c r="K607" t="str">
        <f t="shared" si="28"/>
        <v>January</v>
      </c>
      <c r="L607" t="str">
        <f t="shared" si="29"/>
        <v>Q1</v>
      </c>
      <c r="M607">
        <f t="shared" si="27"/>
        <v>2022</v>
      </c>
      <c r="N607" t="s">
        <v>45</v>
      </c>
    </row>
    <row r="608" spans="1:14" ht="14.55" customHeight="1" x14ac:dyDescent="0.3">
      <c r="A608" s="1">
        <v>45183</v>
      </c>
      <c r="B608" t="s">
        <v>23</v>
      </c>
      <c r="C608" t="s">
        <v>16</v>
      </c>
      <c r="D608" t="s">
        <v>17</v>
      </c>
      <c r="E608">
        <v>25</v>
      </c>
      <c r="F608">
        <v>2090.17</v>
      </c>
      <c r="G608" t="s">
        <v>20</v>
      </c>
      <c r="H608">
        <v>1</v>
      </c>
      <c r="I608">
        <v>6146.21</v>
      </c>
      <c r="J608">
        <v>-4056.04</v>
      </c>
      <c r="K608" t="str">
        <f t="shared" si="28"/>
        <v>September</v>
      </c>
      <c r="L608" t="str">
        <f t="shared" si="29"/>
        <v>Q3</v>
      </c>
      <c r="M608">
        <f t="shared" si="27"/>
        <v>2023</v>
      </c>
      <c r="N608" t="s">
        <v>44</v>
      </c>
    </row>
    <row r="609" spans="1:14" ht="14.55" customHeight="1" x14ac:dyDescent="0.3">
      <c r="A609" s="1">
        <v>45190</v>
      </c>
      <c r="B609" t="s">
        <v>18</v>
      </c>
      <c r="C609" t="s">
        <v>16</v>
      </c>
      <c r="D609" t="s">
        <v>27</v>
      </c>
      <c r="E609">
        <v>40</v>
      </c>
      <c r="F609">
        <v>15182.68</v>
      </c>
      <c r="G609" t="s">
        <v>20</v>
      </c>
      <c r="H609">
        <v>2</v>
      </c>
      <c r="I609">
        <v>7612.41</v>
      </c>
      <c r="J609">
        <v>7570.27</v>
      </c>
      <c r="K609" t="str">
        <f t="shared" si="28"/>
        <v>September</v>
      </c>
      <c r="L609" t="str">
        <f t="shared" si="29"/>
        <v>Q3</v>
      </c>
      <c r="M609">
        <f t="shared" si="27"/>
        <v>2023</v>
      </c>
      <c r="N609" t="s">
        <v>45</v>
      </c>
    </row>
    <row r="610" spans="1:14" ht="14.55" customHeight="1" x14ac:dyDescent="0.3">
      <c r="A610" s="1">
        <v>44742</v>
      </c>
      <c r="B610" t="s">
        <v>18</v>
      </c>
      <c r="C610" t="s">
        <v>25</v>
      </c>
      <c r="D610" t="s">
        <v>30</v>
      </c>
      <c r="E610">
        <v>15</v>
      </c>
      <c r="F610">
        <v>6592</v>
      </c>
      <c r="G610" t="s">
        <v>12</v>
      </c>
      <c r="H610">
        <v>1</v>
      </c>
      <c r="I610">
        <v>2103.9299999999998</v>
      </c>
      <c r="J610">
        <v>4488.07</v>
      </c>
      <c r="K610" t="str">
        <f t="shared" si="28"/>
        <v>June</v>
      </c>
      <c r="L610" t="str">
        <f t="shared" si="29"/>
        <v>Q2</v>
      </c>
      <c r="M610">
        <f t="shared" si="27"/>
        <v>2022</v>
      </c>
      <c r="N610" t="s">
        <v>45</v>
      </c>
    </row>
    <row r="611" spans="1:14" ht="14.55" customHeight="1" x14ac:dyDescent="0.3">
      <c r="A611" s="1">
        <v>44938</v>
      </c>
      <c r="B611" t="s">
        <v>18</v>
      </c>
      <c r="C611" t="s">
        <v>13</v>
      </c>
      <c r="D611" t="s">
        <v>14</v>
      </c>
      <c r="E611">
        <v>29</v>
      </c>
      <c r="F611">
        <v>6649.41</v>
      </c>
      <c r="G611" t="s">
        <v>20</v>
      </c>
      <c r="H611">
        <v>2</v>
      </c>
      <c r="I611">
        <v>3343.44</v>
      </c>
      <c r="J611">
        <v>3305.97</v>
      </c>
      <c r="K611" t="str">
        <f t="shared" si="28"/>
        <v>January</v>
      </c>
      <c r="L611" t="str">
        <f t="shared" si="29"/>
        <v>Q1</v>
      </c>
      <c r="M611">
        <f t="shared" si="27"/>
        <v>2023</v>
      </c>
      <c r="N611" t="s">
        <v>44</v>
      </c>
    </row>
    <row r="612" spans="1:14" ht="14.55" customHeight="1" x14ac:dyDescent="0.3">
      <c r="A612" s="1">
        <v>44914</v>
      </c>
      <c r="B612" t="s">
        <v>15</v>
      </c>
      <c r="C612" t="s">
        <v>25</v>
      </c>
      <c r="D612" t="s">
        <v>38</v>
      </c>
      <c r="E612">
        <v>40</v>
      </c>
      <c r="F612">
        <v>12095.54</v>
      </c>
      <c r="G612" t="s">
        <v>20</v>
      </c>
      <c r="H612">
        <v>2</v>
      </c>
      <c r="I612">
        <v>7155.74</v>
      </c>
      <c r="J612">
        <v>4939.8</v>
      </c>
      <c r="K612" t="str">
        <f t="shared" si="28"/>
        <v>December</v>
      </c>
      <c r="L612" t="str">
        <f t="shared" si="29"/>
        <v>Q4</v>
      </c>
      <c r="M612">
        <f t="shared" si="27"/>
        <v>2022</v>
      </c>
      <c r="N612" t="s">
        <v>47</v>
      </c>
    </row>
    <row r="613" spans="1:14" ht="14.55" customHeight="1" x14ac:dyDescent="0.3">
      <c r="A613" s="1">
        <v>44900</v>
      </c>
      <c r="B613" t="s">
        <v>31</v>
      </c>
      <c r="C613" t="s">
        <v>10</v>
      </c>
      <c r="D613" t="s">
        <v>28</v>
      </c>
      <c r="E613">
        <v>33</v>
      </c>
      <c r="F613">
        <v>3183.44</v>
      </c>
      <c r="G613" t="s">
        <v>20</v>
      </c>
      <c r="H613">
        <v>3</v>
      </c>
      <c r="I613">
        <v>3682.59</v>
      </c>
      <c r="J613">
        <v>-499.15</v>
      </c>
      <c r="K613" t="str">
        <f t="shared" si="28"/>
        <v>December</v>
      </c>
      <c r="L613" t="str">
        <f t="shared" si="29"/>
        <v>Q4</v>
      </c>
      <c r="M613">
        <f t="shared" si="27"/>
        <v>2022</v>
      </c>
      <c r="N613" t="s">
        <v>44</v>
      </c>
    </row>
    <row r="614" spans="1:14" ht="14.55" customHeight="1" x14ac:dyDescent="0.3">
      <c r="A614" s="1">
        <v>44620</v>
      </c>
      <c r="B614" t="s">
        <v>31</v>
      </c>
      <c r="C614" t="s">
        <v>13</v>
      </c>
      <c r="D614" t="s">
        <v>40</v>
      </c>
      <c r="E614">
        <v>36</v>
      </c>
      <c r="F614">
        <v>4646.59</v>
      </c>
      <c r="G614" t="s">
        <v>20</v>
      </c>
      <c r="H614">
        <v>5</v>
      </c>
      <c r="I614">
        <v>5945.21</v>
      </c>
      <c r="J614">
        <v>-1298.6199999999999</v>
      </c>
      <c r="K614" t="str">
        <f t="shared" si="28"/>
        <v>February</v>
      </c>
      <c r="L614" t="str">
        <f t="shared" si="29"/>
        <v>Q1</v>
      </c>
      <c r="M614">
        <f t="shared" si="27"/>
        <v>2022</v>
      </c>
      <c r="N614" t="s">
        <v>44</v>
      </c>
    </row>
    <row r="615" spans="1:14" ht="14.55" customHeight="1" x14ac:dyDescent="0.3">
      <c r="A615" s="1">
        <v>44751</v>
      </c>
      <c r="B615" t="s">
        <v>15</v>
      </c>
      <c r="C615" t="s">
        <v>25</v>
      </c>
      <c r="D615" t="s">
        <v>26</v>
      </c>
      <c r="E615">
        <v>6</v>
      </c>
      <c r="F615">
        <v>616.47</v>
      </c>
      <c r="G615" t="s">
        <v>12</v>
      </c>
      <c r="H615">
        <v>3</v>
      </c>
      <c r="I615">
        <v>1205.5999999999999</v>
      </c>
      <c r="J615">
        <v>-589.13</v>
      </c>
      <c r="K615" t="str">
        <f t="shared" si="28"/>
        <v>July</v>
      </c>
      <c r="L615" t="str">
        <f t="shared" si="29"/>
        <v>Q3</v>
      </c>
      <c r="M615">
        <f t="shared" si="27"/>
        <v>2022</v>
      </c>
      <c r="N615" t="s">
        <v>44</v>
      </c>
    </row>
    <row r="616" spans="1:14" ht="14.55" customHeight="1" x14ac:dyDescent="0.3">
      <c r="A616" s="1">
        <v>44799</v>
      </c>
      <c r="B616" t="s">
        <v>31</v>
      </c>
      <c r="C616" t="s">
        <v>16</v>
      </c>
      <c r="D616" t="s">
        <v>37</v>
      </c>
      <c r="E616">
        <v>18</v>
      </c>
      <c r="F616">
        <v>6951.06</v>
      </c>
      <c r="G616" t="s">
        <v>20</v>
      </c>
      <c r="H616">
        <v>2</v>
      </c>
      <c r="I616">
        <v>2441.6</v>
      </c>
      <c r="J616">
        <v>4509.46</v>
      </c>
      <c r="K616" t="str">
        <f t="shared" si="28"/>
        <v>August</v>
      </c>
      <c r="L616" t="str">
        <f t="shared" si="29"/>
        <v>Q3</v>
      </c>
      <c r="M616">
        <f t="shared" si="27"/>
        <v>2022</v>
      </c>
      <c r="N616" t="s">
        <v>44</v>
      </c>
    </row>
    <row r="617" spans="1:14" ht="14.55" customHeight="1" x14ac:dyDescent="0.3">
      <c r="A617" s="1">
        <v>44629</v>
      </c>
      <c r="B617" t="s">
        <v>23</v>
      </c>
      <c r="C617" t="s">
        <v>10</v>
      </c>
      <c r="D617" t="s">
        <v>28</v>
      </c>
      <c r="E617">
        <v>42</v>
      </c>
      <c r="F617">
        <v>8140.37</v>
      </c>
      <c r="G617" t="s">
        <v>12</v>
      </c>
      <c r="H617">
        <v>3</v>
      </c>
      <c r="I617">
        <v>6468.06</v>
      </c>
      <c r="J617">
        <v>1672.31</v>
      </c>
      <c r="K617" t="str">
        <f t="shared" si="28"/>
        <v>March</v>
      </c>
      <c r="L617" t="str">
        <f t="shared" si="29"/>
        <v>Q1</v>
      </c>
      <c r="M617">
        <f t="shared" si="27"/>
        <v>2022</v>
      </c>
      <c r="N617" t="s">
        <v>44</v>
      </c>
    </row>
    <row r="618" spans="1:14" ht="14.55" customHeight="1" x14ac:dyDescent="0.3">
      <c r="A618" s="1">
        <v>44788</v>
      </c>
      <c r="B618" t="s">
        <v>31</v>
      </c>
      <c r="C618" t="s">
        <v>10</v>
      </c>
      <c r="D618" t="s">
        <v>34</v>
      </c>
      <c r="E618">
        <v>4</v>
      </c>
      <c r="F618">
        <v>1813.18</v>
      </c>
      <c r="G618" t="s">
        <v>20</v>
      </c>
      <c r="H618">
        <v>3</v>
      </c>
      <c r="I618">
        <v>730.13</v>
      </c>
      <c r="J618">
        <v>1083.05</v>
      </c>
      <c r="K618" t="str">
        <f t="shared" si="28"/>
        <v>August</v>
      </c>
      <c r="L618" t="str">
        <f t="shared" si="29"/>
        <v>Q3</v>
      </c>
      <c r="M618">
        <f t="shared" si="27"/>
        <v>2022</v>
      </c>
      <c r="N618" t="s">
        <v>44</v>
      </c>
    </row>
    <row r="619" spans="1:14" ht="14.55" customHeight="1" x14ac:dyDescent="0.3">
      <c r="A619" s="1">
        <v>45118</v>
      </c>
      <c r="B619" t="s">
        <v>23</v>
      </c>
      <c r="C619" t="s">
        <v>13</v>
      </c>
      <c r="D619" t="s">
        <v>19</v>
      </c>
      <c r="E619">
        <v>5</v>
      </c>
      <c r="F619">
        <v>327.7</v>
      </c>
      <c r="G619" t="s">
        <v>12</v>
      </c>
      <c r="H619">
        <v>1</v>
      </c>
      <c r="I619">
        <v>39.950000000000003</v>
      </c>
      <c r="J619">
        <v>287.75</v>
      </c>
      <c r="K619" t="str">
        <f t="shared" si="28"/>
        <v>July</v>
      </c>
      <c r="L619" t="str">
        <f t="shared" si="29"/>
        <v>Q3</v>
      </c>
      <c r="M619">
        <f t="shared" si="27"/>
        <v>2023</v>
      </c>
      <c r="N619" t="s">
        <v>44</v>
      </c>
    </row>
    <row r="620" spans="1:14" ht="14.55" customHeight="1" x14ac:dyDescent="0.3">
      <c r="A620" s="1">
        <v>45190</v>
      </c>
      <c r="B620" t="s">
        <v>15</v>
      </c>
      <c r="C620" t="s">
        <v>25</v>
      </c>
      <c r="D620" t="s">
        <v>26</v>
      </c>
      <c r="E620">
        <v>22</v>
      </c>
      <c r="F620">
        <v>4104.29</v>
      </c>
      <c r="G620" t="s">
        <v>20</v>
      </c>
      <c r="H620">
        <v>5</v>
      </c>
      <c r="I620">
        <v>1184.5899999999999</v>
      </c>
      <c r="J620">
        <v>2919.7</v>
      </c>
      <c r="K620" t="str">
        <f t="shared" si="28"/>
        <v>September</v>
      </c>
      <c r="L620" t="str">
        <f t="shared" si="29"/>
        <v>Q3</v>
      </c>
      <c r="M620">
        <f t="shared" si="27"/>
        <v>2023</v>
      </c>
      <c r="N620" t="s">
        <v>44</v>
      </c>
    </row>
    <row r="621" spans="1:14" ht="14.55" customHeight="1" x14ac:dyDescent="0.3">
      <c r="A621" s="1">
        <v>44909</v>
      </c>
      <c r="B621" t="s">
        <v>15</v>
      </c>
      <c r="C621" t="s">
        <v>16</v>
      </c>
      <c r="D621" t="s">
        <v>37</v>
      </c>
      <c r="E621">
        <v>8</v>
      </c>
      <c r="F621">
        <v>2365.9499999999998</v>
      </c>
      <c r="G621" t="s">
        <v>20</v>
      </c>
      <c r="H621">
        <v>2</v>
      </c>
      <c r="I621">
        <v>1739.93</v>
      </c>
      <c r="J621">
        <v>626.02</v>
      </c>
      <c r="K621" t="str">
        <f t="shared" si="28"/>
        <v>December</v>
      </c>
      <c r="L621" t="str">
        <f t="shared" si="29"/>
        <v>Q4</v>
      </c>
      <c r="M621">
        <f t="shared" si="27"/>
        <v>2022</v>
      </c>
      <c r="N621" t="s">
        <v>43</v>
      </c>
    </row>
    <row r="622" spans="1:14" ht="14.55" customHeight="1" x14ac:dyDescent="0.3">
      <c r="A622" s="1">
        <v>45268</v>
      </c>
      <c r="B622" t="s">
        <v>23</v>
      </c>
      <c r="C622" t="s">
        <v>13</v>
      </c>
      <c r="D622" t="s">
        <v>29</v>
      </c>
      <c r="E622">
        <v>24</v>
      </c>
      <c r="F622">
        <v>6960.25</v>
      </c>
      <c r="G622" t="s">
        <v>20</v>
      </c>
      <c r="H622">
        <v>5</v>
      </c>
      <c r="I622">
        <v>4632.0200000000004</v>
      </c>
      <c r="J622">
        <v>2328.23</v>
      </c>
      <c r="K622" t="str">
        <f t="shared" si="28"/>
        <v>December</v>
      </c>
      <c r="L622" t="str">
        <f t="shared" si="29"/>
        <v>Q4</v>
      </c>
      <c r="M622">
        <f t="shared" si="27"/>
        <v>2023</v>
      </c>
      <c r="N622" t="s">
        <v>45</v>
      </c>
    </row>
    <row r="623" spans="1:14" ht="14.55" customHeight="1" x14ac:dyDescent="0.3">
      <c r="A623" s="1">
        <v>45060</v>
      </c>
      <c r="B623" t="s">
        <v>9</v>
      </c>
      <c r="C623" t="s">
        <v>10</v>
      </c>
      <c r="D623" t="s">
        <v>28</v>
      </c>
      <c r="E623">
        <v>26</v>
      </c>
      <c r="F623">
        <v>3721.09</v>
      </c>
      <c r="G623" t="s">
        <v>20</v>
      </c>
      <c r="H623">
        <v>1</v>
      </c>
      <c r="I623">
        <v>2638.74</v>
      </c>
      <c r="J623">
        <v>1082.3499999999999</v>
      </c>
      <c r="K623" t="str">
        <f t="shared" si="28"/>
        <v>May</v>
      </c>
      <c r="L623" t="str">
        <f t="shared" si="29"/>
        <v>Q2</v>
      </c>
      <c r="M623">
        <f t="shared" si="27"/>
        <v>2023</v>
      </c>
      <c r="N623" t="s">
        <v>44</v>
      </c>
    </row>
    <row r="624" spans="1:14" ht="14.55" customHeight="1" x14ac:dyDescent="0.3">
      <c r="A624" s="1">
        <v>44873</v>
      </c>
      <c r="B624" t="s">
        <v>18</v>
      </c>
      <c r="C624" t="s">
        <v>13</v>
      </c>
      <c r="D624" t="s">
        <v>19</v>
      </c>
      <c r="E624">
        <v>35</v>
      </c>
      <c r="F624">
        <v>14277.75</v>
      </c>
      <c r="G624" t="s">
        <v>20</v>
      </c>
      <c r="H624">
        <v>2</v>
      </c>
      <c r="I624">
        <v>1603.43</v>
      </c>
      <c r="J624">
        <v>12674.32</v>
      </c>
      <c r="K624" t="str">
        <f t="shared" si="28"/>
        <v>November</v>
      </c>
      <c r="L624" t="str">
        <f t="shared" si="29"/>
        <v>Q4</v>
      </c>
      <c r="M624">
        <f t="shared" si="27"/>
        <v>2022</v>
      </c>
      <c r="N624" t="s">
        <v>47</v>
      </c>
    </row>
    <row r="625" spans="1:14" ht="14.55" customHeight="1" x14ac:dyDescent="0.3">
      <c r="A625" s="1">
        <v>45025</v>
      </c>
      <c r="B625" t="s">
        <v>31</v>
      </c>
      <c r="C625" t="s">
        <v>25</v>
      </c>
      <c r="D625" t="s">
        <v>39</v>
      </c>
      <c r="E625">
        <v>45</v>
      </c>
      <c r="F625">
        <v>14800.23</v>
      </c>
      <c r="G625" t="s">
        <v>20</v>
      </c>
      <c r="H625">
        <v>4</v>
      </c>
      <c r="I625">
        <v>8782.17</v>
      </c>
      <c r="J625">
        <v>6018.06</v>
      </c>
      <c r="K625" t="str">
        <f t="shared" si="28"/>
        <v>April</v>
      </c>
      <c r="L625" t="str">
        <f t="shared" si="29"/>
        <v>Q2</v>
      </c>
      <c r="M625">
        <f t="shared" si="27"/>
        <v>2023</v>
      </c>
      <c r="N625" t="s">
        <v>45</v>
      </c>
    </row>
    <row r="626" spans="1:14" ht="14.55" customHeight="1" x14ac:dyDescent="0.3">
      <c r="A626" s="1">
        <v>45148</v>
      </c>
      <c r="B626" t="s">
        <v>23</v>
      </c>
      <c r="C626" t="s">
        <v>21</v>
      </c>
      <c r="D626" t="s">
        <v>36</v>
      </c>
      <c r="E626">
        <v>17</v>
      </c>
      <c r="F626">
        <v>8227.52</v>
      </c>
      <c r="G626" t="s">
        <v>20</v>
      </c>
      <c r="H626">
        <v>2</v>
      </c>
      <c r="I626">
        <v>489.44</v>
      </c>
      <c r="J626">
        <v>7738.08</v>
      </c>
      <c r="K626" t="str">
        <f t="shared" si="28"/>
        <v>August</v>
      </c>
      <c r="L626" t="str">
        <f t="shared" si="29"/>
        <v>Q3</v>
      </c>
      <c r="M626">
        <f t="shared" si="27"/>
        <v>2023</v>
      </c>
      <c r="N626" t="s">
        <v>45</v>
      </c>
    </row>
    <row r="627" spans="1:14" ht="14.55" customHeight="1" x14ac:dyDescent="0.3">
      <c r="A627" s="1">
        <v>45101</v>
      </c>
      <c r="B627" t="s">
        <v>9</v>
      </c>
      <c r="C627" t="s">
        <v>16</v>
      </c>
      <c r="D627" t="s">
        <v>17</v>
      </c>
      <c r="E627">
        <v>26</v>
      </c>
      <c r="F627">
        <v>8690.7099999999991</v>
      </c>
      <c r="G627" t="s">
        <v>20</v>
      </c>
      <c r="H627">
        <v>5</v>
      </c>
      <c r="I627">
        <v>3710.38</v>
      </c>
      <c r="J627">
        <v>4980.33</v>
      </c>
      <c r="K627" t="str">
        <f t="shared" si="28"/>
        <v>June</v>
      </c>
      <c r="L627" t="str">
        <f t="shared" si="29"/>
        <v>Q2</v>
      </c>
      <c r="M627">
        <f t="shared" si="27"/>
        <v>2023</v>
      </c>
      <c r="N627" t="s">
        <v>47</v>
      </c>
    </row>
    <row r="628" spans="1:14" ht="14.55" customHeight="1" x14ac:dyDescent="0.3">
      <c r="A628" s="1">
        <v>44695</v>
      </c>
      <c r="B628" t="s">
        <v>9</v>
      </c>
      <c r="C628" t="s">
        <v>21</v>
      </c>
      <c r="D628" t="s">
        <v>22</v>
      </c>
      <c r="E628">
        <v>45</v>
      </c>
      <c r="F628">
        <v>10391.02</v>
      </c>
      <c r="G628" t="s">
        <v>12</v>
      </c>
      <c r="H628">
        <v>4</v>
      </c>
      <c r="I628">
        <v>9272.49</v>
      </c>
      <c r="J628">
        <v>1118.53</v>
      </c>
      <c r="K628" t="str">
        <f t="shared" si="28"/>
        <v>May</v>
      </c>
      <c r="L628" t="str">
        <f t="shared" si="29"/>
        <v>Q2</v>
      </c>
      <c r="M628">
        <f t="shared" si="27"/>
        <v>2022</v>
      </c>
      <c r="N628" t="s">
        <v>47</v>
      </c>
    </row>
    <row r="629" spans="1:14" ht="14.55" customHeight="1" x14ac:dyDescent="0.3">
      <c r="A629" s="1">
        <v>45172</v>
      </c>
      <c r="B629" t="s">
        <v>31</v>
      </c>
      <c r="C629" t="s">
        <v>21</v>
      </c>
      <c r="D629" t="s">
        <v>32</v>
      </c>
      <c r="E629">
        <v>19</v>
      </c>
      <c r="F629">
        <v>1883.04</v>
      </c>
      <c r="G629" t="s">
        <v>12</v>
      </c>
      <c r="H629">
        <v>4</v>
      </c>
      <c r="I629">
        <v>2386.37</v>
      </c>
      <c r="J629">
        <v>-503.33</v>
      </c>
      <c r="K629" t="str">
        <f t="shared" si="28"/>
        <v>September</v>
      </c>
      <c r="L629" t="str">
        <f t="shared" si="29"/>
        <v>Q3</v>
      </c>
      <c r="M629">
        <f t="shared" si="27"/>
        <v>2023</v>
      </c>
      <c r="N629" t="s">
        <v>44</v>
      </c>
    </row>
    <row r="630" spans="1:14" ht="14.55" customHeight="1" x14ac:dyDescent="0.3">
      <c r="A630" s="1">
        <v>44613</v>
      </c>
      <c r="B630" t="s">
        <v>31</v>
      </c>
      <c r="C630" t="s">
        <v>10</v>
      </c>
      <c r="D630" t="s">
        <v>35</v>
      </c>
      <c r="E630">
        <v>30</v>
      </c>
      <c r="F630">
        <v>12799.01</v>
      </c>
      <c r="G630" t="s">
        <v>20</v>
      </c>
      <c r="H630">
        <v>1</v>
      </c>
      <c r="I630">
        <v>4359.5</v>
      </c>
      <c r="J630">
        <v>8439.51</v>
      </c>
      <c r="K630" t="str">
        <f t="shared" si="28"/>
        <v>February</v>
      </c>
      <c r="L630" t="str">
        <f t="shared" si="29"/>
        <v>Q1</v>
      </c>
      <c r="M630">
        <f t="shared" si="27"/>
        <v>2022</v>
      </c>
      <c r="N630" t="s">
        <v>44</v>
      </c>
    </row>
    <row r="631" spans="1:14" ht="14.55" customHeight="1" x14ac:dyDescent="0.3">
      <c r="A631" s="1">
        <v>45121</v>
      </c>
      <c r="B631" t="s">
        <v>31</v>
      </c>
      <c r="C631" t="s">
        <v>16</v>
      </c>
      <c r="D631" t="s">
        <v>17</v>
      </c>
      <c r="E631">
        <v>10</v>
      </c>
      <c r="F631">
        <v>2931</v>
      </c>
      <c r="G631" t="s">
        <v>12</v>
      </c>
      <c r="H631">
        <v>5</v>
      </c>
      <c r="I631">
        <v>1330.81</v>
      </c>
      <c r="J631">
        <v>1600.19</v>
      </c>
      <c r="K631" t="str">
        <f t="shared" si="28"/>
        <v>July</v>
      </c>
      <c r="L631" t="str">
        <f t="shared" si="29"/>
        <v>Q3</v>
      </c>
      <c r="M631">
        <f t="shared" si="27"/>
        <v>2023</v>
      </c>
      <c r="N631" t="s">
        <v>44</v>
      </c>
    </row>
    <row r="632" spans="1:14" ht="14.55" customHeight="1" x14ac:dyDescent="0.3">
      <c r="A632" s="1">
        <v>45054</v>
      </c>
      <c r="B632" t="s">
        <v>23</v>
      </c>
      <c r="C632" t="s">
        <v>21</v>
      </c>
      <c r="D632" t="s">
        <v>36</v>
      </c>
      <c r="E632">
        <v>43</v>
      </c>
      <c r="F632">
        <v>6064.36</v>
      </c>
      <c r="G632" t="s">
        <v>20</v>
      </c>
      <c r="H632">
        <v>4</v>
      </c>
      <c r="I632">
        <v>3978.53</v>
      </c>
      <c r="J632">
        <v>2085.83</v>
      </c>
      <c r="K632" t="str">
        <f t="shared" si="28"/>
        <v>May</v>
      </c>
      <c r="L632" t="str">
        <f t="shared" si="29"/>
        <v>Q2</v>
      </c>
      <c r="M632">
        <f t="shared" si="27"/>
        <v>2023</v>
      </c>
      <c r="N632" t="s">
        <v>46</v>
      </c>
    </row>
    <row r="633" spans="1:14" ht="14.55" customHeight="1" x14ac:dyDescent="0.3">
      <c r="A633" s="1">
        <v>44853</v>
      </c>
      <c r="B633" t="s">
        <v>23</v>
      </c>
      <c r="C633" t="s">
        <v>21</v>
      </c>
      <c r="D633" t="s">
        <v>32</v>
      </c>
      <c r="E633">
        <v>14</v>
      </c>
      <c r="F633">
        <v>2804.74</v>
      </c>
      <c r="G633" t="s">
        <v>20</v>
      </c>
      <c r="H633">
        <v>2</v>
      </c>
      <c r="I633">
        <v>1820.7</v>
      </c>
      <c r="J633">
        <v>984.04</v>
      </c>
      <c r="K633" t="str">
        <f t="shared" si="28"/>
        <v>October</v>
      </c>
      <c r="L633" t="str">
        <f t="shared" si="29"/>
        <v>Q4</v>
      </c>
      <c r="M633">
        <f t="shared" si="27"/>
        <v>2022</v>
      </c>
      <c r="N633" t="s">
        <v>44</v>
      </c>
    </row>
    <row r="634" spans="1:14" ht="14.55" customHeight="1" x14ac:dyDescent="0.3">
      <c r="A634" s="1">
        <v>44888</v>
      </c>
      <c r="B634" t="s">
        <v>23</v>
      </c>
      <c r="C634" t="s">
        <v>10</v>
      </c>
      <c r="D634" t="s">
        <v>28</v>
      </c>
      <c r="E634">
        <v>27</v>
      </c>
      <c r="F634">
        <v>8737.6299999999992</v>
      </c>
      <c r="G634" t="s">
        <v>20</v>
      </c>
      <c r="H634">
        <v>2</v>
      </c>
      <c r="I634">
        <v>2167.3000000000002</v>
      </c>
      <c r="J634">
        <v>6570.33</v>
      </c>
      <c r="K634" t="str">
        <f t="shared" si="28"/>
        <v>November</v>
      </c>
      <c r="L634" t="str">
        <f t="shared" si="29"/>
        <v>Q4</v>
      </c>
      <c r="M634">
        <f t="shared" si="27"/>
        <v>2022</v>
      </c>
      <c r="N634" t="s">
        <v>44</v>
      </c>
    </row>
    <row r="635" spans="1:14" ht="14.55" customHeight="1" x14ac:dyDescent="0.3">
      <c r="A635" s="1">
        <v>45021</v>
      </c>
      <c r="B635" t="s">
        <v>15</v>
      </c>
      <c r="C635" t="s">
        <v>10</v>
      </c>
      <c r="D635" t="s">
        <v>34</v>
      </c>
      <c r="E635">
        <v>21</v>
      </c>
      <c r="F635">
        <v>341.82</v>
      </c>
      <c r="G635" t="s">
        <v>20</v>
      </c>
      <c r="H635">
        <v>2</v>
      </c>
      <c r="I635">
        <v>4636.8</v>
      </c>
      <c r="J635">
        <v>-4294.9799999999996</v>
      </c>
      <c r="K635" t="str">
        <f t="shared" si="28"/>
        <v>April</v>
      </c>
      <c r="L635" t="str">
        <f t="shared" si="29"/>
        <v>Q2</v>
      </c>
      <c r="M635">
        <f t="shared" si="27"/>
        <v>2023</v>
      </c>
      <c r="N635" t="s">
        <v>44</v>
      </c>
    </row>
    <row r="636" spans="1:14" ht="14.55" customHeight="1" x14ac:dyDescent="0.3">
      <c r="A636" s="1">
        <v>45268</v>
      </c>
      <c r="B636" t="s">
        <v>18</v>
      </c>
      <c r="C636" t="s">
        <v>16</v>
      </c>
      <c r="D636" t="s">
        <v>37</v>
      </c>
      <c r="E636">
        <v>42</v>
      </c>
      <c r="F636">
        <v>10196.1</v>
      </c>
      <c r="G636" t="s">
        <v>20</v>
      </c>
      <c r="H636">
        <v>4</v>
      </c>
      <c r="I636">
        <v>10490.24</v>
      </c>
      <c r="J636">
        <v>-294.14</v>
      </c>
      <c r="K636" t="str">
        <f t="shared" si="28"/>
        <v>December</v>
      </c>
      <c r="L636" t="str">
        <f t="shared" si="29"/>
        <v>Q4</v>
      </c>
      <c r="M636">
        <f t="shared" si="27"/>
        <v>2023</v>
      </c>
      <c r="N636" t="s">
        <v>46</v>
      </c>
    </row>
    <row r="637" spans="1:14" ht="14.55" customHeight="1" x14ac:dyDescent="0.3">
      <c r="A637" s="1">
        <v>45166</v>
      </c>
      <c r="B637" t="s">
        <v>18</v>
      </c>
      <c r="C637" t="s">
        <v>21</v>
      </c>
      <c r="D637" t="s">
        <v>36</v>
      </c>
      <c r="E637">
        <v>15</v>
      </c>
      <c r="F637">
        <v>5410.28</v>
      </c>
      <c r="G637" t="s">
        <v>12</v>
      </c>
      <c r="H637">
        <v>4</v>
      </c>
      <c r="I637">
        <v>2815.63</v>
      </c>
      <c r="J637">
        <v>2594.65</v>
      </c>
      <c r="K637" t="str">
        <f t="shared" si="28"/>
        <v>August</v>
      </c>
      <c r="L637" t="str">
        <f t="shared" si="29"/>
        <v>Q3</v>
      </c>
      <c r="M637">
        <f t="shared" si="27"/>
        <v>2023</v>
      </c>
      <c r="N637" t="s">
        <v>44</v>
      </c>
    </row>
    <row r="638" spans="1:14" ht="14.55" customHeight="1" x14ac:dyDescent="0.3">
      <c r="A638" s="1">
        <v>45272</v>
      </c>
      <c r="B638" t="s">
        <v>23</v>
      </c>
      <c r="C638" t="s">
        <v>10</v>
      </c>
      <c r="D638" t="s">
        <v>34</v>
      </c>
      <c r="E638">
        <v>28</v>
      </c>
      <c r="F638">
        <v>13548.86</v>
      </c>
      <c r="G638" t="s">
        <v>12</v>
      </c>
      <c r="H638">
        <v>4</v>
      </c>
      <c r="I638">
        <v>6007.64</v>
      </c>
      <c r="J638">
        <v>7541.22</v>
      </c>
      <c r="K638" t="str">
        <f t="shared" si="28"/>
        <v>December</v>
      </c>
      <c r="L638" t="str">
        <f t="shared" si="29"/>
        <v>Q4</v>
      </c>
      <c r="M638">
        <f t="shared" si="27"/>
        <v>2023</v>
      </c>
      <c r="N638" t="s">
        <v>44</v>
      </c>
    </row>
    <row r="639" spans="1:14" ht="14.55" customHeight="1" x14ac:dyDescent="0.3">
      <c r="A639" s="1">
        <v>44569</v>
      </c>
      <c r="B639" t="s">
        <v>9</v>
      </c>
      <c r="C639" t="s">
        <v>21</v>
      </c>
      <c r="D639" t="s">
        <v>33</v>
      </c>
      <c r="E639">
        <v>38</v>
      </c>
      <c r="F639">
        <v>9334.93</v>
      </c>
      <c r="G639" t="s">
        <v>12</v>
      </c>
      <c r="H639">
        <v>4</v>
      </c>
      <c r="I639">
        <v>8589.1299999999992</v>
      </c>
      <c r="J639">
        <v>745.8</v>
      </c>
      <c r="K639" t="str">
        <f t="shared" si="28"/>
        <v>January</v>
      </c>
      <c r="L639" t="str">
        <f t="shared" si="29"/>
        <v>Q1</v>
      </c>
      <c r="M639">
        <f t="shared" si="27"/>
        <v>2022</v>
      </c>
      <c r="N639" t="s">
        <v>44</v>
      </c>
    </row>
    <row r="640" spans="1:14" ht="14.55" customHeight="1" x14ac:dyDescent="0.3">
      <c r="A640" s="1">
        <v>45022</v>
      </c>
      <c r="B640" t="s">
        <v>18</v>
      </c>
      <c r="C640" t="s">
        <v>21</v>
      </c>
      <c r="D640" t="s">
        <v>22</v>
      </c>
      <c r="E640">
        <v>41</v>
      </c>
      <c r="F640">
        <v>6805.98</v>
      </c>
      <c r="G640" t="s">
        <v>12</v>
      </c>
      <c r="H640">
        <v>2</v>
      </c>
      <c r="I640">
        <v>5379.16</v>
      </c>
      <c r="J640">
        <v>1426.82</v>
      </c>
      <c r="K640" t="str">
        <f t="shared" si="28"/>
        <v>April</v>
      </c>
      <c r="L640" t="str">
        <f t="shared" si="29"/>
        <v>Q2</v>
      </c>
      <c r="M640">
        <f t="shared" si="27"/>
        <v>2023</v>
      </c>
      <c r="N640" t="s">
        <v>46</v>
      </c>
    </row>
    <row r="641" spans="1:14" ht="14.55" customHeight="1" x14ac:dyDescent="0.3">
      <c r="A641" s="1">
        <v>44686</v>
      </c>
      <c r="B641" t="s">
        <v>18</v>
      </c>
      <c r="C641" t="s">
        <v>13</v>
      </c>
      <c r="D641" t="s">
        <v>29</v>
      </c>
      <c r="E641">
        <v>39</v>
      </c>
      <c r="F641">
        <v>14974.48</v>
      </c>
      <c r="G641" t="s">
        <v>20</v>
      </c>
      <c r="H641">
        <v>5</v>
      </c>
      <c r="I641">
        <v>6765.98</v>
      </c>
      <c r="J641">
        <v>8208.5</v>
      </c>
      <c r="K641" t="str">
        <f t="shared" si="28"/>
        <v>May</v>
      </c>
      <c r="L641" t="str">
        <f t="shared" si="29"/>
        <v>Q2</v>
      </c>
      <c r="M641">
        <f t="shared" si="27"/>
        <v>2022</v>
      </c>
      <c r="N641" t="s">
        <v>44</v>
      </c>
    </row>
    <row r="642" spans="1:14" ht="14.55" customHeight="1" x14ac:dyDescent="0.3">
      <c r="A642" s="1">
        <v>45228</v>
      </c>
      <c r="B642" t="s">
        <v>31</v>
      </c>
      <c r="C642" t="s">
        <v>25</v>
      </c>
      <c r="D642" t="s">
        <v>30</v>
      </c>
      <c r="E642">
        <v>47</v>
      </c>
      <c r="F642">
        <v>473.22</v>
      </c>
      <c r="G642" t="s">
        <v>12</v>
      </c>
      <c r="H642">
        <v>4</v>
      </c>
      <c r="I642">
        <v>594.80999999999995</v>
      </c>
      <c r="J642">
        <v>-121.59</v>
      </c>
      <c r="K642" t="str">
        <f t="shared" si="28"/>
        <v>October</v>
      </c>
      <c r="L642" t="str">
        <f t="shared" si="29"/>
        <v>Q4</v>
      </c>
      <c r="M642">
        <f t="shared" ref="M642:M705" si="30">YEAR(A642)</f>
        <v>2023</v>
      </c>
      <c r="N642" t="s">
        <v>44</v>
      </c>
    </row>
    <row r="643" spans="1:14" ht="14.55" customHeight="1" x14ac:dyDescent="0.3">
      <c r="A643" s="1">
        <v>44691</v>
      </c>
      <c r="B643" t="s">
        <v>31</v>
      </c>
      <c r="C643" t="s">
        <v>21</v>
      </c>
      <c r="D643" t="s">
        <v>36</v>
      </c>
      <c r="E643">
        <v>15</v>
      </c>
      <c r="F643">
        <v>6254.53</v>
      </c>
      <c r="G643" t="s">
        <v>12</v>
      </c>
      <c r="H643">
        <v>1</v>
      </c>
      <c r="I643">
        <v>2068.39</v>
      </c>
      <c r="J643">
        <v>4186.1400000000003</v>
      </c>
      <c r="K643" t="str">
        <f t="shared" ref="K643:K706" si="31">TEXT(A643,"mmmm")</f>
        <v>May</v>
      </c>
      <c r="L643" t="str">
        <f t="shared" ref="L643:L706" si="32">"Q"&amp;INT((MONTH(A643)-1)/3)+1</f>
        <v>Q2</v>
      </c>
      <c r="M643">
        <f t="shared" si="30"/>
        <v>2022</v>
      </c>
      <c r="N643" t="s">
        <v>45</v>
      </c>
    </row>
    <row r="644" spans="1:14" ht="14.55" customHeight="1" x14ac:dyDescent="0.3">
      <c r="A644" s="1">
        <v>44732</v>
      </c>
      <c r="B644" t="s">
        <v>18</v>
      </c>
      <c r="C644" t="s">
        <v>13</v>
      </c>
      <c r="D644" t="s">
        <v>14</v>
      </c>
      <c r="E644">
        <v>16</v>
      </c>
      <c r="F644">
        <v>5208.91</v>
      </c>
      <c r="G644" t="s">
        <v>12</v>
      </c>
      <c r="H644">
        <v>5</v>
      </c>
      <c r="I644">
        <v>2330.1999999999998</v>
      </c>
      <c r="J644">
        <v>2878.71</v>
      </c>
      <c r="K644" t="str">
        <f t="shared" si="31"/>
        <v>June</v>
      </c>
      <c r="L644" t="str">
        <f t="shared" si="32"/>
        <v>Q2</v>
      </c>
      <c r="M644">
        <f t="shared" si="30"/>
        <v>2022</v>
      </c>
      <c r="N644" t="s">
        <v>44</v>
      </c>
    </row>
    <row r="645" spans="1:14" ht="14.55" customHeight="1" x14ac:dyDescent="0.3">
      <c r="A645" s="1">
        <v>45142</v>
      </c>
      <c r="B645" t="s">
        <v>18</v>
      </c>
      <c r="C645" t="s">
        <v>21</v>
      </c>
      <c r="D645" t="s">
        <v>36</v>
      </c>
      <c r="E645">
        <v>13</v>
      </c>
      <c r="F645">
        <v>5152.55</v>
      </c>
      <c r="G645" t="s">
        <v>20</v>
      </c>
      <c r="H645">
        <v>5</v>
      </c>
      <c r="I645">
        <v>1101.3599999999999</v>
      </c>
      <c r="J645">
        <v>4051.19</v>
      </c>
      <c r="K645" t="str">
        <f t="shared" si="31"/>
        <v>August</v>
      </c>
      <c r="L645" t="str">
        <f t="shared" si="32"/>
        <v>Q3</v>
      </c>
      <c r="M645">
        <f t="shared" si="30"/>
        <v>2023</v>
      </c>
      <c r="N645" t="s">
        <v>44</v>
      </c>
    </row>
    <row r="646" spans="1:14" ht="14.55" customHeight="1" x14ac:dyDescent="0.3">
      <c r="A646" s="1">
        <v>44576</v>
      </c>
      <c r="B646" t="s">
        <v>9</v>
      </c>
      <c r="C646" t="s">
        <v>21</v>
      </c>
      <c r="D646" t="s">
        <v>36</v>
      </c>
      <c r="E646">
        <v>36</v>
      </c>
      <c r="F646">
        <v>2404.2399999999998</v>
      </c>
      <c r="G646" t="s">
        <v>20</v>
      </c>
      <c r="H646">
        <v>2</v>
      </c>
      <c r="I646">
        <v>4255.17</v>
      </c>
      <c r="J646">
        <v>-1850.93</v>
      </c>
      <c r="K646" t="str">
        <f t="shared" si="31"/>
        <v>January</v>
      </c>
      <c r="L646" t="str">
        <f t="shared" si="32"/>
        <v>Q1</v>
      </c>
      <c r="M646">
        <f t="shared" si="30"/>
        <v>2022</v>
      </c>
      <c r="N646" t="s">
        <v>44</v>
      </c>
    </row>
    <row r="647" spans="1:14" ht="14.55" customHeight="1" x14ac:dyDescent="0.3">
      <c r="A647" s="1">
        <v>44648</v>
      </c>
      <c r="B647" t="s">
        <v>9</v>
      </c>
      <c r="C647" t="s">
        <v>16</v>
      </c>
      <c r="D647" t="s">
        <v>17</v>
      </c>
      <c r="E647">
        <v>34</v>
      </c>
      <c r="F647">
        <v>5325.46</v>
      </c>
      <c r="G647" t="s">
        <v>20</v>
      </c>
      <c r="H647">
        <v>4</v>
      </c>
      <c r="I647">
        <v>3004.23</v>
      </c>
      <c r="J647">
        <v>2321.23</v>
      </c>
      <c r="K647" t="str">
        <f t="shared" si="31"/>
        <v>March</v>
      </c>
      <c r="L647" t="str">
        <f t="shared" si="32"/>
        <v>Q1</v>
      </c>
      <c r="M647">
        <f t="shared" si="30"/>
        <v>2022</v>
      </c>
      <c r="N647" t="s">
        <v>44</v>
      </c>
    </row>
    <row r="648" spans="1:14" ht="14.55" customHeight="1" x14ac:dyDescent="0.3">
      <c r="A648" s="1">
        <v>45090</v>
      </c>
      <c r="B648" t="s">
        <v>23</v>
      </c>
      <c r="C648" t="s">
        <v>10</v>
      </c>
      <c r="D648" t="s">
        <v>28</v>
      </c>
      <c r="E648">
        <v>33</v>
      </c>
      <c r="F648">
        <v>5030.46</v>
      </c>
      <c r="G648" t="s">
        <v>12</v>
      </c>
      <c r="H648">
        <v>4</v>
      </c>
      <c r="I648">
        <v>5347.83</v>
      </c>
      <c r="J648">
        <v>-317.37</v>
      </c>
      <c r="K648" t="str">
        <f t="shared" si="31"/>
        <v>June</v>
      </c>
      <c r="L648" t="str">
        <f t="shared" si="32"/>
        <v>Q2</v>
      </c>
      <c r="M648">
        <f t="shared" si="30"/>
        <v>2023</v>
      </c>
      <c r="N648" t="s">
        <v>46</v>
      </c>
    </row>
    <row r="649" spans="1:14" ht="14.55" customHeight="1" x14ac:dyDescent="0.3">
      <c r="A649" s="1">
        <v>44953</v>
      </c>
      <c r="B649" t="s">
        <v>23</v>
      </c>
      <c r="C649" t="s">
        <v>21</v>
      </c>
      <c r="D649" t="s">
        <v>36</v>
      </c>
      <c r="E649">
        <v>42</v>
      </c>
      <c r="F649">
        <v>20321.02</v>
      </c>
      <c r="G649" t="s">
        <v>12</v>
      </c>
      <c r="H649">
        <v>3</v>
      </c>
      <c r="I649">
        <v>9698.5</v>
      </c>
      <c r="J649">
        <v>10622.52</v>
      </c>
      <c r="K649" t="str">
        <f t="shared" si="31"/>
        <v>January</v>
      </c>
      <c r="L649" t="str">
        <f t="shared" si="32"/>
        <v>Q1</v>
      </c>
      <c r="M649">
        <f t="shared" si="30"/>
        <v>2023</v>
      </c>
      <c r="N649" t="s">
        <v>46</v>
      </c>
    </row>
    <row r="650" spans="1:14" ht="14.55" customHeight="1" x14ac:dyDescent="0.3">
      <c r="A650" s="1">
        <v>44837</v>
      </c>
      <c r="B650" t="s">
        <v>18</v>
      </c>
      <c r="C650" t="s">
        <v>10</v>
      </c>
      <c r="D650" t="s">
        <v>34</v>
      </c>
      <c r="E650">
        <v>41</v>
      </c>
      <c r="F650">
        <v>7358.74</v>
      </c>
      <c r="G650" t="s">
        <v>20</v>
      </c>
      <c r="H650">
        <v>4</v>
      </c>
      <c r="I650">
        <v>8420.2099999999991</v>
      </c>
      <c r="J650">
        <v>-1061.47</v>
      </c>
      <c r="K650" t="str">
        <f t="shared" si="31"/>
        <v>October</v>
      </c>
      <c r="L650" t="str">
        <f t="shared" si="32"/>
        <v>Q4</v>
      </c>
      <c r="M650">
        <f t="shared" si="30"/>
        <v>2022</v>
      </c>
      <c r="N650" t="s">
        <v>44</v>
      </c>
    </row>
    <row r="651" spans="1:14" ht="14.55" customHeight="1" x14ac:dyDescent="0.3">
      <c r="A651" s="1">
        <v>44924</v>
      </c>
      <c r="B651" t="s">
        <v>18</v>
      </c>
      <c r="C651" t="s">
        <v>13</v>
      </c>
      <c r="D651" t="s">
        <v>40</v>
      </c>
      <c r="E651">
        <v>20</v>
      </c>
      <c r="F651">
        <v>4518.74</v>
      </c>
      <c r="G651" t="s">
        <v>12</v>
      </c>
      <c r="H651">
        <v>1</v>
      </c>
      <c r="I651">
        <v>1024.73</v>
      </c>
      <c r="J651">
        <v>3494.01</v>
      </c>
      <c r="K651" t="str">
        <f t="shared" si="31"/>
        <v>December</v>
      </c>
      <c r="L651" t="str">
        <f t="shared" si="32"/>
        <v>Q4</v>
      </c>
      <c r="M651">
        <f t="shared" si="30"/>
        <v>2022</v>
      </c>
      <c r="N651" t="s">
        <v>44</v>
      </c>
    </row>
    <row r="652" spans="1:14" ht="14.55" customHeight="1" x14ac:dyDescent="0.3">
      <c r="A652" s="1">
        <v>44891</v>
      </c>
      <c r="B652" t="s">
        <v>18</v>
      </c>
      <c r="C652" t="s">
        <v>16</v>
      </c>
      <c r="D652" t="s">
        <v>37</v>
      </c>
      <c r="E652">
        <v>18</v>
      </c>
      <c r="F652">
        <v>7501.52</v>
      </c>
      <c r="G652" t="s">
        <v>12</v>
      </c>
      <c r="H652">
        <v>4</v>
      </c>
      <c r="I652">
        <v>2235.9499999999998</v>
      </c>
      <c r="J652">
        <v>5265.57</v>
      </c>
      <c r="K652" t="str">
        <f t="shared" si="31"/>
        <v>November</v>
      </c>
      <c r="L652" t="str">
        <f t="shared" si="32"/>
        <v>Q4</v>
      </c>
      <c r="M652">
        <f t="shared" si="30"/>
        <v>2022</v>
      </c>
      <c r="N652" t="s">
        <v>45</v>
      </c>
    </row>
    <row r="653" spans="1:14" ht="14.55" customHeight="1" x14ac:dyDescent="0.3">
      <c r="A653" s="1">
        <v>44864</v>
      </c>
      <c r="B653" t="s">
        <v>23</v>
      </c>
      <c r="C653" t="s">
        <v>21</v>
      </c>
      <c r="D653" t="s">
        <v>33</v>
      </c>
      <c r="E653">
        <v>25</v>
      </c>
      <c r="F653">
        <v>5224</v>
      </c>
      <c r="G653" t="s">
        <v>12</v>
      </c>
      <c r="H653">
        <v>3</v>
      </c>
      <c r="I653">
        <v>3009.3</v>
      </c>
      <c r="J653">
        <v>2214.6999999999998</v>
      </c>
      <c r="K653" t="str">
        <f t="shared" si="31"/>
        <v>October</v>
      </c>
      <c r="L653" t="str">
        <f t="shared" si="32"/>
        <v>Q4</v>
      </c>
      <c r="M653">
        <f t="shared" si="30"/>
        <v>2022</v>
      </c>
      <c r="N653" t="s">
        <v>44</v>
      </c>
    </row>
    <row r="654" spans="1:14" ht="14.55" customHeight="1" x14ac:dyDescent="0.3">
      <c r="A654" s="1">
        <v>44695</v>
      </c>
      <c r="B654" t="s">
        <v>15</v>
      </c>
      <c r="C654" t="s">
        <v>25</v>
      </c>
      <c r="D654" t="s">
        <v>39</v>
      </c>
      <c r="E654">
        <v>24</v>
      </c>
      <c r="F654">
        <v>10605.65</v>
      </c>
      <c r="G654" t="s">
        <v>12</v>
      </c>
      <c r="H654">
        <v>4</v>
      </c>
      <c r="I654">
        <v>1236.1400000000001</v>
      </c>
      <c r="J654">
        <v>9369.51</v>
      </c>
      <c r="K654" t="str">
        <f t="shared" si="31"/>
        <v>May</v>
      </c>
      <c r="L654" t="str">
        <f t="shared" si="32"/>
        <v>Q2</v>
      </c>
      <c r="M654">
        <f t="shared" si="30"/>
        <v>2022</v>
      </c>
      <c r="N654" t="s">
        <v>44</v>
      </c>
    </row>
    <row r="655" spans="1:14" ht="14.55" customHeight="1" x14ac:dyDescent="0.3">
      <c r="A655" s="1">
        <v>45146</v>
      </c>
      <c r="B655" t="s">
        <v>18</v>
      </c>
      <c r="C655" t="s">
        <v>21</v>
      </c>
      <c r="D655" t="s">
        <v>33</v>
      </c>
      <c r="E655">
        <v>22</v>
      </c>
      <c r="F655">
        <v>2817.42</v>
      </c>
      <c r="G655" t="s">
        <v>12</v>
      </c>
      <c r="H655">
        <v>4</v>
      </c>
      <c r="I655">
        <v>5256.7</v>
      </c>
      <c r="J655">
        <v>-2439.2800000000002</v>
      </c>
      <c r="K655" t="str">
        <f t="shared" si="31"/>
        <v>August</v>
      </c>
      <c r="L655" t="str">
        <f t="shared" si="32"/>
        <v>Q3</v>
      </c>
      <c r="M655">
        <f t="shared" si="30"/>
        <v>2023</v>
      </c>
      <c r="N655" t="s">
        <v>46</v>
      </c>
    </row>
    <row r="656" spans="1:14" ht="14.55" customHeight="1" x14ac:dyDescent="0.3">
      <c r="A656" s="1">
        <v>44817</v>
      </c>
      <c r="B656" t="s">
        <v>15</v>
      </c>
      <c r="C656" t="s">
        <v>16</v>
      </c>
      <c r="D656" t="s">
        <v>37</v>
      </c>
      <c r="E656">
        <v>18</v>
      </c>
      <c r="F656">
        <v>3574.96</v>
      </c>
      <c r="G656" t="s">
        <v>20</v>
      </c>
      <c r="H656">
        <v>2</v>
      </c>
      <c r="I656">
        <v>2159.59</v>
      </c>
      <c r="J656">
        <v>1415.37</v>
      </c>
      <c r="K656" t="str">
        <f t="shared" si="31"/>
        <v>September</v>
      </c>
      <c r="L656" t="str">
        <f t="shared" si="32"/>
        <v>Q3</v>
      </c>
      <c r="M656">
        <f t="shared" si="30"/>
        <v>2022</v>
      </c>
      <c r="N656" t="s">
        <v>44</v>
      </c>
    </row>
    <row r="657" spans="1:14" ht="14.55" customHeight="1" x14ac:dyDescent="0.3">
      <c r="A657" s="1">
        <v>45191</v>
      </c>
      <c r="B657" t="s">
        <v>31</v>
      </c>
      <c r="C657" t="s">
        <v>13</v>
      </c>
      <c r="D657" t="s">
        <v>40</v>
      </c>
      <c r="E657">
        <v>24</v>
      </c>
      <c r="F657">
        <v>8149.93</v>
      </c>
      <c r="G657" t="s">
        <v>20</v>
      </c>
      <c r="H657">
        <v>2</v>
      </c>
      <c r="I657">
        <v>598.85</v>
      </c>
      <c r="J657">
        <v>7551.08</v>
      </c>
      <c r="K657" t="str">
        <f t="shared" si="31"/>
        <v>September</v>
      </c>
      <c r="L657" t="str">
        <f t="shared" si="32"/>
        <v>Q3</v>
      </c>
      <c r="M657">
        <f t="shared" si="30"/>
        <v>2023</v>
      </c>
      <c r="N657" t="s">
        <v>44</v>
      </c>
    </row>
    <row r="658" spans="1:14" ht="14.55" customHeight="1" x14ac:dyDescent="0.3">
      <c r="A658" s="1">
        <v>44570</v>
      </c>
      <c r="B658" t="s">
        <v>23</v>
      </c>
      <c r="C658" t="s">
        <v>25</v>
      </c>
      <c r="D658" t="s">
        <v>38</v>
      </c>
      <c r="E658">
        <v>27</v>
      </c>
      <c r="F658">
        <v>12207.23</v>
      </c>
      <c r="G658" t="s">
        <v>12</v>
      </c>
      <c r="H658">
        <v>2</v>
      </c>
      <c r="I658">
        <v>6726.36</v>
      </c>
      <c r="J658">
        <v>5480.87</v>
      </c>
      <c r="K658" t="str">
        <f t="shared" si="31"/>
        <v>January</v>
      </c>
      <c r="L658" t="str">
        <f t="shared" si="32"/>
        <v>Q1</v>
      </c>
      <c r="M658">
        <f t="shared" si="30"/>
        <v>2022</v>
      </c>
      <c r="N658" t="s">
        <v>45</v>
      </c>
    </row>
    <row r="659" spans="1:14" ht="14.55" customHeight="1" x14ac:dyDescent="0.3">
      <c r="A659" s="1">
        <v>45129</v>
      </c>
      <c r="B659" t="s">
        <v>31</v>
      </c>
      <c r="C659" t="s">
        <v>10</v>
      </c>
      <c r="D659" t="s">
        <v>28</v>
      </c>
      <c r="E659">
        <v>32</v>
      </c>
      <c r="F659">
        <v>7062.28</v>
      </c>
      <c r="G659" t="s">
        <v>12</v>
      </c>
      <c r="H659">
        <v>2</v>
      </c>
      <c r="I659">
        <v>5450.48</v>
      </c>
      <c r="J659">
        <v>1611.8</v>
      </c>
      <c r="K659" t="str">
        <f t="shared" si="31"/>
        <v>July</v>
      </c>
      <c r="L659" t="str">
        <f t="shared" si="32"/>
        <v>Q3</v>
      </c>
      <c r="M659">
        <f t="shared" si="30"/>
        <v>2023</v>
      </c>
      <c r="N659" t="s">
        <v>46</v>
      </c>
    </row>
    <row r="660" spans="1:14" ht="14.55" customHeight="1" x14ac:dyDescent="0.3">
      <c r="A660" s="1">
        <v>45178</v>
      </c>
      <c r="B660" t="s">
        <v>18</v>
      </c>
      <c r="C660" t="s">
        <v>21</v>
      </c>
      <c r="D660" t="s">
        <v>32</v>
      </c>
      <c r="E660">
        <v>21</v>
      </c>
      <c r="F660">
        <v>8169.97</v>
      </c>
      <c r="G660" t="s">
        <v>20</v>
      </c>
      <c r="H660">
        <v>2</v>
      </c>
      <c r="I660">
        <v>1156.96</v>
      </c>
      <c r="J660">
        <v>7013.01</v>
      </c>
      <c r="K660" t="str">
        <f t="shared" si="31"/>
        <v>September</v>
      </c>
      <c r="L660" t="str">
        <f t="shared" si="32"/>
        <v>Q3</v>
      </c>
      <c r="M660">
        <f t="shared" si="30"/>
        <v>2023</v>
      </c>
      <c r="N660" t="s">
        <v>46</v>
      </c>
    </row>
    <row r="661" spans="1:14" ht="14.55" customHeight="1" x14ac:dyDescent="0.3">
      <c r="A661" s="1">
        <v>45178</v>
      </c>
      <c r="B661" t="s">
        <v>23</v>
      </c>
      <c r="C661" t="s">
        <v>21</v>
      </c>
      <c r="D661" t="s">
        <v>32</v>
      </c>
      <c r="E661">
        <v>45</v>
      </c>
      <c r="F661">
        <v>22188.7</v>
      </c>
      <c r="G661" t="s">
        <v>12</v>
      </c>
      <c r="H661">
        <v>4</v>
      </c>
      <c r="I661">
        <v>8047.71</v>
      </c>
      <c r="J661">
        <v>14140.99</v>
      </c>
      <c r="K661" t="str">
        <f t="shared" si="31"/>
        <v>September</v>
      </c>
      <c r="L661" t="str">
        <f t="shared" si="32"/>
        <v>Q3</v>
      </c>
      <c r="M661">
        <f t="shared" si="30"/>
        <v>2023</v>
      </c>
      <c r="N661" t="s">
        <v>44</v>
      </c>
    </row>
    <row r="662" spans="1:14" ht="14.55" customHeight="1" x14ac:dyDescent="0.3">
      <c r="A662" s="1">
        <v>44995</v>
      </c>
      <c r="B662" t="s">
        <v>31</v>
      </c>
      <c r="C662" t="s">
        <v>25</v>
      </c>
      <c r="D662" t="s">
        <v>38</v>
      </c>
      <c r="E662">
        <v>4</v>
      </c>
      <c r="F662">
        <v>1210.55</v>
      </c>
      <c r="G662" t="s">
        <v>20</v>
      </c>
      <c r="H662">
        <v>3</v>
      </c>
      <c r="I662">
        <v>88.78</v>
      </c>
      <c r="J662">
        <v>1121.77</v>
      </c>
      <c r="K662" t="str">
        <f t="shared" si="31"/>
        <v>March</v>
      </c>
      <c r="L662" t="str">
        <f t="shared" si="32"/>
        <v>Q1</v>
      </c>
      <c r="M662">
        <f t="shared" si="30"/>
        <v>2023</v>
      </c>
      <c r="N662" t="s">
        <v>46</v>
      </c>
    </row>
    <row r="663" spans="1:14" ht="14.55" customHeight="1" x14ac:dyDescent="0.3">
      <c r="A663" s="1">
        <v>45047</v>
      </c>
      <c r="B663" t="s">
        <v>9</v>
      </c>
      <c r="C663" t="s">
        <v>25</v>
      </c>
      <c r="D663" t="s">
        <v>39</v>
      </c>
      <c r="E663">
        <v>32</v>
      </c>
      <c r="F663">
        <v>14105.36</v>
      </c>
      <c r="G663" t="s">
        <v>20</v>
      </c>
      <c r="H663">
        <v>2</v>
      </c>
      <c r="I663">
        <v>2857.72</v>
      </c>
      <c r="J663">
        <v>11247.64</v>
      </c>
      <c r="K663" t="str">
        <f t="shared" si="31"/>
        <v>May</v>
      </c>
      <c r="L663" t="str">
        <f t="shared" si="32"/>
        <v>Q2</v>
      </c>
      <c r="M663">
        <f t="shared" si="30"/>
        <v>2023</v>
      </c>
      <c r="N663" t="s">
        <v>44</v>
      </c>
    </row>
    <row r="664" spans="1:14" ht="14.55" customHeight="1" x14ac:dyDescent="0.3">
      <c r="A664" s="1">
        <v>44865</v>
      </c>
      <c r="B664" t="s">
        <v>23</v>
      </c>
      <c r="C664" t="s">
        <v>21</v>
      </c>
      <c r="D664" t="s">
        <v>32</v>
      </c>
      <c r="E664">
        <v>7</v>
      </c>
      <c r="F664">
        <v>3251.33</v>
      </c>
      <c r="G664" t="s">
        <v>20</v>
      </c>
      <c r="H664">
        <v>3</v>
      </c>
      <c r="I664">
        <v>1302.3499999999999</v>
      </c>
      <c r="J664">
        <v>1948.98</v>
      </c>
      <c r="K664" t="str">
        <f t="shared" si="31"/>
        <v>October</v>
      </c>
      <c r="L664" t="str">
        <f t="shared" si="32"/>
        <v>Q4</v>
      </c>
      <c r="M664">
        <f t="shared" si="30"/>
        <v>2022</v>
      </c>
      <c r="N664" t="s">
        <v>45</v>
      </c>
    </row>
    <row r="665" spans="1:14" ht="14.55" customHeight="1" x14ac:dyDescent="0.3">
      <c r="A665" s="1">
        <v>45279</v>
      </c>
      <c r="B665" t="s">
        <v>15</v>
      </c>
      <c r="C665" t="s">
        <v>25</v>
      </c>
      <c r="D665" t="s">
        <v>30</v>
      </c>
      <c r="E665">
        <v>18</v>
      </c>
      <c r="F665">
        <v>8870.85</v>
      </c>
      <c r="G665" t="s">
        <v>20</v>
      </c>
      <c r="H665">
        <v>5</v>
      </c>
      <c r="I665">
        <v>4022.1</v>
      </c>
      <c r="J665">
        <v>4848.75</v>
      </c>
      <c r="K665" t="str">
        <f t="shared" si="31"/>
        <v>December</v>
      </c>
      <c r="L665" t="str">
        <f t="shared" si="32"/>
        <v>Q4</v>
      </c>
      <c r="M665">
        <f t="shared" si="30"/>
        <v>2023</v>
      </c>
      <c r="N665" t="s">
        <v>44</v>
      </c>
    </row>
    <row r="666" spans="1:14" ht="14.55" customHeight="1" x14ac:dyDescent="0.3">
      <c r="A666" s="1">
        <v>44898</v>
      </c>
      <c r="B666" t="s">
        <v>18</v>
      </c>
      <c r="C666" t="s">
        <v>13</v>
      </c>
      <c r="D666" t="s">
        <v>29</v>
      </c>
      <c r="E666">
        <v>4</v>
      </c>
      <c r="F666">
        <v>1118.33</v>
      </c>
      <c r="G666" t="s">
        <v>12</v>
      </c>
      <c r="H666">
        <v>2</v>
      </c>
      <c r="I666">
        <v>101.84</v>
      </c>
      <c r="J666">
        <v>1016.49</v>
      </c>
      <c r="K666" t="str">
        <f t="shared" si="31"/>
        <v>December</v>
      </c>
      <c r="L666" t="str">
        <f t="shared" si="32"/>
        <v>Q4</v>
      </c>
      <c r="M666">
        <f t="shared" si="30"/>
        <v>2022</v>
      </c>
      <c r="N666" t="s">
        <v>46</v>
      </c>
    </row>
    <row r="667" spans="1:14" ht="14.55" customHeight="1" x14ac:dyDescent="0.3">
      <c r="A667" s="1">
        <v>45292</v>
      </c>
      <c r="B667" t="s">
        <v>23</v>
      </c>
      <c r="C667" t="s">
        <v>13</v>
      </c>
      <c r="D667" t="s">
        <v>40</v>
      </c>
      <c r="E667">
        <v>45</v>
      </c>
      <c r="F667">
        <v>5584.11</v>
      </c>
      <c r="G667" t="s">
        <v>12</v>
      </c>
      <c r="H667">
        <v>5</v>
      </c>
      <c r="I667">
        <v>10181.040000000001</v>
      </c>
      <c r="J667">
        <v>-4596.93</v>
      </c>
      <c r="K667" t="str">
        <f t="shared" si="31"/>
        <v>January</v>
      </c>
      <c r="L667" t="str">
        <f t="shared" si="32"/>
        <v>Q1</v>
      </c>
      <c r="M667">
        <f t="shared" si="30"/>
        <v>2024</v>
      </c>
      <c r="N667" t="s">
        <v>44</v>
      </c>
    </row>
    <row r="668" spans="1:14" ht="14.55" customHeight="1" x14ac:dyDescent="0.3">
      <c r="A668" s="1">
        <v>45070</v>
      </c>
      <c r="B668" t="s">
        <v>18</v>
      </c>
      <c r="C668" t="s">
        <v>10</v>
      </c>
      <c r="D668" t="s">
        <v>11</v>
      </c>
      <c r="E668">
        <v>35</v>
      </c>
      <c r="F668">
        <v>9292.0499999999993</v>
      </c>
      <c r="G668" t="s">
        <v>20</v>
      </c>
      <c r="H668">
        <v>4</v>
      </c>
      <c r="I668">
        <v>446.85</v>
      </c>
      <c r="J668">
        <v>8845.2000000000007</v>
      </c>
      <c r="K668" t="str">
        <f t="shared" si="31"/>
        <v>May</v>
      </c>
      <c r="L668" t="str">
        <f t="shared" si="32"/>
        <v>Q2</v>
      </c>
      <c r="M668">
        <f t="shared" si="30"/>
        <v>2023</v>
      </c>
      <c r="N668" t="s">
        <v>45</v>
      </c>
    </row>
    <row r="669" spans="1:14" ht="14.55" customHeight="1" x14ac:dyDescent="0.3">
      <c r="A669" s="1">
        <v>45019</v>
      </c>
      <c r="B669" t="s">
        <v>18</v>
      </c>
      <c r="C669" t="s">
        <v>13</v>
      </c>
      <c r="D669" t="s">
        <v>19</v>
      </c>
      <c r="E669">
        <v>3</v>
      </c>
      <c r="F669">
        <v>641.91999999999996</v>
      </c>
      <c r="G669" t="s">
        <v>12</v>
      </c>
      <c r="H669">
        <v>1</v>
      </c>
      <c r="I669">
        <v>20.059999999999999</v>
      </c>
      <c r="J669">
        <v>621.86</v>
      </c>
      <c r="K669" t="str">
        <f t="shared" si="31"/>
        <v>April</v>
      </c>
      <c r="L669" t="str">
        <f t="shared" si="32"/>
        <v>Q2</v>
      </c>
      <c r="M669">
        <f t="shared" si="30"/>
        <v>2023</v>
      </c>
      <c r="N669" t="s">
        <v>46</v>
      </c>
    </row>
    <row r="670" spans="1:14" ht="14.55" customHeight="1" x14ac:dyDescent="0.3">
      <c r="A670" s="1">
        <v>44590</v>
      </c>
      <c r="B670" t="s">
        <v>9</v>
      </c>
      <c r="C670" t="s">
        <v>21</v>
      </c>
      <c r="D670" t="s">
        <v>33</v>
      </c>
      <c r="E670">
        <v>25</v>
      </c>
      <c r="F670">
        <v>6475.4</v>
      </c>
      <c r="G670" t="s">
        <v>20</v>
      </c>
      <c r="H670">
        <v>2</v>
      </c>
      <c r="I670">
        <v>178.17</v>
      </c>
      <c r="J670">
        <v>6297.23</v>
      </c>
      <c r="K670" t="str">
        <f t="shared" si="31"/>
        <v>January</v>
      </c>
      <c r="L670" t="str">
        <f t="shared" si="32"/>
        <v>Q1</v>
      </c>
      <c r="M670">
        <f t="shared" si="30"/>
        <v>2022</v>
      </c>
      <c r="N670" t="s">
        <v>45</v>
      </c>
    </row>
    <row r="671" spans="1:14" ht="14.55" customHeight="1" x14ac:dyDescent="0.3">
      <c r="A671" s="1">
        <v>44606</v>
      </c>
      <c r="B671" t="s">
        <v>23</v>
      </c>
      <c r="C671" t="s">
        <v>10</v>
      </c>
      <c r="D671" t="s">
        <v>11</v>
      </c>
      <c r="E671">
        <v>34</v>
      </c>
      <c r="F671">
        <v>9075.7900000000009</v>
      </c>
      <c r="G671" t="s">
        <v>12</v>
      </c>
      <c r="H671">
        <v>3</v>
      </c>
      <c r="I671">
        <v>2561.06</v>
      </c>
      <c r="J671">
        <v>6514.73</v>
      </c>
      <c r="K671" t="str">
        <f t="shared" si="31"/>
        <v>February</v>
      </c>
      <c r="L671" t="str">
        <f t="shared" si="32"/>
        <v>Q1</v>
      </c>
      <c r="M671">
        <f t="shared" si="30"/>
        <v>2022</v>
      </c>
      <c r="N671" t="s">
        <v>46</v>
      </c>
    </row>
    <row r="672" spans="1:14" ht="14.55" customHeight="1" x14ac:dyDescent="0.3">
      <c r="A672" s="1">
        <v>44594</v>
      </c>
      <c r="B672" t="s">
        <v>15</v>
      </c>
      <c r="C672" t="s">
        <v>25</v>
      </c>
      <c r="D672" t="s">
        <v>30</v>
      </c>
      <c r="E672">
        <v>30</v>
      </c>
      <c r="F672">
        <v>3562.66</v>
      </c>
      <c r="G672" t="s">
        <v>20</v>
      </c>
      <c r="H672">
        <v>1</v>
      </c>
      <c r="I672">
        <v>1307.24</v>
      </c>
      <c r="J672">
        <v>2255.42</v>
      </c>
      <c r="K672" t="str">
        <f t="shared" si="31"/>
        <v>February</v>
      </c>
      <c r="L672" t="str">
        <f t="shared" si="32"/>
        <v>Q1</v>
      </c>
      <c r="M672">
        <f t="shared" si="30"/>
        <v>2022</v>
      </c>
      <c r="N672" t="s">
        <v>46</v>
      </c>
    </row>
    <row r="673" spans="1:14" ht="14.55" customHeight="1" x14ac:dyDescent="0.3">
      <c r="A673" s="1">
        <v>45235</v>
      </c>
      <c r="B673" t="s">
        <v>23</v>
      </c>
      <c r="C673" t="s">
        <v>13</v>
      </c>
      <c r="D673" t="s">
        <v>40</v>
      </c>
      <c r="E673">
        <v>2</v>
      </c>
      <c r="F673">
        <v>767.78</v>
      </c>
      <c r="G673" t="s">
        <v>12</v>
      </c>
      <c r="H673">
        <v>3</v>
      </c>
      <c r="I673">
        <v>211.93</v>
      </c>
      <c r="J673">
        <v>555.85</v>
      </c>
      <c r="K673" t="str">
        <f t="shared" si="31"/>
        <v>November</v>
      </c>
      <c r="L673" t="str">
        <f t="shared" si="32"/>
        <v>Q4</v>
      </c>
      <c r="M673">
        <f t="shared" si="30"/>
        <v>2023</v>
      </c>
      <c r="N673" t="s">
        <v>44</v>
      </c>
    </row>
    <row r="674" spans="1:14" ht="14.55" customHeight="1" x14ac:dyDescent="0.3">
      <c r="A674" s="1">
        <v>44855</v>
      </c>
      <c r="B674" t="s">
        <v>18</v>
      </c>
      <c r="C674" t="s">
        <v>25</v>
      </c>
      <c r="D674" t="s">
        <v>30</v>
      </c>
      <c r="E674">
        <v>3</v>
      </c>
      <c r="F674">
        <v>197.66</v>
      </c>
      <c r="G674" t="s">
        <v>20</v>
      </c>
      <c r="H674">
        <v>2</v>
      </c>
      <c r="I674">
        <v>565.28</v>
      </c>
      <c r="J674">
        <v>-367.62</v>
      </c>
      <c r="K674" t="str">
        <f t="shared" si="31"/>
        <v>October</v>
      </c>
      <c r="L674" t="str">
        <f t="shared" si="32"/>
        <v>Q4</v>
      </c>
      <c r="M674">
        <f t="shared" si="30"/>
        <v>2022</v>
      </c>
      <c r="N674" t="s">
        <v>44</v>
      </c>
    </row>
    <row r="675" spans="1:14" ht="14.55" customHeight="1" x14ac:dyDescent="0.3">
      <c r="A675" s="1">
        <v>45083</v>
      </c>
      <c r="B675" t="s">
        <v>18</v>
      </c>
      <c r="C675" t="s">
        <v>16</v>
      </c>
      <c r="D675" t="s">
        <v>37</v>
      </c>
      <c r="E675">
        <v>47</v>
      </c>
      <c r="F675">
        <v>16956.66</v>
      </c>
      <c r="G675" t="s">
        <v>12</v>
      </c>
      <c r="H675">
        <v>3</v>
      </c>
      <c r="I675">
        <v>6684.24</v>
      </c>
      <c r="J675">
        <v>10272.42</v>
      </c>
      <c r="K675" t="str">
        <f t="shared" si="31"/>
        <v>June</v>
      </c>
      <c r="L675" t="str">
        <f t="shared" si="32"/>
        <v>Q2</v>
      </c>
      <c r="M675">
        <f t="shared" si="30"/>
        <v>2023</v>
      </c>
      <c r="N675" t="s">
        <v>45</v>
      </c>
    </row>
    <row r="676" spans="1:14" ht="14.55" customHeight="1" x14ac:dyDescent="0.3">
      <c r="A676" s="1">
        <v>44971</v>
      </c>
      <c r="B676" t="s">
        <v>31</v>
      </c>
      <c r="C676" t="s">
        <v>25</v>
      </c>
      <c r="D676" t="s">
        <v>26</v>
      </c>
      <c r="E676">
        <v>13</v>
      </c>
      <c r="F676">
        <v>5315.32</v>
      </c>
      <c r="G676" t="s">
        <v>12</v>
      </c>
      <c r="H676">
        <v>5</v>
      </c>
      <c r="I676">
        <v>2149.5100000000002</v>
      </c>
      <c r="J676">
        <v>3165.81</v>
      </c>
      <c r="K676" t="str">
        <f t="shared" si="31"/>
        <v>February</v>
      </c>
      <c r="L676" t="str">
        <f t="shared" si="32"/>
        <v>Q1</v>
      </c>
      <c r="M676">
        <f t="shared" si="30"/>
        <v>2023</v>
      </c>
      <c r="N676" t="s">
        <v>46</v>
      </c>
    </row>
    <row r="677" spans="1:14" ht="14.55" customHeight="1" x14ac:dyDescent="0.3">
      <c r="A677" s="1">
        <v>45139</v>
      </c>
      <c r="B677" t="s">
        <v>31</v>
      </c>
      <c r="C677" t="s">
        <v>13</v>
      </c>
      <c r="D677" t="s">
        <v>29</v>
      </c>
      <c r="E677">
        <v>49</v>
      </c>
      <c r="F677">
        <v>14255.9</v>
      </c>
      <c r="G677" t="s">
        <v>20</v>
      </c>
      <c r="H677">
        <v>4</v>
      </c>
      <c r="I677">
        <v>10577.63</v>
      </c>
      <c r="J677">
        <v>3678.27</v>
      </c>
      <c r="K677" t="str">
        <f t="shared" si="31"/>
        <v>August</v>
      </c>
      <c r="L677" t="str">
        <f t="shared" si="32"/>
        <v>Q3</v>
      </c>
      <c r="M677">
        <f t="shared" si="30"/>
        <v>2023</v>
      </c>
      <c r="N677" t="s">
        <v>44</v>
      </c>
    </row>
    <row r="678" spans="1:14" ht="14.55" customHeight="1" x14ac:dyDescent="0.3">
      <c r="A678" s="1">
        <v>44908</v>
      </c>
      <c r="B678" t="s">
        <v>9</v>
      </c>
      <c r="C678" t="s">
        <v>16</v>
      </c>
      <c r="D678" t="s">
        <v>27</v>
      </c>
      <c r="E678">
        <v>40</v>
      </c>
      <c r="F678">
        <v>8647.3799999999992</v>
      </c>
      <c r="G678" t="s">
        <v>20</v>
      </c>
      <c r="H678">
        <v>3</v>
      </c>
      <c r="I678">
        <v>1084.03</v>
      </c>
      <c r="J678">
        <v>7563.35</v>
      </c>
      <c r="K678" t="str">
        <f t="shared" si="31"/>
        <v>December</v>
      </c>
      <c r="L678" t="str">
        <f t="shared" si="32"/>
        <v>Q4</v>
      </c>
      <c r="M678">
        <f t="shared" si="30"/>
        <v>2022</v>
      </c>
      <c r="N678" t="s">
        <v>45</v>
      </c>
    </row>
    <row r="679" spans="1:14" ht="14.55" customHeight="1" x14ac:dyDescent="0.3">
      <c r="A679" s="1">
        <v>45194</v>
      </c>
      <c r="B679" t="s">
        <v>23</v>
      </c>
      <c r="C679" t="s">
        <v>10</v>
      </c>
      <c r="D679" t="s">
        <v>28</v>
      </c>
      <c r="E679">
        <v>28</v>
      </c>
      <c r="F679">
        <v>5526.46</v>
      </c>
      <c r="G679" t="s">
        <v>20</v>
      </c>
      <c r="H679">
        <v>5</v>
      </c>
      <c r="I679">
        <v>6618.43</v>
      </c>
      <c r="J679">
        <v>-1091.97</v>
      </c>
      <c r="K679" t="str">
        <f t="shared" si="31"/>
        <v>September</v>
      </c>
      <c r="L679" t="str">
        <f t="shared" si="32"/>
        <v>Q3</v>
      </c>
      <c r="M679">
        <f t="shared" si="30"/>
        <v>2023</v>
      </c>
      <c r="N679" t="s">
        <v>45</v>
      </c>
    </row>
    <row r="680" spans="1:14" ht="14.55" customHeight="1" x14ac:dyDescent="0.3">
      <c r="A680" s="1">
        <v>44848</v>
      </c>
      <c r="B680" t="s">
        <v>18</v>
      </c>
      <c r="C680" t="s">
        <v>25</v>
      </c>
      <c r="D680" t="s">
        <v>30</v>
      </c>
      <c r="E680">
        <v>19</v>
      </c>
      <c r="F680">
        <v>8623.44</v>
      </c>
      <c r="G680" t="s">
        <v>12</v>
      </c>
      <c r="H680">
        <v>1</v>
      </c>
      <c r="I680">
        <v>347.51</v>
      </c>
      <c r="J680">
        <v>8275.93</v>
      </c>
      <c r="K680" t="str">
        <f t="shared" si="31"/>
        <v>October</v>
      </c>
      <c r="L680" t="str">
        <f t="shared" si="32"/>
        <v>Q4</v>
      </c>
      <c r="M680">
        <f t="shared" si="30"/>
        <v>2022</v>
      </c>
      <c r="N680" t="s">
        <v>45</v>
      </c>
    </row>
    <row r="681" spans="1:14" ht="14.55" customHeight="1" x14ac:dyDescent="0.3">
      <c r="A681" s="1">
        <v>44888</v>
      </c>
      <c r="B681" t="s">
        <v>15</v>
      </c>
      <c r="C681" t="s">
        <v>10</v>
      </c>
      <c r="D681" t="s">
        <v>35</v>
      </c>
      <c r="E681">
        <v>6</v>
      </c>
      <c r="F681">
        <v>741.49</v>
      </c>
      <c r="G681" t="s">
        <v>20</v>
      </c>
      <c r="H681">
        <v>3</v>
      </c>
      <c r="I681">
        <v>993.34</v>
      </c>
      <c r="J681">
        <v>-251.85</v>
      </c>
      <c r="K681" t="str">
        <f t="shared" si="31"/>
        <v>November</v>
      </c>
      <c r="L681" t="str">
        <f t="shared" si="32"/>
        <v>Q4</v>
      </c>
      <c r="M681">
        <f t="shared" si="30"/>
        <v>2022</v>
      </c>
      <c r="N681" t="s">
        <v>47</v>
      </c>
    </row>
    <row r="682" spans="1:14" ht="14.55" customHeight="1" x14ac:dyDescent="0.3">
      <c r="A682" s="1">
        <v>44923</v>
      </c>
      <c r="B682" t="s">
        <v>31</v>
      </c>
      <c r="C682" t="s">
        <v>25</v>
      </c>
      <c r="D682" t="s">
        <v>30</v>
      </c>
      <c r="E682">
        <v>40</v>
      </c>
      <c r="F682">
        <v>10706.53</v>
      </c>
      <c r="G682" t="s">
        <v>12</v>
      </c>
      <c r="H682">
        <v>4</v>
      </c>
      <c r="I682">
        <v>4982.9399999999996</v>
      </c>
      <c r="J682">
        <v>5723.59</v>
      </c>
      <c r="K682" t="str">
        <f t="shared" si="31"/>
        <v>December</v>
      </c>
      <c r="L682" t="str">
        <f t="shared" si="32"/>
        <v>Q4</v>
      </c>
      <c r="M682">
        <f t="shared" si="30"/>
        <v>2022</v>
      </c>
      <c r="N682" t="s">
        <v>44</v>
      </c>
    </row>
    <row r="683" spans="1:14" ht="14.55" customHeight="1" x14ac:dyDescent="0.3">
      <c r="A683" s="1">
        <v>45056</v>
      </c>
      <c r="B683" t="s">
        <v>23</v>
      </c>
      <c r="C683" t="s">
        <v>13</v>
      </c>
      <c r="D683" t="s">
        <v>19</v>
      </c>
      <c r="E683">
        <v>28</v>
      </c>
      <c r="F683">
        <v>13079.72</v>
      </c>
      <c r="G683" t="s">
        <v>20</v>
      </c>
      <c r="H683">
        <v>2</v>
      </c>
      <c r="I683">
        <v>3697.13</v>
      </c>
      <c r="J683">
        <v>9382.59</v>
      </c>
      <c r="K683" t="str">
        <f t="shared" si="31"/>
        <v>May</v>
      </c>
      <c r="L683" t="str">
        <f t="shared" si="32"/>
        <v>Q2</v>
      </c>
      <c r="M683">
        <f t="shared" si="30"/>
        <v>2023</v>
      </c>
      <c r="N683" t="s">
        <v>44</v>
      </c>
    </row>
    <row r="684" spans="1:14" ht="14.55" customHeight="1" x14ac:dyDescent="0.3">
      <c r="A684" s="1">
        <v>44886</v>
      </c>
      <c r="B684" t="s">
        <v>15</v>
      </c>
      <c r="C684" t="s">
        <v>13</v>
      </c>
      <c r="D684" t="s">
        <v>14</v>
      </c>
      <c r="E684">
        <v>29</v>
      </c>
      <c r="F684">
        <v>8185.88</v>
      </c>
      <c r="G684" t="s">
        <v>20</v>
      </c>
      <c r="H684">
        <v>5</v>
      </c>
      <c r="I684">
        <v>3129.8</v>
      </c>
      <c r="J684">
        <v>5056.08</v>
      </c>
      <c r="K684" t="str">
        <f t="shared" si="31"/>
        <v>November</v>
      </c>
      <c r="L684" t="str">
        <f t="shared" si="32"/>
        <v>Q4</v>
      </c>
      <c r="M684">
        <f t="shared" si="30"/>
        <v>2022</v>
      </c>
      <c r="N684" t="s">
        <v>44</v>
      </c>
    </row>
    <row r="685" spans="1:14" ht="14.55" customHeight="1" x14ac:dyDescent="0.3">
      <c r="A685" s="1">
        <v>45102</v>
      </c>
      <c r="B685" t="s">
        <v>18</v>
      </c>
      <c r="C685" t="s">
        <v>25</v>
      </c>
      <c r="D685" t="s">
        <v>30</v>
      </c>
      <c r="E685">
        <v>27</v>
      </c>
      <c r="F685">
        <v>5839.13</v>
      </c>
      <c r="G685" t="s">
        <v>20</v>
      </c>
      <c r="H685">
        <v>4</v>
      </c>
      <c r="I685">
        <v>1689.63</v>
      </c>
      <c r="J685">
        <v>4149.5</v>
      </c>
      <c r="K685" t="str">
        <f t="shared" si="31"/>
        <v>June</v>
      </c>
      <c r="L685" t="str">
        <f t="shared" si="32"/>
        <v>Q2</v>
      </c>
      <c r="M685">
        <f t="shared" si="30"/>
        <v>2023</v>
      </c>
      <c r="N685" t="s">
        <v>44</v>
      </c>
    </row>
    <row r="686" spans="1:14" ht="14.55" customHeight="1" x14ac:dyDescent="0.3">
      <c r="A686" s="1">
        <v>45034</v>
      </c>
      <c r="B686" t="s">
        <v>31</v>
      </c>
      <c r="C686" t="s">
        <v>10</v>
      </c>
      <c r="D686" t="s">
        <v>28</v>
      </c>
      <c r="E686">
        <v>14</v>
      </c>
      <c r="F686">
        <v>212.26</v>
      </c>
      <c r="G686" t="s">
        <v>20</v>
      </c>
      <c r="H686">
        <v>2</v>
      </c>
      <c r="I686">
        <v>2354.11</v>
      </c>
      <c r="J686">
        <v>-2141.85</v>
      </c>
      <c r="K686" t="str">
        <f t="shared" si="31"/>
        <v>April</v>
      </c>
      <c r="L686" t="str">
        <f t="shared" si="32"/>
        <v>Q2</v>
      </c>
      <c r="M686">
        <f t="shared" si="30"/>
        <v>2023</v>
      </c>
      <c r="N686" t="s">
        <v>45</v>
      </c>
    </row>
    <row r="687" spans="1:14" ht="14.55" customHeight="1" x14ac:dyDescent="0.3">
      <c r="A687" s="1">
        <v>45095</v>
      </c>
      <c r="B687" t="s">
        <v>31</v>
      </c>
      <c r="C687" t="s">
        <v>13</v>
      </c>
      <c r="D687" t="s">
        <v>19</v>
      </c>
      <c r="E687">
        <v>11</v>
      </c>
      <c r="F687">
        <v>1665.39</v>
      </c>
      <c r="G687" t="s">
        <v>20</v>
      </c>
      <c r="H687">
        <v>5</v>
      </c>
      <c r="I687">
        <v>491.84</v>
      </c>
      <c r="J687">
        <v>1173.55</v>
      </c>
      <c r="K687" t="str">
        <f t="shared" si="31"/>
        <v>June</v>
      </c>
      <c r="L687" t="str">
        <f t="shared" si="32"/>
        <v>Q2</v>
      </c>
      <c r="M687">
        <f t="shared" si="30"/>
        <v>2023</v>
      </c>
      <c r="N687" t="s">
        <v>44</v>
      </c>
    </row>
    <row r="688" spans="1:14" ht="14.55" customHeight="1" x14ac:dyDescent="0.3">
      <c r="A688" s="1">
        <v>45085</v>
      </c>
      <c r="B688" t="s">
        <v>31</v>
      </c>
      <c r="C688" t="s">
        <v>13</v>
      </c>
      <c r="D688" t="s">
        <v>19</v>
      </c>
      <c r="E688">
        <v>26</v>
      </c>
      <c r="F688">
        <v>7225.27</v>
      </c>
      <c r="G688" t="s">
        <v>20</v>
      </c>
      <c r="H688">
        <v>2</v>
      </c>
      <c r="I688">
        <v>2148.11</v>
      </c>
      <c r="J688">
        <v>5077.16</v>
      </c>
      <c r="K688" t="str">
        <f t="shared" si="31"/>
        <v>June</v>
      </c>
      <c r="L688" t="str">
        <f t="shared" si="32"/>
        <v>Q2</v>
      </c>
      <c r="M688">
        <f t="shared" si="30"/>
        <v>2023</v>
      </c>
      <c r="N688" t="s">
        <v>47</v>
      </c>
    </row>
    <row r="689" spans="1:14" ht="14.55" customHeight="1" x14ac:dyDescent="0.3">
      <c r="A689" s="1">
        <v>44736</v>
      </c>
      <c r="B689" t="s">
        <v>23</v>
      </c>
      <c r="C689" t="s">
        <v>13</v>
      </c>
      <c r="D689" t="s">
        <v>14</v>
      </c>
      <c r="E689">
        <v>18</v>
      </c>
      <c r="F689">
        <v>5765.24</v>
      </c>
      <c r="G689" t="s">
        <v>20</v>
      </c>
      <c r="H689">
        <v>5</v>
      </c>
      <c r="I689">
        <v>3269.84</v>
      </c>
      <c r="J689">
        <v>2495.4</v>
      </c>
      <c r="K689" t="str">
        <f t="shared" si="31"/>
        <v>June</v>
      </c>
      <c r="L689" t="str">
        <f t="shared" si="32"/>
        <v>Q2</v>
      </c>
      <c r="M689">
        <f t="shared" si="30"/>
        <v>2022</v>
      </c>
      <c r="N689" t="s">
        <v>45</v>
      </c>
    </row>
    <row r="690" spans="1:14" ht="14.55" customHeight="1" x14ac:dyDescent="0.3">
      <c r="A690" s="1">
        <v>44678</v>
      </c>
      <c r="B690" t="s">
        <v>9</v>
      </c>
      <c r="C690" t="s">
        <v>10</v>
      </c>
      <c r="D690" t="s">
        <v>11</v>
      </c>
      <c r="E690">
        <v>29</v>
      </c>
      <c r="F690">
        <v>2374.6799999999998</v>
      </c>
      <c r="G690" t="s">
        <v>20</v>
      </c>
      <c r="H690">
        <v>4</v>
      </c>
      <c r="I690">
        <v>7041.77</v>
      </c>
      <c r="J690">
        <v>-4667.09</v>
      </c>
      <c r="K690" t="str">
        <f t="shared" si="31"/>
        <v>April</v>
      </c>
      <c r="L690" t="str">
        <f t="shared" si="32"/>
        <v>Q2</v>
      </c>
      <c r="M690">
        <f t="shared" si="30"/>
        <v>2022</v>
      </c>
      <c r="N690" t="s">
        <v>44</v>
      </c>
    </row>
    <row r="691" spans="1:14" ht="14.55" customHeight="1" x14ac:dyDescent="0.3">
      <c r="A691" s="1">
        <v>45040</v>
      </c>
      <c r="B691" t="s">
        <v>9</v>
      </c>
      <c r="C691" t="s">
        <v>13</v>
      </c>
      <c r="D691" t="s">
        <v>40</v>
      </c>
      <c r="E691">
        <v>43</v>
      </c>
      <c r="F691">
        <v>1490.92</v>
      </c>
      <c r="G691" t="s">
        <v>20</v>
      </c>
      <c r="H691">
        <v>4</v>
      </c>
      <c r="I691">
        <v>7103.22</v>
      </c>
      <c r="J691">
        <v>-5612.3</v>
      </c>
      <c r="K691" t="str">
        <f t="shared" si="31"/>
        <v>April</v>
      </c>
      <c r="L691" t="str">
        <f t="shared" si="32"/>
        <v>Q2</v>
      </c>
      <c r="M691">
        <f t="shared" si="30"/>
        <v>2023</v>
      </c>
      <c r="N691" t="s">
        <v>47</v>
      </c>
    </row>
    <row r="692" spans="1:14" ht="14.55" customHeight="1" x14ac:dyDescent="0.3">
      <c r="A692" s="1">
        <v>45274</v>
      </c>
      <c r="B692" t="s">
        <v>18</v>
      </c>
      <c r="C692" t="s">
        <v>21</v>
      </c>
      <c r="D692" t="s">
        <v>36</v>
      </c>
      <c r="E692">
        <v>42</v>
      </c>
      <c r="F692">
        <v>7199.97</v>
      </c>
      <c r="G692" t="s">
        <v>12</v>
      </c>
      <c r="H692">
        <v>4</v>
      </c>
      <c r="I692">
        <v>8864.5</v>
      </c>
      <c r="J692">
        <v>-1664.53</v>
      </c>
      <c r="K692" t="str">
        <f t="shared" si="31"/>
        <v>December</v>
      </c>
      <c r="L692" t="str">
        <f t="shared" si="32"/>
        <v>Q4</v>
      </c>
      <c r="M692">
        <f t="shared" si="30"/>
        <v>2023</v>
      </c>
      <c r="N692" t="s">
        <v>45</v>
      </c>
    </row>
    <row r="693" spans="1:14" ht="14.55" customHeight="1" x14ac:dyDescent="0.3">
      <c r="A693" s="1">
        <v>44811</v>
      </c>
      <c r="B693" t="s">
        <v>9</v>
      </c>
      <c r="C693" t="s">
        <v>10</v>
      </c>
      <c r="D693" t="s">
        <v>34</v>
      </c>
      <c r="E693">
        <v>22</v>
      </c>
      <c r="F693">
        <v>7856.15</v>
      </c>
      <c r="G693" t="s">
        <v>12</v>
      </c>
      <c r="H693">
        <v>1</v>
      </c>
      <c r="I693">
        <v>2179.4299999999998</v>
      </c>
      <c r="J693">
        <v>5676.72</v>
      </c>
      <c r="K693" t="str">
        <f t="shared" si="31"/>
        <v>September</v>
      </c>
      <c r="L693" t="str">
        <f t="shared" si="32"/>
        <v>Q3</v>
      </c>
      <c r="M693">
        <f t="shared" si="30"/>
        <v>2022</v>
      </c>
      <c r="N693" t="s">
        <v>44</v>
      </c>
    </row>
    <row r="694" spans="1:14" ht="14.55" customHeight="1" x14ac:dyDescent="0.3">
      <c r="A694" s="1">
        <v>44810</v>
      </c>
      <c r="B694" t="s">
        <v>15</v>
      </c>
      <c r="C694" t="s">
        <v>16</v>
      </c>
      <c r="D694" t="s">
        <v>24</v>
      </c>
      <c r="E694">
        <v>45</v>
      </c>
      <c r="F694">
        <v>9964.4599999999991</v>
      </c>
      <c r="G694" t="s">
        <v>12</v>
      </c>
      <c r="H694">
        <v>3</v>
      </c>
      <c r="I694">
        <v>4105.8900000000003</v>
      </c>
      <c r="J694">
        <v>5858.57</v>
      </c>
      <c r="K694" t="str">
        <f t="shared" si="31"/>
        <v>September</v>
      </c>
      <c r="L694" t="str">
        <f t="shared" si="32"/>
        <v>Q3</v>
      </c>
      <c r="M694">
        <f t="shared" si="30"/>
        <v>2022</v>
      </c>
      <c r="N694" t="s">
        <v>44</v>
      </c>
    </row>
    <row r="695" spans="1:14" ht="14.55" customHeight="1" x14ac:dyDescent="0.3">
      <c r="A695" s="1">
        <v>44812</v>
      </c>
      <c r="B695" t="s">
        <v>31</v>
      </c>
      <c r="C695" t="s">
        <v>16</v>
      </c>
      <c r="D695" t="s">
        <v>17</v>
      </c>
      <c r="E695">
        <v>13</v>
      </c>
      <c r="F695">
        <v>2496.0700000000002</v>
      </c>
      <c r="G695" t="s">
        <v>12</v>
      </c>
      <c r="H695">
        <v>4</v>
      </c>
      <c r="I695">
        <v>3213.42</v>
      </c>
      <c r="J695">
        <v>-717.35</v>
      </c>
      <c r="K695" t="str">
        <f t="shared" si="31"/>
        <v>September</v>
      </c>
      <c r="L695" t="str">
        <f t="shared" si="32"/>
        <v>Q3</v>
      </c>
      <c r="M695">
        <f t="shared" si="30"/>
        <v>2022</v>
      </c>
      <c r="N695" t="s">
        <v>47</v>
      </c>
    </row>
    <row r="696" spans="1:14" ht="14.55" customHeight="1" x14ac:dyDescent="0.3">
      <c r="A696" s="1">
        <v>45260</v>
      </c>
      <c r="B696" t="s">
        <v>9</v>
      </c>
      <c r="C696" t="s">
        <v>16</v>
      </c>
      <c r="D696" t="s">
        <v>27</v>
      </c>
      <c r="E696">
        <v>12</v>
      </c>
      <c r="F696">
        <v>2395.42</v>
      </c>
      <c r="G696" t="s">
        <v>20</v>
      </c>
      <c r="H696">
        <v>1</v>
      </c>
      <c r="I696">
        <v>2969.16</v>
      </c>
      <c r="J696">
        <v>-573.74</v>
      </c>
      <c r="K696" t="str">
        <f t="shared" si="31"/>
        <v>November</v>
      </c>
      <c r="L696" t="str">
        <f t="shared" si="32"/>
        <v>Q4</v>
      </c>
      <c r="M696">
        <f t="shared" si="30"/>
        <v>2023</v>
      </c>
      <c r="N696" t="s">
        <v>44</v>
      </c>
    </row>
    <row r="697" spans="1:14" ht="14.55" customHeight="1" x14ac:dyDescent="0.3">
      <c r="A697" s="1">
        <v>44717</v>
      </c>
      <c r="B697" t="s">
        <v>18</v>
      </c>
      <c r="C697" t="s">
        <v>13</v>
      </c>
      <c r="D697" t="s">
        <v>29</v>
      </c>
      <c r="E697">
        <v>29</v>
      </c>
      <c r="F697">
        <v>13018.9</v>
      </c>
      <c r="G697" t="s">
        <v>20</v>
      </c>
      <c r="H697">
        <v>4</v>
      </c>
      <c r="I697">
        <v>5623.93</v>
      </c>
      <c r="J697">
        <v>7394.97</v>
      </c>
      <c r="K697" t="str">
        <f t="shared" si="31"/>
        <v>June</v>
      </c>
      <c r="L697" t="str">
        <f t="shared" si="32"/>
        <v>Q2</v>
      </c>
      <c r="M697">
        <f t="shared" si="30"/>
        <v>2022</v>
      </c>
      <c r="N697" t="s">
        <v>44</v>
      </c>
    </row>
    <row r="698" spans="1:14" ht="14.55" customHeight="1" x14ac:dyDescent="0.3">
      <c r="A698" s="1">
        <v>44696</v>
      </c>
      <c r="B698" t="s">
        <v>18</v>
      </c>
      <c r="C698" t="s">
        <v>25</v>
      </c>
      <c r="D698" t="s">
        <v>30</v>
      </c>
      <c r="E698">
        <v>37</v>
      </c>
      <c r="F698">
        <v>10796.88</v>
      </c>
      <c r="G698" t="s">
        <v>20</v>
      </c>
      <c r="H698">
        <v>1</v>
      </c>
      <c r="I698">
        <v>4220.4799999999996</v>
      </c>
      <c r="J698">
        <v>6576.4</v>
      </c>
      <c r="K698" t="str">
        <f t="shared" si="31"/>
        <v>May</v>
      </c>
      <c r="L698" t="str">
        <f t="shared" si="32"/>
        <v>Q2</v>
      </c>
      <c r="M698">
        <f t="shared" si="30"/>
        <v>2022</v>
      </c>
      <c r="N698" t="s">
        <v>44</v>
      </c>
    </row>
    <row r="699" spans="1:14" ht="14.55" customHeight="1" x14ac:dyDescent="0.3">
      <c r="A699" s="1">
        <v>44644</v>
      </c>
      <c r="B699" t="s">
        <v>15</v>
      </c>
      <c r="C699" t="s">
        <v>16</v>
      </c>
      <c r="D699" t="s">
        <v>17</v>
      </c>
      <c r="E699">
        <v>47</v>
      </c>
      <c r="F699">
        <v>8377.2099999999991</v>
      </c>
      <c r="G699" t="s">
        <v>12</v>
      </c>
      <c r="H699">
        <v>4</v>
      </c>
      <c r="I699">
        <v>1532.22</v>
      </c>
      <c r="J699">
        <v>6844.99</v>
      </c>
      <c r="K699" t="str">
        <f t="shared" si="31"/>
        <v>March</v>
      </c>
      <c r="L699" t="str">
        <f t="shared" si="32"/>
        <v>Q1</v>
      </c>
      <c r="M699">
        <f t="shared" si="30"/>
        <v>2022</v>
      </c>
      <c r="N699" t="s">
        <v>44</v>
      </c>
    </row>
    <row r="700" spans="1:14" ht="14.55" customHeight="1" x14ac:dyDescent="0.3">
      <c r="A700" s="1">
        <v>45086</v>
      </c>
      <c r="B700" t="s">
        <v>9</v>
      </c>
      <c r="C700" t="s">
        <v>25</v>
      </c>
      <c r="D700" t="s">
        <v>26</v>
      </c>
      <c r="E700">
        <v>41</v>
      </c>
      <c r="F700">
        <v>19912.77</v>
      </c>
      <c r="G700" t="s">
        <v>12</v>
      </c>
      <c r="H700">
        <v>5</v>
      </c>
      <c r="I700">
        <v>8029.84</v>
      </c>
      <c r="J700">
        <v>11882.93</v>
      </c>
      <c r="K700" t="str">
        <f t="shared" si="31"/>
        <v>June</v>
      </c>
      <c r="L700" t="str">
        <f t="shared" si="32"/>
        <v>Q2</v>
      </c>
      <c r="M700">
        <f t="shared" si="30"/>
        <v>2023</v>
      </c>
      <c r="N700" t="s">
        <v>45</v>
      </c>
    </row>
    <row r="701" spans="1:14" ht="14.55" customHeight="1" x14ac:dyDescent="0.3">
      <c r="A701" s="1">
        <v>44800</v>
      </c>
      <c r="B701" t="s">
        <v>31</v>
      </c>
      <c r="C701" t="s">
        <v>21</v>
      </c>
      <c r="D701" t="s">
        <v>36</v>
      </c>
      <c r="E701">
        <v>16</v>
      </c>
      <c r="F701">
        <v>3572.08</v>
      </c>
      <c r="G701" t="s">
        <v>20</v>
      </c>
      <c r="H701">
        <v>4</v>
      </c>
      <c r="I701">
        <v>1244.05</v>
      </c>
      <c r="J701">
        <v>2328.0300000000002</v>
      </c>
      <c r="K701" t="str">
        <f t="shared" si="31"/>
        <v>August</v>
      </c>
      <c r="L701" t="str">
        <f t="shared" si="32"/>
        <v>Q3</v>
      </c>
      <c r="M701">
        <f t="shared" si="30"/>
        <v>2022</v>
      </c>
      <c r="N701" t="s">
        <v>45</v>
      </c>
    </row>
    <row r="702" spans="1:14" ht="14.55" customHeight="1" x14ac:dyDescent="0.3">
      <c r="A702" s="1">
        <v>44861</v>
      </c>
      <c r="B702" t="s">
        <v>18</v>
      </c>
      <c r="C702" t="s">
        <v>16</v>
      </c>
      <c r="D702" t="s">
        <v>17</v>
      </c>
      <c r="E702">
        <v>11</v>
      </c>
      <c r="F702">
        <v>4542.09</v>
      </c>
      <c r="G702" t="s">
        <v>20</v>
      </c>
      <c r="H702">
        <v>1</v>
      </c>
      <c r="I702">
        <v>1073.44</v>
      </c>
      <c r="J702">
        <v>3468.65</v>
      </c>
      <c r="K702" t="str">
        <f t="shared" si="31"/>
        <v>October</v>
      </c>
      <c r="L702" t="str">
        <f t="shared" si="32"/>
        <v>Q4</v>
      </c>
      <c r="M702">
        <f t="shared" si="30"/>
        <v>2022</v>
      </c>
      <c r="N702" t="s">
        <v>44</v>
      </c>
    </row>
    <row r="703" spans="1:14" ht="14.55" customHeight="1" x14ac:dyDescent="0.3">
      <c r="A703" s="1">
        <v>44953</v>
      </c>
      <c r="B703" t="s">
        <v>18</v>
      </c>
      <c r="C703" t="s">
        <v>25</v>
      </c>
      <c r="D703" t="s">
        <v>30</v>
      </c>
      <c r="E703">
        <v>12</v>
      </c>
      <c r="F703">
        <v>4333.3</v>
      </c>
      <c r="G703" t="s">
        <v>20</v>
      </c>
      <c r="H703">
        <v>5</v>
      </c>
      <c r="I703">
        <v>2328.21</v>
      </c>
      <c r="J703">
        <v>2005.09</v>
      </c>
      <c r="K703" t="str">
        <f t="shared" si="31"/>
        <v>January</v>
      </c>
      <c r="L703" t="str">
        <f t="shared" si="32"/>
        <v>Q1</v>
      </c>
      <c r="M703">
        <f t="shared" si="30"/>
        <v>2023</v>
      </c>
      <c r="N703" t="s">
        <v>44</v>
      </c>
    </row>
    <row r="704" spans="1:14" ht="14.55" customHeight="1" x14ac:dyDescent="0.3">
      <c r="A704" s="1">
        <v>45073</v>
      </c>
      <c r="B704" t="s">
        <v>23</v>
      </c>
      <c r="C704" t="s">
        <v>21</v>
      </c>
      <c r="D704" t="s">
        <v>33</v>
      </c>
      <c r="E704">
        <v>9</v>
      </c>
      <c r="F704">
        <v>3272.36</v>
      </c>
      <c r="G704" t="s">
        <v>20</v>
      </c>
      <c r="H704">
        <v>1</v>
      </c>
      <c r="I704">
        <v>2248.6</v>
      </c>
      <c r="J704">
        <v>1023.76</v>
      </c>
      <c r="K704" t="str">
        <f t="shared" si="31"/>
        <v>May</v>
      </c>
      <c r="L704" t="str">
        <f t="shared" si="32"/>
        <v>Q2</v>
      </c>
      <c r="M704">
        <f t="shared" si="30"/>
        <v>2023</v>
      </c>
      <c r="N704" t="s">
        <v>44</v>
      </c>
    </row>
    <row r="705" spans="1:14" ht="14.55" customHeight="1" x14ac:dyDescent="0.3">
      <c r="A705" s="1">
        <v>44847</v>
      </c>
      <c r="B705" t="s">
        <v>15</v>
      </c>
      <c r="C705" t="s">
        <v>13</v>
      </c>
      <c r="D705" t="s">
        <v>19</v>
      </c>
      <c r="E705">
        <v>35</v>
      </c>
      <c r="F705">
        <v>17246.21</v>
      </c>
      <c r="G705" t="s">
        <v>20</v>
      </c>
      <c r="H705">
        <v>2</v>
      </c>
      <c r="I705">
        <v>5490.5</v>
      </c>
      <c r="J705">
        <v>11755.71</v>
      </c>
      <c r="K705" t="str">
        <f t="shared" si="31"/>
        <v>October</v>
      </c>
      <c r="L705" t="str">
        <f t="shared" si="32"/>
        <v>Q4</v>
      </c>
      <c r="M705">
        <f t="shared" si="30"/>
        <v>2022</v>
      </c>
      <c r="N705" t="s">
        <v>44</v>
      </c>
    </row>
    <row r="706" spans="1:14" ht="14.55" customHeight="1" x14ac:dyDescent="0.3">
      <c r="A706" s="1">
        <v>44770</v>
      </c>
      <c r="B706" t="s">
        <v>31</v>
      </c>
      <c r="C706" t="s">
        <v>21</v>
      </c>
      <c r="D706" t="s">
        <v>22</v>
      </c>
      <c r="E706">
        <v>20</v>
      </c>
      <c r="F706">
        <v>6372.66</v>
      </c>
      <c r="G706" t="s">
        <v>20</v>
      </c>
      <c r="H706">
        <v>2</v>
      </c>
      <c r="I706">
        <v>4158.78</v>
      </c>
      <c r="J706">
        <v>2213.88</v>
      </c>
      <c r="K706" t="str">
        <f t="shared" si="31"/>
        <v>July</v>
      </c>
      <c r="L706" t="str">
        <f t="shared" si="32"/>
        <v>Q3</v>
      </c>
      <c r="M706">
        <f t="shared" ref="M706:M769" si="33">YEAR(A706)</f>
        <v>2022</v>
      </c>
      <c r="N706" t="s">
        <v>44</v>
      </c>
    </row>
    <row r="707" spans="1:14" ht="14.55" customHeight="1" x14ac:dyDescent="0.3">
      <c r="A707" s="1">
        <v>44893</v>
      </c>
      <c r="B707" t="s">
        <v>31</v>
      </c>
      <c r="C707" t="s">
        <v>16</v>
      </c>
      <c r="D707" t="s">
        <v>37</v>
      </c>
      <c r="E707">
        <v>49</v>
      </c>
      <c r="F707">
        <v>23130.78</v>
      </c>
      <c r="G707" t="s">
        <v>20</v>
      </c>
      <c r="H707">
        <v>2</v>
      </c>
      <c r="I707">
        <v>6582.97</v>
      </c>
      <c r="J707">
        <v>16547.810000000001</v>
      </c>
      <c r="K707" t="str">
        <f t="shared" ref="K707:K770" si="34">TEXT(A707,"mmmm")</f>
        <v>November</v>
      </c>
      <c r="L707" t="str">
        <f t="shared" ref="L707:L770" si="35">"Q"&amp;INT((MONTH(A707)-1)/3)+1</f>
        <v>Q4</v>
      </c>
      <c r="M707">
        <f t="shared" si="33"/>
        <v>2022</v>
      </c>
      <c r="N707" t="s">
        <v>47</v>
      </c>
    </row>
    <row r="708" spans="1:14" ht="14.55" customHeight="1" x14ac:dyDescent="0.3">
      <c r="A708" s="1">
        <v>44842</v>
      </c>
      <c r="B708" t="s">
        <v>31</v>
      </c>
      <c r="C708" t="s">
        <v>16</v>
      </c>
      <c r="D708" t="s">
        <v>17</v>
      </c>
      <c r="E708">
        <v>17</v>
      </c>
      <c r="F708">
        <v>6167.03</v>
      </c>
      <c r="G708" t="s">
        <v>20</v>
      </c>
      <c r="H708">
        <v>5</v>
      </c>
      <c r="I708">
        <v>3474.77</v>
      </c>
      <c r="J708">
        <v>2692.26</v>
      </c>
      <c r="K708" t="str">
        <f t="shared" si="34"/>
        <v>October</v>
      </c>
      <c r="L708" t="str">
        <f t="shared" si="35"/>
        <v>Q4</v>
      </c>
      <c r="M708">
        <f t="shared" si="33"/>
        <v>2022</v>
      </c>
      <c r="N708" t="s">
        <v>45</v>
      </c>
    </row>
    <row r="709" spans="1:14" ht="14.55" customHeight="1" x14ac:dyDescent="0.3">
      <c r="A709" s="1">
        <v>44804</v>
      </c>
      <c r="B709" t="s">
        <v>23</v>
      </c>
      <c r="C709" t="s">
        <v>13</v>
      </c>
      <c r="D709" t="s">
        <v>14</v>
      </c>
      <c r="E709">
        <v>18</v>
      </c>
      <c r="F709">
        <v>7384.05</v>
      </c>
      <c r="G709" t="s">
        <v>20</v>
      </c>
      <c r="H709">
        <v>2</v>
      </c>
      <c r="I709">
        <v>2723.95</v>
      </c>
      <c r="J709">
        <v>4660.1000000000004</v>
      </c>
      <c r="K709" t="str">
        <f t="shared" si="34"/>
        <v>August</v>
      </c>
      <c r="L709" t="str">
        <f t="shared" si="35"/>
        <v>Q3</v>
      </c>
      <c r="M709">
        <f t="shared" si="33"/>
        <v>2022</v>
      </c>
      <c r="N709" t="s">
        <v>44</v>
      </c>
    </row>
    <row r="710" spans="1:14" ht="14.55" customHeight="1" x14ac:dyDescent="0.3">
      <c r="A710" s="1">
        <v>44655</v>
      </c>
      <c r="B710" t="s">
        <v>31</v>
      </c>
      <c r="C710" t="s">
        <v>10</v>
      </c>
      <c r="D710" t="s">
        <v>28</v>
      </c>
      <c r="E710">
        <v>7</v>
      </c>
      <c r="F710">
        <v>766.28</v>
      </c>
      <c r="G710" t="s">
        <v>12</v>
      </c>
      <c r="H710">
        <v>5</v>
      </c>
      <c r="I710">
        <v>50.56</v>
      </c>
      <c r="J710">
        <v>715.72</v>
      </c>
      <c r="K710" t="str">
        <f t="shared" si="34"/>
        <v>April</v>
      </c>
      <c r="L710" t="str">
        <f t="shared" si="35"/>
        <v>Q2</v>
      </c>
      <c r="M710">
        <f t="shared" si="33"/>
        <v>2022</v>
      </c>
      <c r="N710" t="s">
        <v>45</v>
      </c>
    </row>
    <row r="711" spans="1:14" ht="14.55" customHeight="1" x14ac:dyDescent="0.3">
      <c r="A711" s="1">
        <v>44743</v>
      </c>
      <c r="B711" t="s">
        <v>18</v>
      </c>
      <c r="C711" t="s">
        <v>13</v>
      </c>
      <c r="D711" t="s">
        <v>40</v>
      </c>
      <c r="E711">
        <v>8</v>
      </c>
      <c r="F711">
        <v>641.33000000000004</v>
      </c>
      <c r="G711" t="s">
        <v>12</v>
      </c>
      <c r="H711">
        <v>1</v>
      </c>
      <c r="I711">
        <v>1929.86</v>
      </c>
      <c r="J711">
        <v>-1288.53</v>
      </c>
      <c r="K711" t="str">
        <f t="shared" si="34"/>
        <v>July</v>
      </c>
      <c r="L711" t="str">
        <f t="shared" si="35"/>
        <v>Q3</v>
      </c>
      <c r="M711">
        <f t="shared" si="33"/>
        <v>2022</v>
      </c>
      <c r="N711" t="s">
        <v>44</v>
      </c>
    </row>
    <row r="712" spans="1:14" ht="14.55" customHeight="1" x14ac:dyDescent="0.3">
      <c r="A712" s="1">
        <v>44651</v>
      </c>
      <c r="B712" t="s">
        <v>18</v>
      </c>
      <c r="C712" t="s">
        <v>16</v>
      </c>
      <c r="D712" t="s">
        <v>27</v>
      </c>
      <c r="E712">
        <v>37</v>
      </c>
      <c r="F712">
        <v>15698.68</v>
      </c>
      <c r="G712" t="s">
        <v>20</v>
      </c>
      <c r="H712">
        <v>5</v>
      </c>
      <c r="I712">
        <v>408.35</v>
      </c>
      <c r="J712">
        <v>15290.33</v>
      </c>
      <c r="K712" t="str">
        <f t="shared" si="34"/>
        <v>March</v>
      </c>
      <c r="L712" t="str">
        <f t="shared" si="35"/>
        <v>Q1</v>
      </c>
      <c r="M712">
        <f t="shared" si="33"/>
        <v>2022</v>
      </c>
      <c r="N712" t="s">
        <v>45</v>
      </c>
    </row>
    <row r="713" spans="1:14" ht="14.55" customHeight="1" x14ac:dyDescent="0.3">
      <c r="A713" s="1">
        <v>45154</v>
      </c>
      <c r="B713" t="s">
        <v>9</v>
      </c>
      <c r="C713" t="s">
        <v>21</v>
      </c>
      <c r="D713" t="s">
        <v>33</v>
      </c>
      <c r="E713">
        <v>38</v>
      </c>
      <c r="F713">
        <v>3417.2</v>
      </c>
      <c r="G713" t="s">
        <v>20</v>
      </c>
      <c r="H713">
        <v>4</v>
      </c>
      <c r="I713">
        <v>3805.12</v>
      </c>
      <c r="J713">
        <v>-387.92</v>
      </c>
      <c r="K713" t="str">
        <f t="shared" si="34"/>
        <v>August</v>
      </c>
      <c r="L713" t="str">
        <f t="shared" si="35"/>
        <v>Q3</v>
      </c>
      <c r="M713">
        <f t="shared" si="33"/>
        <v>2023</v>
      </c>
      <c r="N713" t="s">
        <v>44</v>
      </c>
    </row>
    <row r="714" spans="1:14" ht="14.55" customHeight="1" x14ac:dyDescent="0.3">
      <c r="A714" s="1">
        <v>45069</v>
      </c>
      <c r="B714" t="s">
        <v>15</v>
      </c>
      <c r="C714" t="s">
        <v>25</v>
      </c>
      <c r="D714" t="s">
        <v>39</v>
      </c>
      <c r="E714">
        <v>38</v>
      </c>
      <c r="F714">
        <v>7911.73</v>
      </c>
      <c r="G714" t="s">
        <v>12</v>
      </c>
      <c r="H714">
        <v>2</v>
      </c>
      <c r="I714">
        <v>8214.58</v>
      </c>
      <c r="J714">
        <v>-302.85000000000002</v>
      </c>
      <c r="K714" t="str">
        <f t="shared" si="34"/>
        <v>May</v>
      </c>
      <c r="L714" t="str">
        <f t="shared" si="35"/>
        <v>Q2</v>
      </c>
      <c r="M714">
        <f t="shared" si="33"/>
        <v>2023</v>
      </c>
      <c r="N714" t="s">
        <v>47</v>
      </c>
    </row>
    <row r="715" spans="1:14" ht="14.55" customHeight="1" x14ac:dyDescent="0.3">
      <c r="A715" s="1">
        <v>44966</v>
      </c>
      <c r="B715" t="s">
        <v>9</v>
      </c>
      <c r="C715" t="s">
        <v>13</v>
      </c>
      <c r="D715" t="s">
        <v>19</v>
      </c>
      <c r="E715">
        <v>33</v>
      </c>
      <c r="F715">
        <v>2549.46</v>
      </c>
      <c r="G715" t="s">
        <v>12</v>
      </c>
      <c r="H715">
        <v>1</v>
      </c>
      <c r="I715">
        <v>6177.39</v>
      </c>
      <c r="J715">
        <v>-3627.93</v>
      </c>
      <c r="K715" t="str">
        <f t="shared" si="34"/>
        <v>February</v>
      </c>
      <c r="L715" t="str">
        <f t="shared" si="35"/>
        <v>Q1</v>
      </c>
      <c r="M715">
        <f t="shared" si="33"/>
        <v>2023</v>
      </c>
      <c r="N715" t="s">
        <v>47</v>
      </c>
    </row>
    <row r="716" spans="1:14" ht="14.55" customHeight="1" x14ac:dyDescent="0.3">
      <c r="A716" s="1">
        <v>44734</v>
      </c>
      <c r="B716" t="s">
        <v>9</v>
      </c>
      <c r="C716" t="s">
        <v>21</v>
      </c>
      <c r="D716" t="s">
        <v>36</v>
      </c>
      <c r="E716">
        <v>36</v>
      </c>
      <c r="F716">
        <v>9531.73</v>
      </c>
      <c r="G716" t="s">
        <v>20</v>
      </c>
      <c r="H716">
        <v>1</v>
      </c>
      <c r="I716">
        <v>7991.56</v>
      </c>
      <c r="J716">
        <v>1540.17</v>
      </c>
      <c r="K716" t="str">
        <f t="shared" si="34"/>
        <v>June</v>
      </c>
      <c r="L716" t="str">
        <f t="shared" si="35"/>
        <v>Q2</v>
      </c>
      <c r="M716">
        <f t="shared" si="33"/>
        <v>2022</v>
      </c>
      <c r="N716" t="s">
        <v>44</v>
      </c>
    </row>
    <row r="717" spans="1:14" ht="14.55" customHeight="1" x14ac:dyDescent="0.3">
      <c r="A717" s="1">
        <v>44830</v>
      </c>
      <c r="B717" t="s">
        <v>23</v>
      </c>
      <c r="C717" t="s">
        <v>25</v>
      </c>
      <c r="D717" t="s">
        <v>38</v>
      </c>
      <c r="E717">
        <v>5</v>
      </c>
      <c r="F717">
        <v>1071.25</v>
      </c>
      <c r="G717" t="s">
        <v>12</v>
      </c>
      <c r="H717">
        <v>1</v>
      </c>
      <c r="I717">
        <v>1063.0999999999999</v>
      </c>
      <c r="J717">
        <v>8.15</v>
      </c>
      <c r="K717" t="str">
        <f t="shared" si="34"/>
        <v>September</v>
      </c>
      <c r="L717" t="str">
        <f t="shared" si="35"/>
        <v>Q3</v>
      </c>
      <c r="M717">
        <f t="shared" si="33"/>
        <v>2022</v>
      </c>
      <c r="N717" t="s">
        <v>45</v>
      </c>
    </row>
    <row r="718" spans="1:14" ht="14.55" customHeight="1" x14ac:dyDescent="0.3">
      <c r="A718" s="1">
        <v>45042</v>
      </c>
      <c r="B718" t="s">
        <v>9</v>
      </c>
      <c r="C718" t="s">
        <v>16</v>
      </c>
      <c r="D718" t="s">
        <v>17</v>
      </c>
      <c r="E718">
        <v>30</v>
      </c>
      <c r="F718">
        <v>6835.99</v>
      </c>
      <c r="G718" t="s">
        <v>12</v>
      </c>
      <c r="H718">
        <v>4</v>
      </c>
      <c r="I718">
        <v>5657.65</v>
      </c>
      <c r="J718">
        <v>1178.3399999999999</v>
      </c>
      <c r="K718" t="str">
        <f t="shared" si="34"/>
        <v>April</v>
      </c>
      <c r="L718" t="str">
        <f t="shared" si="35"/>
        <v>Q2</v>
      </c>
      <c r="M718">
        <f t="shared" si="33"/>
        <v>2023</v>
      </c>
      <c r="N718" t="s">
        <v>45</v>
      </c>
    </row>
    <row r="719" spans="1:14" ht="14.55" customHeight="1" x14ac:dyDescent="0.3">
      <c r="A719" s="1">
        <v>45077</v>
      </c>
      <c r="B719" t="s">
        <v>31</v>
      </c>
      <c r="C719" t="s">
        <v>21</v>
      </c>
      <c r="D719" t="s">
        <v>22</v>
      </c>
      <c r="E719">
        <v>15</v>
      </c>
      <c r="F719">
        <v>2921</v>
      </c>
      <c r="G719" t="s">
        <v>12</v>
      </c>
      <c r="H719">
        <v>1</v>
      </c>
      <c r="I719">
        <v>100.31</v>
      </c>
      <c r="J719">
        <v>2820.69</v>
      </c>
      <c r="K719" t="str">
        <f t="shared" si="34"/>
        <v>May</v>
      </c>
      <c r="L719" t="str">
        <f t="shared" si="35"/>
        <v>Q2</v>
      </c>
      <c r="M719">
        <f t="shared" si="33"/>
        <v>2023</v>
      </c>
      <c r="N719" t="s">
        <v>44</v>
      </c>
    </row>
    <row r="720" spans="1:14" ht="14.55" customHeight="1" x14ac:dyDescent="0.3">
      <c r="A720" s="1">
        <v>44846</v>
      </c>
      <c r="B720" t="s">
        <v>18</v>
      </c>
      <c r="C720" t="s">
        <v>25</v>
      </c>
      <c r="D720" t="s">
        <v>26</v>
      </c>
      <c r="E720">
        <v>20</v>
      </c>
      <c r="F720">
        <v>4070.52</v>
      </c>
      <c r="G720" t="s">
        <v>12</v>
      </c>
      <c r="H720">
        <v>2</v>
      </c>
      <c r="I720">
        <v>939.07</v>
      </c>
      <c r="J720">
        <v>3131.45</v>
      </c>
      <c r="K720" t="str">
        <f t="shared" si="34"/>
        <v>October</v>
      </c>
      <c r="L720" t="str">
        <f t="shared" si="35"/>
        <v>Q4</v>
      </c>
      <c r="M720">
        <f t="shared" si="33"/>
        <v>2022</v>
      </c>
      <c r="N720" t="s">
        <v>44</v>
      </c>
    </row>
    <row r="721" spans="1:14" ht="14.55" customHeight="1" x14ac:dyDescent="0.3">
      <c r="A721" s="1">
        <v>45262</v>
      </c>
      <c r="B721" t="s">
        <v>23</v>
      </c>
      <c r="C721" t="s">
        <v>21</v>
      </c>
      <c r="D721" t="s">
        <v>32</v>
      </c>
      <c r="E721">
        <v>30</v>
      </c>
      <c r="F721">
        <v>9780.7000000000007</v>
      </c>
      <c r="G721" t="s">
        <v>20</v>
      </c>
      <c r="H721">
        <v>1</v>
      </c>
      <c r="I721">
        <v>4621.88</v>
      </c>
      <c r="J721">
        <v>5158.82</v>
      </c>
      <c r="K721" t="str">
        <f t="shared" si="34"/>
        <v>December</v>
      </c>
      <c r="L721" t="str">
        <f t="shared" si="35"/>
        <v>Q4</v>
      </c>
      <c r="M721">
        <f t="shared" si="33"/>
        <v>2023</v>
      </c>
      <c r="N721" t="s">
        <v>45</v>
      </c>
    </row>
    <row r="722" spans="1:14" ht="14.55" customHeight="1" x14ac:dyDescent="0.3">
      <c r="A722" s="1">
        <v>44730</v>
      </c>
      <c r="B722" t="s">
        <v>9</v>
      </c>
      <c r="C722" t="s">
        <v>16</v>
      </c>
      <c r="D722" t="s">
        <v>17</v>
      </c>
      <c r="E722">
        <v>20</v>
      </c>
      <c r="F722">
        <v>3015.63</v>
      </c>
      <c r="G722" t="s">
        <v>20</v>
      </c>
      <c r="H722">
        <v>4</v>
      </c>
      <c r="I722">
        <v>1012.49</v>
      </c>
      <c r="J722">
        <v>2003.14</v>
      </c>
      <c r="K722" t="str">
        <f t="shared" si="34"/>
        <v>June</v>
      </c>
      <c r="L722" t="str">
        <f t="shared" si="35"/>
        <v>Q2</v>
      </c>
      <c r="M722">
        <f t="shared" si="33"/>
        <v>2022</v>
      </c>
      <c r="N722" t="s">
        <v>44</v>
      </c>
    </row>
    <row r="723" spans="1:14" ht="14.55" customHeight="1" x14ac:dyDescent="0.3">
      <c r="A723" s="1">
        <v>45246</v>
      </c>
      <c r="B723" t="s">
        <v>23</v>
      </c>
      <c r="C723" t="s">
        <v>10</v>
      </c>
      <c r="D723" t="s">
        <v>35</v>
      </c>
      <c r="E723">
        <v>23</v>
      </c>
      <c r="F723">
        <v>560.33000000000004</v>
      </c>
      <c r="G723" t="s">
        <v>20</v>
      </c>
      <c r="H723">
        <v>5</v>
      </c>
      <c r="I723">
        <v>2523.94</v>
      </c>
      <c r="J723">
        <v>-1963.61</v>
      </c>
      <c r="K723" t="str">
        <f t="shared" si="34"/>
        <v>November</v>
      </c>
      <c r="L723" t="str">
        <f t="shared" si="35"/>
        <v>Q4</v>
      </c>
      <c r="M723">
        <f t="shared" si="33"/>
        <v>2023</v>
      </c>
      <c r="N723" t="s">
        <v>44</v>
      </c>
    </row>
    <row r="724" spans="1:14" ht="14.55" customHeight="1" x14ac:dyDescent="0.3">
      <c r="A724" s="1">
        <v>45190</v>
      </c>
      <c r="B724" t="s">
        <v>23</v>
      </c>
      <c r="C724" t="s">
        <v>10</v>
      </c>
      <c r="D724" t="s">
        <v>34</v>
      </c>
      <c r="E724">
        <v>43</v>
      </c>
      <c r="F724">
        <v>21391.87</v>
      </c>
      <c r="G724" t="s">
        <v>20</v>
      </c>
      <c r="H724">
        <v>4</v>
      </c>
      <c r="I724">
        <v>3076.41</v>
      </c>
      <c r="J724">
        <v>18315.46</v>
      </c>
      <c r="K724" t="str">
        <f t="shared" si="34"/>
        <v>September</v>
      </c>
      <c r="L724" t="str">
        <f t="shared" si="35"/>
        <v>Q3</v>
      </c>
      <c r="M724">
        <f t="shared" si="33"/>
        <v>2023</v>
      </c>
      <c r="N724" t="s">
        <v>45</v>
      </c>
    </row>
    <row r="725" spans="1:14" ht="14.55" customHeight="1" x14ac:dyDescent="0.3">
      <c r="A725" s="1">
        <v>44836</v>
      </c>
      <c r="B725" t="s">
        <v>23</v>
      </c>
      <c r="C725" t="s">
        <v>21</v>
      </c>
      <c r="D725" t="s">
        <v>22</v>
      </c>
      <c r="E725">
        <v>42</v>
      </c>
      <c r="F725">
        <v>10033.91</v>
      </c>
      <c r="G725" t="s">
        <v>12</v>
      </c>
      <c r="H725">
        <v>1</v>
      </c>
      <c r="I725">
        <v>2375.9499999999998</v>
      </c>
      <c r="J725">
        <v>7657.96</v>
      </c>
      <c r="K725" t="str">
        <f t="shared" si="34"/>
        <v>October</v>
      </c>
      <c r="L725" t="str">
        <f t="shared" si="35"/>
        <v>Q4</v>
      </c>
      <c r="M725">
        <f t="shared" si="33"/>
        <v>2022</v>
      </c>
      <c r="N725" t="s">
        <v>45</v>
      </c>
    </row>
    <row r="726" spans="1:14" ht="14.55" customHeight="1" x14ac:dyDescent="0.3">
      <c r="A726" s="1">
        <v>44783</v>
      </c>
      <c r="B726" t="s">
        <v>9</v>
      </c>
      <c r="C726" t="s">
        <v>13</v>
      </c>
      <c r="D726" t="s">
        <v>40</v>
      </c>
      <c r="E726">
        <v>38</v>
      </c>
      <c r="F726">
        <v>18134.490000000002</v>
      </c>
      <c r="G726" t="s">
        <v>12</v>
      </c>
      <c r="H726">
        <v>1</v>
      </c>
      <c r="I726">
        <v>5214.59</v>
      </c>
      <c r="J726">
        <v>12919.9</v>
      </c>
      <c r="K726" t="str">
        <f t="shared" si="34"/>
        <v>August</v>
      </c>
      <c r="L726" t="str">
        <f t="shared" si="35"/>
        <v>Q3</v>
      </c>
      <c r="M726">
        <f t="shared" si="33"/>
        <v>2022</v>
      </c>
      <c r="N726" t="s">
        <v>45</v>
      </c>
    </row>
    <row r="727" spans="1:14" ht="14.55" customHeight="1" x14ac:dyDescent="0.3">
      <c r="A727" s="1">
        <v>45267</v>
      </c>
      <c r="B727" t="s">
        <v>31</v>
      </c>
      <c r="C727" t="s">
        <v>16</v>
      </c>
      <c r="D727" t="s">
        <v>24</v>
      </c>
      <c r="E727">
        <v>6</v>
      </c>
      <c r="F727">
        <v>514.03</v>
      </c>
      <c r="G727" t="s">
        <v>20</v>
      </c>
      <c r="H727">
        <v>3</v>
      </c>
      <c r="I727">
        <v>321.38</v>
      </c>
      <c r="J727">
        <v>192.65</v>
      </c>
      <c r="K727" t="str">
        <f t="shared" si="34"/>
        <v>December</v>
      </c>
      <c r="L727" t="str">
        <f t="shared" si="35"/>
        <v>Q4</v>
      </c>
      <c r="M727">
        <f t="shared" si="33"/>
        <v>2023</v>
      </c>
      <c r="N727" t="s">
        <v>44</v>
      </c>
    </row>
    <row r="728" spans="1:14" ht="14.55" customHeight="1" x14ac:dyDescent="0.3">
      <c r="A728" s="1">
        <v>44825</v>
      </c>
      <c r="B728" t="s">
        <v>23</v>
      </c>
      <c r="C728" t="s">
        <v>13</v>
      </c>
      <c r="D728" t="s">
        <v>40</v>
      </c>
      <c r="E728">
        <v>46</v>
      </c>
      <c r="F728">
        <v>10885.92</v>
      </c>
      <c r="G728" t="s">
        <v>12</v>
      </c>
      <c r="H728">
        <v>4</v>
      </c>
      <c r="I728">
        <v>1273.3900000000001</v>
      </c>
      <c r="J728">
        <v>9612.5300000000007</v>
      </c>
      <c r="K728" t="str">
        <f t="shared" si="34"/>
        <v>September</v>
      </c>
      <c r="L728" t="str">
        <f t="shared" si="35"/>
        <v>Q3</v>
      </c>
      <c r="M728">
        <f t="shared" si="33"/>
        <v>2022</v>
      </c>
      <c r="N728" t="s">
        <v>47</v>
      </c>
    </row>
    <row r="729" spans="1:14" ht="14.55" customHeight="1" x14ac:dyDescent="0.3">
      <c r="A729" s="1">
        <v>45085</v>
      </c>
      <c r="B729" t="s">
        <v>18</v>
      </c>
      <c r="C729" t="s">
        <v>25</v>
      </c>
      <c r="D729" t="s">
        <v>39</v>
      </c>
      <c r="E729">
        <v>49</v>
      </c>
      <c r="F729">
        <v>13766.18</v>
      </c>
      <c r="G729" t="s">
        <v>12</v>
      </c>
      <c r="H729">
        <v>4</v>
      </c>
      <c r="I729">
        <v>5836.17</v>
      </c>
      <c r="J729">
        <v>7930.01</v>
      </c>
      <c r="K729" t="str">
        <f t="shared" si="34"/>
        <v>June</v>
      </c>
      <c r="L729" t="str">
        <f t="shared" si="35"/>
        <v>Q2</v>
      </c>
      <c r="M729">
        <f t="shared" si="33"/>
        <v>2023</v>
      </c>
      <c r="N729" t="s">
        <v>44</v>
      </c>
    </row>
    <row r="730" spans="1:14" ht="14.55" customHeight="1" x14ac:dyDescent="0.3">
      <c r="A730" s="1">
        <v>44841</v>
      </c>
      <c r="B730" t="s">
        <v>9</v>
      </c>
      <c r="C730" t="s">
        <v>10</v>
      </c>
      <c r="D730" t="s">
        <v>28</v>
      </c>
      <c r="E730">
        <v>7</v>
      </c>
      <c r="F730">
        <v>2064.64</v>
      </c>
      <c r="G730" t="s">
        <v>12</v>
      </c>
      <c r="H730">
        <v>4</v>
      </c>
      <c r="I730">
        <v>507.33</v>
      </c>
      <c r="J730">
        <v>1557.31</v>
      </c>
      <c r="K730" t="str">
        <f t="shared" si="34"/>
        <v>October</v>
      </c>
      <c r="L730" t="str">
        <f t="shared" si="35"/>
        <v>Q4</v>
      </c>
      <c r="M730">
        <f t="shared" si="33"/>
        <v>2022</v>
      </c>
      <c r="N730" t="s">
        <v>44</v>
      </c>
    </row>
    <row r="731" spans="1:14" ht="14.55" customHeight="1" x14ac:dyDescent="0.3">
      <c r="A731" s="1">
        <v>44903</v>
      </c>
      <c r="B731" t="s">
        <v>31</v>
      </c>
      <c r="C731" t="s">
        <v>10</v>
      </c>
      <c r="D731" t="s">
        <v>35</v>
      </c>
      <c r="E731">
        <v>20</v>
      </c>
      <c r="F731">
        <v>7465.54</v>
      </c>
      <c r="G731" t="s">
        <v>20</v>
      </c>
      <c r="H731">
        <v>2</v>
      </c>
      <c r="I731">
        <v>4515.5600000000004</v>
      </c>
      <c r="J731">
        <v>2949.98</v>
      </c>
      <c r="K731" t="str">
        <f t="shared" si="34"/>
        <v>December</v>
      </c>
      <c r="L731" t="str">
        <f t="shared" si="35"/>
        <v>Q4</v>
      </c>
      <c r="M731">
        <f t="shared" si="33"/>
        <v>2022</v>
      </c>
      <c r="N731" t="s">
        <v>44</v>
      </c>
    </row>
    <row r="732" spans="1:14" ht="14.55" customHeight="1" x14ac:dyDescent="0.3">
      <c r="A732" s="1">
        <v>45040</v>
      </c>
      <c r="B732" t="s">
        <v>9</v>
      </c>
      <c r="C732" t="s">
        <v>10</v>
      </c>
      <c r="D732" t="s">
        <v>35</v>
      </c>
      <c r="E732">
        <v>14</v>
      </c>
      <c r="F732">
        <v>5370.02</v>
      </c>
      <c r="G732" t="s">
        <v>12</v>
      </c>
      <c r="H732">
        <v>1</v>
      </c>
      <c r="I732">
        <v>2017.13</v>
      </c>
      <c r="J732">
        <v>3352.89</v>
      </c>
      <c r="K732" t="str">
        <f t="shared" si="34"/>
        <v>April</v>
      </c>
      <c r="L732" t="str">
        <f t="shared" si="35"/>
        <v>Q2</v>
      </c>
      <c r="M732">
        <f t="shared" si="33"/>
        <v>2023</v>
      </c>
      <c r="N732" t="s">
        <v>47</v>
      </c>
    </row>
    <row r="733" spans="1:14" ht="14.55" customHeight="1" x14ac:dyDescent="0.3">
      <c r="A733" s="1">
        <v>44825</v>
      </c>
      <c r="B733" t="s">
        <v>15</v>
      </c>
      <c r="C733" t="s">
        <v>13</v>
      </c>
      <c r="D733" t="s">
        <v>19</v>
      </c>
      <c r="E733">
        <v>2</v>
      </c>
      <c r="F733">
        <v>418.36</v>
      </c>
      <c r="G733" t="s">
        <v>12</v>
      </c>
      <c r="H733">
        <v>1</v>
      </c>
      <c r="I733">
        <v>132.46</v>
      </c>
      <c r="J733">
        <v>285.89999999999998</v>
      </c>
      <c r="K733" t="str">
        <f t="shared" si="34"/>
        <v>September</v>
      </c>
      <c r="L733" t="str">
        <f t="shared" si="35"/>
        <v>Q3</v>
      </c>
      <c r="M733">
        <f t="shared" si="33"/>
        <v>2022</v>
      </c>
      <c r="N733" t="s">
        <v>45</v>
      </c>
    </row>
    <row r="734" spans="1:14" ht="14.55" customHeight="1" x14ac:dyDescent="0.3">
      <c r="A734" s="1">
        <v>45107</v>
      </c>
      <c r="B734" t="s">
        <v>9</v>
      </c>
      <c r="C734" t="s">
        <v>25</v>
      </c>
      <c r="D734" t="s">
        <v>30</v>
      </c>
      <c r="E734">
        <v>11</v>
      </c>
      <c r="F734">
        <v>1881.67</v>
      </c>
      <c r="G734" t="s">
        <v>12</v>
      </c>
      <c r="H734">
        <v>4</v>
      </c>
      <c r="I734">
        <v>1001.36</v>
      </c>
      <c r="J734">
        <v>880.31</v>
      </c>
      <c r="K734" t="str">
        <f t="shared" si="34"/>
        <v>June</v>
      </c>
      <c r="L734" t="str">
        <f t="shared" si="35"/>
        <v>Q2</v>
      </c>
      <c r="M734">
        <f t="shared" si="33"/>
        <v>2023</v>
      </c>
      <c r="N734" t="s">
        <v>47</v>
      </c>
    </row>
    <row r="735" spans="1:14" ht="14.55" customHeight="1" x14ac:dyDescent="0.3">
      <c r="A735" s="1">
        <v>45237</v>
      </c>
      <c r="B735" t="s">
        <v>18</v>
      </c>
      <c r="C735" t="s">
        <v>21</v>
      </c>
      <c r="D735" t="s">
        <v>33</v>
      </c>
      <c r="E735">
        <v>43</v>
      </c>
      <c r="F735">
        <v>17439.509999999998</v>
      </c>
      <c r="G735" t="s">
        <v>20</v>
      </c>
      <c r="H735">
        <v>4</v>
      </c>
      <c r="I735">
        <v>10505.51</v>
      </c>
      <c r="J735">
        <v>6934</v>
      </c>
      <c r="K735" t="str">
        <f t="shared" si="34"/>
        <v>November</v>
      </c>
      <c r="L735" t="str">
        <f t="shared" si="35"/>
        <v>Q4</v>
      </c>
      <c r="M735">
        <f t="shared" si="33"/>
        <v>2023</v>
      </c>
      <c r="N735" t="s">
        <v>45</v>
      </c>
    </row>
    <row r="736" spans="1:14" ht="14.55" customHeight="1" x14ac:dyDescent="0.3">
      <c r="A736" s="1">
        <v>44736</v>
      </c>
      <c r="B736" t="s">
        <v>31</v>
      </c>
      <c r="C736" t="s">
        <v>10</v>
      </c>
      <c r="D736" t="s">
        <v>35</v>
      </c>
      <c r="E736">
        <v>2</v>
      </c>
      <c r="F736">
        <v>293.22000000000003</v>
      </c>
      <c r="G736" t="s">
        <v>20</v>
      </c>
      <c r="H736">
        <v>4</v>
      </c>
      <c r="I736">
        <v>417.62</v>
      </c>
      <c r="J736">
        <v>-124.4</v>
      </c>
      <c r="K736" t="str">
        <f t="shared" si="34"/>
        <v>June</v>
      </c>
      <c r="L736" t="str">
        <f t="shared" si="35"/>
        <v>Q2</v>
      </c>
      <c r="M736">
        <f t="shared" si="33"/>
        <v>2022</v>
      </c>
      <c r="N736" t="s">
        <v>44</v>
      </c>
    </row>
    <row r="737" spans="1:14" ht="14.55" customHeight="1" x14ac:dyDescent="0.3">
      <c r="A737" s="1">
        <v>44759</v>
      </c>
      <c r="B737" t="s">
        <v>31</v>
      </c>
      <c r="C737" t="s">
        <v>10</v>
      </c>
      <c r="D737" t="s">
        <v>11</v>
      </c>
      <c r="E737">
        <v>38</v>
      </c>
      <c r="F737">
        <v>12598.33</v>
      </c>
      <c r="G737" t="s">
        <v>20</v>
      </c>
      <c r="H737">
        <v>4</v>
      </c>
      <c r="I737">
        <v>6459.65</v>
      </c>
      <c r="J737">
        <v>6138.68</v>
      </c>
      <c r="K737" t="str">
        <f t="shared" si="34"/>
        <v>July</v>
      </c>
      <c r="L737" t="str">
        <f t="shared" si="35"/>
        <v>Q3</v>
      </c>
      <c r="M737">
        <f t="shared" si="33"/>
        <v>2022</v>
      </c>
      <c r="N737" t="s">
        <v>44</v>
      </c>
    </row>
    <row r="738" spans="1:14" ht="14.55" customHeight="1" x14ac:dyDescent="0.3">
      <c r="A738" s="1">
        <v>44931</v>
      </c>
      <c r="B738" t="s">
        <v>31</v>
      </c>
      <c r="C738" t="s">
        <v>21</v>
      </c>
      <c r="D738" t="s">
        <v>33</v>
      </c>
      <c r="E738">
        <v>3</v>
      </c>
      <c r="F738">
        <v>805.36</v>
      </c>
      <c r="G738" t="s">
        <v>12</v>
      </c>
      <c r="H738">
        <v>1</v>
      </c>
      <c r="I738">
        <v>411.46</v>
      </c>
      <c r="J738">
        <v>393.9</v>
      </c>
      <c r="K738" t="str">
        <f t="shared" si="34"/>
        <v>January</v>
      </c>
      <c r="L738" t="str">
        <f t="shared" si="35"/>
        <v>Q1</v>
      </c>
      <c r="M738">
        <f t="shared" si="33"/>
        <v>2023</v>
      </c>
      <c r="N738" t="s">
        <v>47</v>
      </c>
    </row>
    <row r="739" spans="1:14" ht="14.55" customHeight="1" x14ac:dyDescent="0.3">
      <c r="A739" s="1">
        <v>44949</v>
      </c>
      <c r="B739" t="s">
        <v>23</v>
      </c>
      <c r="C739" t="s">
        <v>25</v>
      </c>
      <c r="D739" t="s">
        <v>26</v>
      </c>
      <c r="E739">
        <v>43</v>
      </c>
      <c r="F739">
        <v>6104.09</v>
      </c>
      <c r="G739" t="s">
        <v>12</v>
      </c>
      <c r="H739">
        <v>4</v>
      </c>
      <c r="I739">
        <v>6239.74</v>
      </c>
      <c r="J739">
        <v>-135.65</v>
      </c>
      <c r="K739" t="str">
        <f t="shared" si="34"/>
        <v>January</v>
      </c>
      <c r="L739" t="str">
        <f t="shared" si="35"/>
        <v>Q1</v>
      </c>
      <c r="M739">
        <f t="shared" si="33"/>
        <v>2023</v>
      </c>
      <c r="N739" t="s">
        <v>47</v>
      </c>
    </row>
    <row r="740" spans="1:14" ht="14.55" customHeight="1" x14ac:dyDescent="0.3">
      <c r="A740" s="1">
        <v>44639</v>
      </c>
      <c r="B740" t="s">
        <v>9</v>
      </c>
      <c r="C740" t="s">
        <v>16</v>
      </c>
      <c r="D740" t="s">
        <v>17</v>
      </c>
      <c r="E740">
        <v>33</v>
      </c>
      <c r="F740">
        <v>2748.76</v>
      </c>
      <c r="G740" t="s">
        <v>20</v>
      </c>
      <c r="H740">
        <v>2</v>
      </c>
      <c r="I740">
        <v>3428.72</v>
      </c>
      <c r="J740">
        <v>-679.96</v>
      </c>
      <c r="K740" t="str">
        <f t="shared" si="34"/>
        <v>March</v>
      </c>
      <c r="L740" t="str">
        <f t="shared" si="35"/>
        <v>Q1</v>
      </c>
      <c r="M740">
        <f t="shared" si="33"/>
        <v>2022</v>
      </c>
      <c r="N740" t="s">
        <v>44</v>
      </c>
    </row>
    <row r="741" spans="1:14" ht="14.55" customHeight="1" x14ac:dyDescent="0.3">
      <c r="A741" s="1">
        <v>45118</v>
      </c>
      <c r="B741" t="s">
        <v>9</v>
      </c>
      <c r="C741" t="s">
        <v>21</v>
      </c>
      <c r="D741" t="s">
        <v>22</v>
      </c>
      <c r="E741">
        <v>38</v>
      </c>
      <c r="F741">
        <v>14911.37</v>
      </c>
      <c r="G741" t="s">
        <v>12</v>
      </c>
      <c r="H741">
        <v>1</v>
      </c>
      <c r="I741">
        <v>577.54</v>
      </c>
      <c r="J741">
        <v>14333.83</v>
      </c>
      <c r="K741" t="str">
        <f t="shared" si="34"/>
        <v>July</v>
      </c>
      <c r="L741" t="str">
        <f t="shared" si="35"/>
        <v>Q3</v>
      </c>
      <c r="M741">
        <f t="shared" si="33"/>
        <v>2023</v>
      </c>
      <c r="N741" t="s">
        <v>44</v>
      </c>
    </row>
    <row r="742" spans="1:14" ht="14.55" customHeight="1" x14ac:dyDescent="0.3">
      <c r="A742" s="1">
        <v>44595</v>
      </c>
      <c r="B742" t="s">
        <v>9</v>
      </c>
      <c r="C742" t="s">
        <v>16</v>
      </c>
      <c r="D742" t="s">
        <v>17</v>
      </c>
      <c r="E742">
        <v>1</v>
      </c>
      <c r="F742">
        <v>118.91</v>
      </c>
      <c r="G742" t="s">
        <v>12</v>
      </c>
      <c r="H742">
        <v>3</v>
      </c>
      <c r="I742">
        <v>200.77</v>
      </c>
      <c r="J742">
        <v>-81.86</v>
      </c>
      <c r="K742" t="str">
        <f t="shared" si="34"/>
        <v>February</v>
      </c>
      <c r="L742" t="str">
        <f t="shared" si="35"/>
        <v>Q1</v>
      </c>
      <c r="M742">
        <f t="shared" si="33"/>
        <v>2022</v>
      </c>
      <c r="N742" t="s">
        <v>45</v>
      </c>
    </row>
    <row r="743" spans="1:14" ht="14.55" customHeight="1" x14ac:dyDescent="0.3">
      <c r="A743" s="1">
        <v>45033</v>
      </c>
      <c r="B743" t="s">
        <v>31</v>
      </c>
      <c r="C743" t="s">
        <v>25</v>
      </c>
      <c r="D743" t="s">
        <v>39</v>
      </c>
      <c r="E743">
        <v>27</v>
      </c>
      <c r="F743">
        <v>2336.66</v>
      </c>
      <c r="G743" t="s">
        <v>12</v>
      </c>
      <c r="H743">
        <v>4</v>
      </c>
      <c r="I743">
        <v>5504.1</v>
      </c>
      <c r="J743">
        <v>-3167.44</v>
      </c>
      <c r="K743" t="str">
        <f t="shared" si="34"/>
        <v>April</v>
      </c>
      <c r="L743" t="str">
        <f t="shared" si="35"/>
        <v>Q2</v>
      </c>
      <c r="M743">
        <f t="shared" si="33"/>
        <v>2023</v>
      </c>
      <c r="N743" t="s">
        <v>44</v>
      </c>
    </row>
    <row r="744" spans="1:14" ht="14.55" customHeight="1" x14ac:dyDescent="0.3">
      <c r="A744" s="1">
        <v>44944</v>
      </c>
      <c r="B744" t="s">
        <v>31</v>
      </c>
      <c r="C744" t="s">
        <v>16</v>
      </c>
      <c r="D744" t="s">
        <v>17</v>
      </c>
      <c r="E744">
        <v>40</v>
      </c>
      <c r="F744">
        <v>1284.3499999999999</v>
      </c>
      <c r="G744" t="s">
        <v>12</v>
      </c>
      <c r="H744">
        <v>2</v>
      </c>
      <c r="I744">
        <v>7578.82</v>
      </c>
      <c r="J744">
        <v>-6294.47</v>
      </c>
      <c r="K744" t="str">
        <f t="shared" si="34"/>
        <v>January</v>
      </c>
      <c r="L744" t="str">
        <f t="shared" si="35"/>
        <v>Q1</v>
      </c>
      <c r="M744">
        <f t="shared" si="33"/>
        <v>2023</v>
      </c>
      <c r="N744" t="s">
        <v>46</v>
      </c>
    </row>
    <row r="745" spans="1:14" ht="14.55" customHeight="1" x14ac:dyDescent="0.3">
      <c r="A745" s="1">
        <v>44861</v>
      </c>
      <c r="B745" t="s">
        <v>15</v>
      </c>
      <c r="C745" t="s">
        <v>25</v>
      </c>
      <c r="D745" t="s">
        <v>26</v>
      </c>
      <c r="E745">
        <v>8</v>
      </c>
      <c r="F745">
        <v>1144.51</v>
      </c>
      <c r="G745" t="s">
        <v>12</v>
      </c>
      <c r="H745">
        <v>3</v>
      </c>
      <c r="I745">
        <v>1828.1</v>
      </c>
      <c r="J745">
        <v>-683.59</v>
      </c>
      <c r="K745" t="str">
        <f t="shared" si="34"/>
        <v>October</v>
      </c>
      <c r="L745" t="str">
        <f t="shared" si="35"/>
        <v>Q4</v>
      </c>
      <c r="M745">
        <f t="shared" si="33"/>
        <v>2022</v>
      </c>
      <c r="N745" t="s">
        <v>44</v>
      </c>
    </row>
    <row r="746" spans="1:14" ht="14.55" customHeight="1" x14ac:dyDescent="0.3">
      <c r="A746" s="1">
        <v>45160</v>
      </c>
      <c r="B746" t="s">
        <v>9</v>
      </c>
      <c r="C746" t="s">
        <v>13</v>
      </c>
      <c r="D746" t="s">
        <v>19</v>
      </c>
      <c r="E746">
        <v>40</v>
      </c>
      <c r="F746">
        <v>16892.509999999998</v>
      </c>
      <c r="G746" t="s">
        <v>20</v>
      </c>
      <c r="H746">
        <v>4</v>
      </c>
      <c r="I746">
        <v>5666.23</v>
      </c>
      <c r="J746">
        <v>11226.28</v>
      </c>
      <c r="K746" t="str">
        <f t="shared" si="34"/>
        <v>August</v>
      </c>
      <c r="L746" t="str">
        <f t="shared" si="35"/>
        <v>Q3</v>
      </c>
      <c r="M746">
        <f t="shared" si="33"/>
        <v>2023</v>
      </c>
      <c r="N746" t="s">
        <v>44</v>
      </c>
    </row>
    <row r="747" spans="1:14" ht="14.55" customHeight="1" x14ac:dyDescent="0.3">
      <c r="A747" s="1">
        <v>44765</v>
      </c>
      <c r="B747" t="s">
        <v>15</v>
      </c>
      <c r="C747" t="s">
        <v>10</v>
      </c>
      <c r="D747" t="s">
        <v>35</v>
      </c>
      <c r="E747">
        <v>45</v>
      </c>
      <c r="F747">
        <v>10946.02</v>
      </c>
      <c r="G747" t="s">
        <v>12</v>
      </c>
      <c r="H747">
        <v>2</v>
      </c>
      <c r="I747">
        <v>4866.58</v>
      </c>
      <c r="J747">
        <v>6079.44</v>
      </c>
      <c r="K747" t="str">
        <f t="shared" si="34"/>
        <v>July</v>
      </c>
      <c r="L747" t="str">
        <f t="shared" si="35"/>
        <v>Q3</v>
      </c>
      <c r="M747">
        <f t="shared" si="33"/>
        <v>2022</v>
      </c>
      <c r="N747" t="s">
        <v>46</v>
      </c>
    </row>
    <row r="748" spans="1:14" ht="14.55" customHeight="1" x14ac:dyDescent="0.3">
      <c r="A748" s="1">
        <v>45009</v>
      </c>
      <c r="B748" t="s">
        <v>15</v>
      </c>
      <c r="C748" t="s">
        <v>21</v>
      </c>
      <c r="D748" t="s">
        <v>22</v>
      </c>
      <c r="E748">
        <v>24</v>
      </c>
      <c r="F748">
        <v>7182.93</v>
      </c>
      <c r="G748" t="s">
        <v>12</v>
      </c>
      <c r="H748">
        <v>1</v>
      </c>
      <c r="I748">
        <v>825.5</v>
      </c>
      <c r="J748">
        <v>6357.43</v>
      </c>
      <c r="K748" t="str">
        <f t="shared" si="34"/>
        <v>March</v>
      </c>
      <c r="L748" t="str">
        <f t="shared" si="35"/>
        <v>Q1</v>
      </c>
      <c r="M748">
        <f t="shared" si="33"/>
        <v>2023</v>
      </c>
      <c r="N748" t="s">
        <v>44</v>
      </c>
    </row>
    <row r="749" spans="1:14" ht="14.55" customHeight="1" x14ac:dyDescent="0.3">
      <c r="A749" s="1">
        <v>44719</v>
      </c>
      <c r="B749" t="s">
        <v>15</v>
      </c>
      <c r="C749" t="s">
        <v>21</v>
      </c>
      <c r="D749" t="s">
        <v>22</v>
      </c>
      <c r="E749">
        <v>29</v>
      </c>
      <c r="F749">
        <v>13023.01</v>
      </c>
      <c r="G749" t="s">
        <v>20</v>
      </c>
      <c r="H749">
        <v>5</v>
      </c>
      <c r="I749">
        <v>920.13</v>
      </c>
      <c r="J749">
        <v>12102.88</v>
      </c>
      <c r="K749" t="str">
        <f t="shared" si="34"/>
        <v>June</v>
      </c>
      <c r="L749" t="str">
        <f t="shared" si="35"/>
        <v>Q2</v>
      </c>
      <c r="M749">
        <f t="shared" si="33"/>
        <v>2022</v>
      </c>
      <c r="N749" t="s">
        <v>47</v>
      </c>
    </row>
    <row r="750" spans="1:14" ht="14.55" customHeight="1" x14ac:dyDescent="0.3">
      <c r="A750" s="1">
        <v>44620</v>
      </c>
      <c r="B750" t="s">
        <v>23</v>
      </c>
      <c r="C750" t="s">
        <v>10</v>
      </c>
      <c r="D750" t="s">
        <v>34</v>
      </c>
      <c r="E750">
        <v>38</v>
      </c>
      <c r="F750">
        <v>18064.490000000002</v>
      </c>
      <c r="G750" t="s">
        <v>12</v>
      </c>
      <c r="H750">
        <v>5</v>
      </c>
      <c r="I750">
        <v>722.35</v>
      </c>
      <c r="J750">
        <v>17342.14</v>
      </c>
      <c r="K750" t="str">
        <f t="shared" si="34"/>
        <v>February</v>
      </c>
      <c r="L750" t="str">
        <f t="shared" si="35"/>
        <v>Q1</v>
      </c>
      <c r="M750">
        <f t="shared" si="33"/>
        <v>2022</v>
      </c>
      <c r="N750" t="s">
        <v>44</v>
      </c>
    </row>
    <row r="751" spans="1:14" ht="14.55" customHeight="1" x14ac:dyDescent="0.3">
      <c r="A751" s="1">
        <v>44653</v>
      </c>
      <c r="B751" t="s">
        <v>9</v>
      </c>
      <c r="C751" t="s">
        <v>21</v>
      </c>
      <c r="D751" t="s">
        <v>32</v>
      </c>
      <c r="E751">
        <v>28</v>
      </c>
      <c r="F751">
        <v>1255.78</v>
      </c>
      <c r="G751" t="s">
        <v>12</v>
      </c>
      <c r="H751">
        <v>3</v>
      </c>
      <c r="I751">
        <v>2895.64</v>
      </c>
      <c r="J751">
        <v>-1639.86</v>
      </c>
      <c r="K751" t="str">
        <f t="shared" si="34"/>
        <v>April</v>
      </c>
      <c r="L751" t="str">
        <f t="shared" si="35"/>
        <v>Q2</v>
      </c>
      <c r="M751">
        <f t="shared" si="33"/>
        <v>2022</v>
      </c>
      <c r="N751" t="s">
        <v>46</v>
      </c>
    </row>
    <row r="752" spans="1:14" ht="14.55" customHeight="1" x14ac:dyDescent="0.3">
      <c r="A752" s="1">
        <v>44754</v>
      </c>
      <c r="B752" t="s">
        <v>9</v>
      </c>
      <c r="C752" t="s">
        <v>16</v>
      </c>
      <c r="D752" t="s">
        <v>27</v>
      </c>
      <c r="E752">
        <v>19</v>
      </c>
      <c r="F752">
        <v>5955.63</v>
      </c>
      <c r="G752" t="s">
        <v>20</v>
      </c>
      <c r="H752">
        <v>1</v>
      </c>
      <c r="I752">
        <v>3582.68</v>
      </c>
      <c r="J752">
        <v>2372.9499999999998</v>
      </c>
      <c r="K752" t="str">
        <f t="shared" si="34"/>
        <v>July</v>
      </c>
      <c r="L752" t="str">
        <f t="shared" si="35"/>
        <v>Q3</v>
      </c>
      <c r="M752">
        <f t="shared" si="33"/>
        <v>2022</v>
      </c>
      <c r="N752" t="s">
        <v>44</v>
      </c>
    </row>
    <row r="753" spans="1:14" ht="14.55" customHeight="1" x14ac:dyDescent="0.3">
      <c r="A753" s="1">
        <v>44821</v>
      </c>
      <c r="B753" t="s">
        <v>18</v>
      </c>
      <c r="C753" t="s">
        <v>25</v>
      </c>
      <c r="D753" t="s">
        <v>26</v>
      </c>
      <c r="E753">
        <v>42</v>
      </c>
      <c r="F753">
        <v>1518.41</v>
      </c>
      <c r="G753" t="s">
        <v>20</v>
      </c>
      <c r="H753">
        <v>4</v>
      </c>
      <c r="I753">
        <v>6083.85</v>
      </c>
      <c r="J753">
        <v>-4565.4399999999996</v>
      </c>
      <c r="K753" t="str">
        <f t="shared" si="34"/>
        <v>September</v>
      </c>
      <c r="L753" t="str">
        <f t="shared" si="35"/>
        <v>Q3</v>
      </c>
      <c r="M753">
        <f t="shared" si="33"/>
        <v>2022</v>
      </c>
      <c r="N753" t="s">
        <v>45</v>
      </c>
    </row>
    <row r="754" spans="1:14" ht="14.55" customHeight="1" x14ac:dyDescent="0.3">
      <c r="A754" s="1">
        <v>45098</v>
      </c>
      <c r="B754" t="s">
        <v>23</v>
      </c>
      <c r="C754" t="s">
        <v>25</v>
      </c>
      <c r="D754" t="s">
        <v>30</v>
      </c>
      <c r="E754">
        <v>17</v>
      </c>
      <c r="F754">
        <v>6876.35</v>
      </c>
      <c r="G754" t="s">
        <v>12</v>
      </c>
      <c r="H754">
        <v>1</v>
      </c>
      <c r="I754">
        <v>3104.81</v>
      </c>
      <c r="J754">
        <v>3771.54</v>
      </c>
      <c r="K754" t="str">
        <f t="shared" si="34"/>
        <v>June</v>
      </c>
      <c r="L754" t="str">
        <f t="shared" si="35"/>
        <v>Q2</v>
      </c>
      <c r="M754">
        <f t="shared" si="33"/>
        <v>2023</v>
      </c>
      <c r="N754" t="s">
        <v>44</v>
      </c>
    </row>
    <row r="755" spans="1:14" ht="14.55" customHeight="1" x14ac:dyDescent="0.3">
      <c r="A755" s="1">
        <v>44571</v>
      </c>
      <c r="B755" t="s">
        <v>23</v>
      </c>
      <c r="C755" t="s">
        <v>13</v>
      </c>
      <c r="D755" t="s">
        <v>40</v>
      </c>
      <c r="E755">
        <v>30</v>
      </c>
      <c r="F755">
        <v>10964.35</v>
      </c>
      <c r="G755" t="s">
        <v>12</v>
      </c>
      <c r="H755">
        <v>5</v>
      </c>
      <c r="I755">
        <v>3922.96</v>
      </c>
      <c r="J755">
        <v>7041.39</v>
      </c>
      <c r="K755" t="str">
        <f t="shared" si="34"/>
        <v>January</v>
      </c>
      <c r="L755" t="str">
        <f t="shared" si="35"/>
        <v>Q1</v>
      </c>
      <c r="M755">
        <f t="shared" si="33"/>
        <v>2022</v>
      </c>
      <c r="N755" t="s">
        <v>44</v>
      </c>
    </row>
    <row r="756" spans="1:14" ht="14.55" customHeight="1" x14ac:dyDescent="0.3">
      <c r="A756" s="1">
        <v>44889</v>
      </c>
      <c r="B756" t="s">
        <v>23</v>
      </c>
      <c r="C756" t="s">
        <v>21</v>
      </c>
      <c r="D756" t="s">
        <v>22</v>
      </c>
      <c r="E756">
        <v>40</v>
      </c>
      <c r="F756">
        <v>19933.34</v>
      </c>
      <c r="G756" t="s">
        <v>20</v>
      </c>
      <c r="H756">
        <v>4</v>
      </c>
      <c r="I756">
        <v>6505.43</v>
      </c>
      <c r="J756">
        <v>13427.91</v>
      </c>
      <c r="K756" t="str">
        <f t="shared" si="34"/>
        <v>November</v>
      </c>
      <c r="L756" t="str">
        <f t="shared" si="35"/>
        <v>Q4</v>
      </c>
      <c r="M756">
        <f t="shared" si="33"/>
        <v>2022</v>
      </c>
      <c r="N756" t="s">
        <v>44</v>
      </c>
    </row>
    <row r="757" spans="1:14" ht="14.55" customHeight="1" x14ac:dyDescent="0.3">
      <c r="A757" s="1">
        <v>44981</v>
      </c>
      <c r="B757" t="s">
        <v>15</v>
      </c>
      <c r="C757" t="s">
        <v>16</v>
      </c>
      <c r="D757" t="s">
        <v>37</v>
      </c>
      <c r="E757">
        <v>32</v>
      </c>
      <c r="F757">
        <v>4450.3599999999997</v>
      </c>
      <c r="G757" t="s">
        <v>20</v>
      </c>
      <c r="H757">
        <v>3</v>
      </c>
      <c r="I757">
        <v>2534.54</v>
      </c>
      <c r="J757">
        <v>1915.82</v>
      </c>
      <c r="K757" t="str">
        <f t="shared" si="34"/>
        <v>February</v>
      </c>
      <c r="L757" t="str">
        <f t="shared" si="35"/>
        <v>Q1</v>
      </c>
      <c r="M757">
        <f t="shared" si="33"/>
        <v>2023</v>
      </c>
      <c r="N757" t="s">
        <v>46</v>
      </c>
    </row>
    <row r="758" spans="1:14" ht="14.55" customHeight="1" x14ac:dyDescent="0.3">
      <c r="A758" s="1">
        <v>44859</v>
      </c>
      <c r="B758" t="s">
        <v>9</v>
      </c>
      <c r="C758" t="s">
        <v>13</v>
      </c>
      <c r="D758" t="s">
        <v>14</v>
      </c>
      <c r="E758">
        <v>15</v>
      </c>
      <c r="F758">
        <v>7372.62</v>
      </c>
      <c r="G758" t="s">
        <v>12</v>
      </c>
      <c r="H758">
        <v>2</v>
      </c>
      <c r="I758">
        <v>1385.73</v>
      </c>
      <c r="J758">
        <v>5986.89</v>
      </c>
      <c r="K758" t="str">
        <f t="shared" si="34"/>
        <v>October</v>
      </c>
      <c r="L758" t="str">
        <f t="shared" si="35"/>
        <v>Q4</v>
      </c>
      <c r="M758">
        <f t="shared" si="33"/>
        <v>2022</v>
      </c>
      <c r="N758" t="s">
        <v>45</v>
      </c>
    </row>
    <row r="759" spans="1:14" ht="14.55" customHeight="1" x14ac:dyDescent="0.3">
      <c r="A759" s="1">
        <v>45027</v>
      </c>
      <c r="B759" t="s">
        <v>15</v>
      </c>
      <c r="C759" t="s">
        <v>13</v>
      </c>
      <c r="D759" t="s">
        <v>29</v>
      </c>
      <c r="E759">
        <v>13</v>
      </c>
      <c r="F759">
        <v>1800.46</v>
      </c>
      <c r="G759" t="s">
        <v>20</v>
      </c>
      <c r="H759">
        <v>5</v>
      </c>
      <c r="I759">
        <v>3073.05</v>
      </c>
      <c r="J759">
        <v>-1272.5899999999999</v>
      </c>
      <c r="K759" t="str">
        <f t="shared" si="34"/>
        <v>April</v>
      </c>
      <c r="L759" t="str">
        <f t="shared" si="35"/>
        <v>Q2</v>
      </c>
      <c r="M759">
        <f t="shared" si="33"/>
        <v>2023</v>
      </c>
      <c r="N759" t="s">
        <v>44</v>
      </c>
    </row>
    <row r="760" spans="1:14" ht="14.55" customHeight="1" x14ac:dyDescent="0.3">
      <c r="A760" s="1">
        <v>45205</v>
      </c>
      <c r="B760" t="s">
        <v>31</v>
      </c>
      <c r="C760" t="s">
        <v>21</v>
      </c>
      <c r="D760" t="s">
        <v>22</v>
      </c>
      <c r="E760">
        <v>41</v>
      </c>
      <c r="F760">
        <v>9310.02</v>
      </c>
      <c r="G760" t="s">
        <v>12</v>
      </c>
      <c r="H760">
        <v>5</v>
      </c>
      <c r="I760">
        <v>2457.64</v>
      </c>
      <c r="J760">
        <v>6852.38</v>
      </c>
      <c r="K760" t="str">
        <f t="shared" si="34"/>
        <v>October</v>
      </c>
      <c r="L760" t="str">
        <f t="shared" si="35"/>
        <v>Q4</v>
      </c>
      <c r="M760">
        <f t="shared" si="33"/>
        <v>2023</v>
      </c>
      <c r="N760" t="s">
        <v>44</v>
      </c>
    </row>
    <row r="761" spans="1:14" ht="14.55" customHeight="1" x14ac:dyDescent="0.3">
      <c r="A761" s="1">
        <v>44562</v>
      </c>
      <c r="B761" t="s">
        <v>23</v>
      </c>
      <c r="C761" t="s">
        <v>13</v>
      </c>
      <c r="D761" t="s">
        <v>14</v>
      </c>
      <c r="E761">
        <v>26</v>
      </c>
      <c r="F761">
        <v>10852.34</v>
      </c>
      <c r="G761" t="s">
        <v>12</v>
      </c>
      <c r="H761">
        <v>1</v>
      </c>
      <c r="I761">
        <v>5331.92</v>
      </c>
      <c r="J761">
        <v>5520.42</v>
      </c>
      <c r="K761" t="str">
        <f t="shared" si="34"/>
        <v>January</v>
      </c>
      <c r="L761" t="str">
        <f t="shared" si="35"/>
        <v>Q1</v>
      </c>
      <c r="M761">
        <f t="shared" si="33"/>
        <v>2022</v>
      </c>
      <c r="N761" t="s">
        <v>46</v>
      </c>
    </row>
    <row r="762" spans="1:14" ht="14.55" customHeight="1" x14ac:dyDescent="0.3">
      <c r="A762" s="1">
        <v>44822</v>
      </c>
      <c r="B762" t="s">
        <v>9</v>
      </c>
      <c r="C762" t="s">
        <v>25</v>
      </c>
      <c r="D762" t="s">
        <v>38</v>
      </c>
      <c r="E762">
        <v>9</v>
      </c>
      <c r="F762">
        <v>2341.34</v>
      </c>
      <c r="G762" t="s">
        <v>20</v>
      </c>
      <c r="H762">
        <v>5</v>
      </c>
      <c r="I762">
        <v>1668.96</v>
      </c>
      <c r="J762">
        <v>672.38</v>
      </c>
      <c r="K762" t="str">
        <f t="shared" si="34"/>
        <v>September</v>
      </c>
      <c r="L762" t="str">
        <f t="shared" si="35"/>
        <v>Q3</v>
      </c>
      <c r="M762">
        <f t="shared" si="33"/>
        <v>2022</v>
      </c>
      <c r="N762" t="s">
        <v>44</v>
      </c>
    </row>
    <row r="763" spans="1:14" ht="14.55" customHeight="1" x14ac:dyDescent="0.3">
      <c r="A763" s="1">
        <v>45026</v>
      </c>
      <c r="B763" t="s">
        <v>23</v>
      </c>
      <c r="C763" t="s">
        <v>16</v>
      </c>
      <c r="D763" t="s">
        <v>24</v>
      </c>
      <c r="E763">
        <v>48</v>
      </c>
      <c r="F763">
        <v>17297.86</v>
      </c>
      <c r="G763" t="s">
        <v>12</v>
      </c>
      <c r="H763">
        <v>5</v>
      </c>
      <c r="I763">
        <v>10840.25</v>
      </c>
      <c r="J763">
        <v>6457.61</v>
      </c>
      <c r="K763" t="str">
        <f t="shared" si="34"/>
        <v>April</v>
      </c>
      <c r="L763" t="str">
        <f t="shared" si="35"/>
        <v>Q2</v>
      </c>
      <c r="M763">
        <f t="shared" si="33"/>
        <v>2023</v>
      </c>
      <c r="N763" t="s">
        <v>46</v>
      </c>
    </row>
    <row r="764" spans="1:14" ht="14.55" customHeight="1" x14ac:dyDescent="0.3">
      <c r="A764" s="1">
        <v>44663</v>
      </c>
      <c r="B764" t="s">
        <v>9</v>
      </c>
      <c r="C764" t="s">
        <v>25</v>
      </c>
      <c r="D764" t="s">
        <v>30</v>
      </c>
      <c r="E764">
        <v>7</v>
      </c>
      <c r="F764">
        <v>391.87</v>
      </c>
      <c r="G764" t="s">
        <v>12</v>
      </c>
      <c r="H764">
        <v>4</v>
      </c>
      <c r="I764">
        <v>812.74</v>
      </c>
      <c r="J764">
        <v>-420.87</v>
      </c>
      <c r="K764" t="str">
        <f t="shared" si="34"/>
        <v>April</v>
      </c>
      <c r="L764" t="str">
        <f t="shared" si="35"/>
        <v>Q2</v>
      </c>
      <c r="M764">
        <f t="shared" si="33"/>
        <v>2022</v>
      </c>
      <c r="N764" t="s">
        <v>46</v>
      </c>
    </row>
    <row r="765" spans="1:14" ht="14.55" customHeight="1" x14ac:dyDescent="0.3">
      <c r="A765" s="1">
        <v>45063</v>
      </c>
      <c r="B765" t="s">
        <v>23</v>
      </c>
      <c r="C765" t="s">
        <v>16</v>
      </c>
      <c r="D765" t="s">
        <v>27</v>
      </c>
      <c r="E765">
        <v>24</v>
      </c>
      <c r="F765">
        <v>11929.28</v>
      </c>
      <c r="G765" t="s">
        <v>12</v>
      </c>
      <c r="H765">
        <v>1</v>
      </c>
      <c r="I765">
        <v>2368.75</v>
      </c>
      <c r="J765">
        <v>9560.5300000000007</v>
      </c>
      <c r="K765" t="str">
        <f t="shared" si="34"/>
        <v>May</v>
      </c>
      <c r="L765" t="str">
        <f t="shared" si="35"/>
        <v>Q2</v>
      </c>
      <c r="M765">
        <f t="shared" si="33"/>
        <v>2023</v>
      </c>
      <c r="N765" t="s">
        <v>44</v>
      </c>
    </row>
    <row r="766" spans="1:14" ht="14.55" customHeight="1" x14ac:dyDescent="0.3">
      <c r="A766" s="1">
        <v>44788</v>
      </c>
      <c r="B766" t="s">
        <v>9</v>
      </c>
      <c r="C766" t="s">
        <v>21</v>
      </c>
      <c r="D766" t="s">
        <v>32</v>
      </c>
      <c r="E766">
        <v>19</v>
      </c>
      <c r="F766">
        <v>5280.12</v>
      </c>
      <c r="G766" t="s">
        <v>12</v>
      </c>
      <c r="H766">
        <v>4</v>
      </c>
      <c r="I766">
        <v>3196.83</v>
      </c>
      <c r="J766">
        <v>2083.29</v>
      </c>
      <c r="K766" t="str">
        <f t="shared" si="34"/>
        <v>August</v>
      </c>
      <c r="L766" t="str">
        <f t="shared" si="35"/>
        <v>Q3</v>
      </c>
      <c r="M766">
        <f t="shared" si="33"/>
        <v>2022</v>
      </c>
      <c r="N766" t="s">
        <v>44</v>
      </c>
    </row>
    <row r="767" spans="1:14" ht="14.55" customHeight="1" x14ac:dyDescent="0.3">
      <c r="A767" s="1">
        <v>44821</v>
      </c>
      <c r="B767" t="s">
        <v>31</v>
      </c>
      <c r="C767" t="s">
        <v>16</v>
      </c>
      <c r="D767" t="s">
        <v>37</v>
      </c>
      <c r="E767">
        <v>21</v>
      </c>
      <c r="F767">
        <v>3442.14</v>
      </c>
      <c r="G767" t="s">
        <v>20</v>
      </c>
      <c r="H767">
        <v>5</v>
      </c>
      <c r="I767">
        <v>3801.2</v>
      </c>
      <c r="J767">
        <v>-359.06</v>
      </c>
      <c r="K767" t="str">
        <f t="shared" si="34"/>
        <v>September</v>
      </c>
      <c r="L767" t="str">
        <f t="shared" si="35"/>
        <v>Q3</v>
      </c>
      <c r="M767">
        <f t="shared" si="33"/>
        <v>2022</v>
      </c>
      <c r="N767" t="s">
        <v>43</v>
      </c>
    </row>
    <row r="768" spans="1:14" ht="14.55" customHeight="1" x14ac:dyDescent="0.3">
      <c r="A768" s="1">
        <v>45107</v>
      </c>
      <c r="B768" t="s">
        <v>31</v>
      </c>
      <c r="C768" t="s">
        <v>10</v>
      </c>
      <c r="D768" t="s">
        <v>35</v>
      </c>
      <c r="E768">
        <v>44</v>
      </c>
      <c r="F768">
        <v>5426.86</v>
      </c>
      <c r="G768" t="s">
        <v>12</v>
      </c>
      <c r="H768">
        <v>5</v>
      </c>
      <c r="I768">
        <v>2864.85</v>
      </c>
      <c r="J768">
        <v>2562.0100000000002</v>
      </c>
      <c r="K768" t="str">
        <f t="shared" si="34"/>
        <v>June</v>
      </c>
      <c r="L768" t="str">
        <f t="shared" si="35"/>
        <v>Q2</v>
      </c>
      <c r="M768">
        <f t="shared" si="33"/>
        <v>2023</v>
      </c>
      <c r="N768" t="s">
        <v>44</v>
      </c>
    </row>
    <row r="769" spans="1:14" ht="14.55" customHeight="1" x14ac:dyDescent="0.3">
      <c r="A769" s="1">
        <v>44648</v>
      </c>
      <c r="B769" t="s">
        <v>15</v>
      </c>
      <c r="C769" t="s">
        <v>13</v>
      </c>
      <c r="D769" t="s">
        <v>19</v>
      </c>
      <c r="E769">
        <v>26</v>
      </c>
      <c r="F769">
        <v>9215.7199999999993</v>
      </c>
      <c r="G769" t="s">
        <v>20</v>
      </c>
      <c r="H769">
        <v>2</v>
      </c>
      <c r="I769">
        <v>5495.99</v>
      </c>
      <c r="J769">
        <v>3719.73</v>
      </c>
      <c r="K769" t="str">
        <f t="shared" si="34"/>
        <v>March</v>
      </c>
      <c r="L769" t="str">
        <f t="shared" si="35"/>
        <v>Q1</v>
      </c>
      <c r="M769">
        <f t="shared" si="33"/>
        <v>2022</v>
      </c>
      <c r="N769" t="s">
        <v>44</v>
      </c>
    </row>
    <row r="770" spans="1:14" ht="14.55" customHeight="1" x14ac:dyDescent="0.3">
      <c r="A770" s="1">
        <v>45082</v>
      </c>
      <c r="B770" t="s">
        <v>18</v>
      </c>
      <c r="C770" t="s">
        <v>25</v>
      </c>
      <c r="D770" t="s">
        <v>30</v>
      </c>
      <c r="E770">
        <v>31</v>
      </c>
      <c r="F770">
        <v>14183.1</v>
      </c>
      <c r="G770" t="s">
        <v>20</v>
      </c>
      <c r="H770">
        <v>2</v>
      </c>
      <c r="I770">
        <v>7326.73</v>
      </c>
      <c r="J770">
        <v>6856.37</v>
      </c>
      <c r="K770" t="str">
        <f t="shared" si="34"/>
        <v>June</v>
      </c>
      <c r="L770" t="str">
        <f t="shared" si="35"/>
        <v>Q2</v>
      </c>
      <c r="M770">
        <f t="shared" ref="M770:M833" si="36">YEAR(A770)</f>
        <v>2023</v>
      </c>
      <c r="N770" t="s">
        <v>44</v>
      </c>
    </row>
    <row r="771" spans="1:14" ht="14.55" customHeight="1" x14ac:dyDescent="0.3">
      <c r="A771" s="1">
        <v>44831</v>
      </c>
      <c r="B771" t="s">
        <v>31</v>
      </c>
      <c r="C771" t="s">
        <v>13</v>
      </c>
      <c r="D771" t="s">
        <v>29</v>
      </c>
      <c r="E771">
        <v>26</v>
      </c>
      <c r="F771">
        <v>9608.2999999999993</v>
      </c>
      <c r="G771" t="s">
        <v>12</v>
      </c>
      <c r="H771">
        <v>4</v>
      </c>
      <c r="I771">
        <v>4903.8599999999997</v>
      </c>
      <c r="J771">
        <v>4704.4399999999996</v>
      </c>
      <c r="K771" t="str">
        <f t="shared" ref="K771:K834" si="37">TEXT(A771,"mmmm")</f>
        <v>September</v>
      </c>
      <c r="L771" t="str">
        <f t="shared" ref="L771:L834" si="38">"Q"&amp;INT((MONTH(A771)-1)/3)+1</f>
        <v>Q3</v>
      </c>
      <c r="M771">
        <f t="shared" si="36"/>
        <v>2022</v>
      </c>
      <c r="N771" t="s">
        <v>43</v>
      </c>
    </row>
    <row r="772" spans="1:14" ht="14.55" customHeight="1" x14ac:dyDescent="0.3">
      <c r="A772" s="1">
        <v>45026</v>
      </c>
      <c r="B772" t="s">
        <v>31</v>
      </c>
      <c r="C772" t="s">
        <v>25</v>
      </c>
      <c r="D772" t="s">
        <v>26</v>
      </c>
      <c r="E772">
        <v>43</v>
      </c>
      <c r="F772">
        <v>14360.52</v>
      </c>
      <c r="G772" t="s">
        <v>12</v>
      </c>
      <c r="H772">
        <v>3</v>
      </c>
      <c r="I772">
        <v>7146.88</v>
      </c>
      <c r="J772">
        <v>7213.64</v>
      </c>
      <c r="K772" t="str">
        <f t="shared" si="37"/>
        <v>April</v>
      </c>
      <c r="L772" t="str">
        <f t="shared" si="38"/>
        <v>Q2</v>
      </c>
      <c r="M772">
        <f t="shared" si="36"/>
        <v>2023</v>
      </c>
      <c r="N772" t="s">
        <v>45</v>
      </c>
    </row>
    <row r="773" spans="1:14" ht="14.55" customHeight="1" x14ac:dyDescent="0.3">
      <c r="A773" s="1">
        <v>45252</v>
      </c>
      <c r="B773" t="s">
        <v>23</v>
      </c>
      <c r="C773" t="s">
        <v>10</v>
      </c>
      <c r="D773" t="s">
        <v>11</v>
      </c>
      <c r="E773">
        <v>13</v>
      </c>
      <c r="F773">
        <v>6037.45</v>
      </c>
      <c r="G773" t="s">
        <v>12</v>
      </c>
      <c r="H773">
        <v>1</v>
      </c>
      <c r="I773">
        <v>3113.79</v>
      </c>
      <c r="J773">
        <v>2923.66</v>
      </c>
      <c r="K773" t="str">
        <f t="shared" si="37"/>
        <v>November</v>
      </c>
      <c r="L773" t="str">
        <f t="shared" si="38"/>
        <v>Q4</v>
      </c>
      <c r="M773">
        <f t="shared" si="36"/>
        <v>2023</v>
      </c>
      <c r="N773" t="s">
        <v>43</v>
      </c>
    </row>
    <row r="774" spans="1:14" ht="14.55" customHeight="1" x14ac:dyDescent="0.3">
      <c r="A774" s="1">
        <v>45216</v>
      </c>
      <c r="B774" t="s">
        <v>31</v>
      </c>
      <c r="C774" t="s">
        <v>16</v>
      </c>
      <c r="D774" t="s">
        <v>37</v>
      </c>
      <c r="E774">
        <v>31</v>
      </c>
      <c r="F774">
        <v>4772.37</v>
      </c>
      <c r="G774" t="s">
        <v>20</v>
      </c>
      <c r="H774">
        <v>1</v>
      </c>
      <c r="I774">
        <v>4660.5</v>
      </c>
      <c r="J774">
        <v>111.87</v>
      </c>
      <c r="K774" t="str">
        <f t="shared" si="37"/>
        <v>October</v>
      </c>
      <c r="L774" t="str">
        <f t="shared" si="38"/>
        <v>Q4</v>
      </c>
      <c r="M774">
        <f t="shared" si="36"/>
        <v>2023</v>
      </c>
      <c r="N774" t="s">
        <v>44</v>
      </c>
    </row>
    <row r="775" spans="1:14" ht="14.55" customHeight="1" x14ac:dyDescent="0.3">
      <c r="A775" s="1">
        <v>44596</v>
      </c>
      <c r="B775" t="s">
        <v>9</v>
      </c>
      <c r="C775" t="s">
        <v>25</v>
      </c>
      <c r="D775" t="s">
        <v>26</v>
      </c>
      <c r="E775">
        <v>12</v>
      </c>
      <c r="F775">
        <v>4239.01</v>
      </c>
      <c r="G775" t="s">
        <v>20</v>
      </c>
      <c r="H775">
        <v>4</v>
      </c>
      <c r="I775">
        <v>2857.51</v>
      </c>
      <c r="J775">
        <v>1381.5</v>
      </c>
      <c r="K775" t="str">
        <f t="shared" si="37"/>
        <v>February</v>
      </c>
      <c r="L775" t="str">
        <f t="shared" si="38"/>
        <v>Q1</v>
      </c>
      <c r="M775">
        <f t="shared" si="36"/>
        <v>2022</v>
      </c>
      <c r="N775" t="s">
        <v>44</v>
      </c>
    </row>
    <row r="776" spans="1:14" ht="14.55" customHeight="1" x14ac:dyDescent="0.3">
      <c r="A776" s="1">
        <v>44614</v>
      </c>
      <c r="B776" t="s">
        <v>31</v>
      </c>
      <c r="C776" t="s">
        <v>13</v>
      </c>
      <c r="D776" t="s">
        <v>19</v>
      </c>
      <c r="E776">
        <v>30</v>
      </c>
      <c r="F776">
        <v>550.85</v>
      </c>
      <c r="G776" t="s">
        <v>20</v>
      </c>
      <c r="H776">
        <v>3</v>
      </c>
      <c r="I776">
        <v>1632.81</v>
      </c>
      <c r="J776">
        <v>-1081.96</v>
      </c>
      <c r="K776" t="str">
        <f t="shared" si="37"/>
        <v>February</v>
      </c>
      <c r="L776" t="str">
        <f t="shared" si="38"/>
        <v>Q1</v>
      </c>
      <c r="M776">
        <f t="shared" si="36"/>
        <v>2022</v>
      </c>
      <c r="N776" t="s">
        <v>43</v>
      </c>
    </row>
    <row r="777" spans="1:14" ht="14.55" customHeight="1" x14ac:dyDescent="0.3">
      <c r="A777" s="1">
        <v>44598</v>
      </c>
      <c r="B777" t="s">
        <v>9</v>
      </c>
      <c r="C777" t="s">
        <v>13</v>
      </c>
      <c r="D777" t="s">
        <v>29</v>
      </c>
      <c r="E777">
        <v>27</v>
      </c>
      <c r="F777">
        <v>1404.42</v>
      </c>
      <c r="G777" t="s">
        <v>12</v>
      </c>
      <c r="H777">
        <v>1</v>
      </c>
      <c r="I777">
        <v>3319.84</v>
      </c>
      <c r="J777">
        <v>-1915.42</v>
      </c>
      <c r="K777" t="str">
        <f t="shared" si="37"/>
        <v>February</v>
      </c>
      <c r="L777" t="str">
        <f t="shared" si="38"/>
        <v>Q1</v>
      </c>
      <c r="M777">
        <f t="shared" si="36"/>
        <v>2022</v>
      </c>
      <c r="N777" t="s">
        <v>44</v>
      </c>
    </row>
    <row r="778" spans="1:14" ht="14.55" customHeight="1" x14ac:dyDescent="0.3">
      <c r="A778" s="1">
        <v>45087</v>
      </c>
      <c r="B778" t="s">
        <v>31</v>
      </c>
      <c r="C778" t="s">
        <v>21</v>
      </c>
      <c r="D778" t="s">
        <v>22</v>
      </c>
      <c r="E778">
        <v>7</v>
      </c>
      <c r="F778">
        <v>3084.47</v>
      </c>
      <c r="G778" t="s">
        <v>12</v>
      </c>
      <c r="H778">
        <v>2</v>
      </c>
      <c r="I778">
        <v>766.66</v>
      </c>
      <c r="J778">
        <v>2317.81</v>
      </c>
      <c r="K778" t="str">
        <f t="shared" si="37"/>
        <v>June</v>
      </c>
      <c r="L778" t="str">
        <f t="shared" si="38"/>
        <v>Q2</v>
      </c>
      <c r="M778">
        <f t="shared" si="36"/>
        <v>2023</v>
      </c>
      <c r="N778" t="s">
        <v>44</v>
      </c>
    </row>
    <row r="779" spans="1:14" ht="14.55" customHeight="1" x14ac:dyDescent="0.3">
      <c r="A779" s="1">
        <v>45064</v>
      </c>
      <c r="B779" t="s">
        <v>9</v>
      </c>
      <c r="C779" t="s">
        <v>10</v>
      </c>
      <c r="D779" t="s">
        <v>34</v>
      </c>
      <c r="E779">
        <v>14</v>
      </c>
      <c r="F779">
        <v>2378.0700000000002</v>
      </c>
      <c r="G779" t="s">
        <v>20</v>
      </c>
      <c r="H779">
        <v>2</v>
      </c>
      <c r="I779">
        <v>734.72</v>
      </c>
      <c r="J779">
        <v>1643.35</v>
      </c>
      <c r="K779" t="str">
        <f t="shared" si="37"/>
        <v>May</v>
      </c>
      <c r="L779" t="str">
        <f t="shared" si="38"/>
        <v>Q2</v>
      </c>
      <c r="M779">
        <f t="shared" si="36"/>
        <v>2023</v>
      </c>
      <c r="N779" t="s">
        <v>44</v>
      </c>
    </row>
    <row r="780" spans="1:14" ht="14.55" customHeight="1" x14ac:dyDescent="0.3">
      <c r="A780" s="1">
        <v>44991</v>
      </c>
      <c r="B780" t="s">
        <v>18</v>
      </c>
      <c r="C780" t="s">
        <v>13</v>
      </c>
      <c r="D780" t="s">
        <v>29</v>
      </c>
      <c r="E780">
        <v>26</v>
      </c>
      <c r="F780">
        <v>4842.26</v>
      </c>
      <c r="G780" t="s">
        <v>12</v>
      </c>
      <c r="H780">
        <v>5</v>
      </c>
      <c r="I780">
        <v>2266.4</v>
      </c>
      <c r="J780">
        <v>2575.86</v>
      </c>
      <c r="K780" t="str">
        <f t="shared" si="37"/>
        <v>March</v>
      </c>
      <c r="L780" t="str">
        <f t="shared" si="38"/>
        <v>Q1</v>
      </c>
      <c r="M780">
        <f t="shared" si="36"/>
        <v>2023</v>
      </c>
      <c r="N780" t="s">
        <v>45</v>
      </c>
    </row>
    <row r="781" spans="1:14" ht="14.55" customHeight="1" x14ac:dyDescent="0.3">
      <c r="A781" s="1">
        <v>44714</v>
      </c>
      <c r="B781" t="s">
        <v>18</v>
      </c>
      <c r="C781" t="s">
        <v>21</v>
      </c>
      <c r="D781" t="s">
        <v>33</v>
      </c>
      <c r="E781">
        <v>24</v>
      </c>
      <c r="F781">
        <v>11958.58</v>
      </c>
      <c r="G781" t="s">
        <v>20</v>
      </c>
      <c r="H781">
        <v>2</v>
      </c>
      <c r="I781">
        <v>378.11</v>
      </c>
      <c r="J781">
        <v>11580.47</v>
      </c>
      <c r="K781" t="str">
        <f t="shared" si="37"/>
        <v>June</v>
      </c>
      <c r="L781" t="str">
        <f t="shared" si="38"/>
        <v>Q2</v>
      </c>
      <c r="M781">
        <f t="shared" si="36"/>
        <v>2022</v>
      </c>
      <c r="N781" t="s">
        <v>44</v>
      </c>
    </row>
    <row r="782" spans="1:14" ht="14.55" customHeight="1" x14ac:dyDescent="0.3">
      <c r="A782" s="1">
        <v>44871</v>
      </c>
      <c r="B782" t="s">
        <v>15</v>
      </c>
      <c r="C782" t="s">
        <v>25</v>
      </c>
      <c r="D782" t="s">
        <v>39</v>
      </c>
      <c r="E782">
        <v>21</v>
      </c>
      <c r="F782">
        <v>8406.23</v>
      </c>
      <c r="G782" t="s">
        <v>12</v>
      </c>
      <c r="H782">
        <v>2</v>
      </c>
      <c r="I782">
        <v>1662.05</v>
      </c>
      <c r="J782">
        <v>6744.18</v>
      </c>
      <c r="K782" t="str">
        <f t="shared" si="37"/>
        <v>November</v>
      </c>
      <c r="L782" t="str">
        <f t="shared" si="38"/>
        <v>Q4</v>
      </c>
      <c r="M782">
        <f t="shared" si="36"/>
        <v>2022</v>
      </c>
      <c r="N782" t="s">
        <v>44</v>
      </c>
    </row>
    <row r="783" spans="1:14" ht="14.55" customHeight="1" x14ac:dyDescent="0.3">
      <c r="A783" s="1">
        <v>44614</v>
      </c>
      <c r="B783" t="s">
        <v>18</v>
      </c>
      <c r="C783" t="s">
        <v>21</v>
      </c>
      <c r="D783" t="s">
        <v>32</v>
      </c>
      <c r="E783">
        <v>33</v>
      </c>
      <c r="F783">
        <v>8110.77</v>
      </c>
      <c r="G783" t="s">
        <v>12</v>
      </c>
      <c r="H783">
        <v>4</v>
      </c>
      <c r="I783">
        <v>6955.27</v>
      </c>
      <c r="J783">
        <v>1155.5</v>
      </c>
      <c r="K783" t="str">
        <f t="shared" si="37"/>
        <v>February</v>
      </c>
      <c r="L783" t="str">
        <f t="shared" si="38"/>
        <v>Q1</v>
      </c>
      <c r="M783">
        <f t="shared" si="36"/>
        <v>2022</v>
      </c>
      <c r="N783" t="s">
        <v>47</v>
      </c>
    </row>
    <row r="784" spans="1:14" ht="14.55" customHeight="1" x14ac:dyDescent="0.3">
      <c r="A784" s="1">
        <v>44713</v>
      </c>
      <c r="B784" t="s">
        <v>9</v>
      </c>
      <c r="C784" t="s">
        <v>10</v>
      </c>
      <c r="D784" t="s">
        <v>35</v>
      </c>
      <c r="E784">
        <v>28</v>
      </c>
      <c r="F784">
        <v>6234.72</v>
      </c>
      <c r="G784" t="s">
        <v>20</v>
      </c>
      <c r="H784">
        <v>2</v>
      </c>
      <c r="I784">
        <v>2742.33</v>
      </c>
      <c r="J784">
        <v>3492.39</v>
      </c>
      <c r="K784" t="str">
        <f t="shared" si="37"/>
        <v>June</v>
      </c>
      <c r="L784" t="str">
        <f t="shared" si="38"/>
        <v>Q2</v>
      </c>
      <c r="M784">
        <f t="shared" si="36"/>
        <v>2022</v>
      </c>
      <c r="N784" t="s">
        <v>44</v>
      </c>
    </row>
    <row r="785" spans="1:14" ht="14.55" customHeight="1" x14ac:dyDescent="0.3">
      <c r="A785" s="1">
        <v>44658</v>
      </c>
      <c r="B785" t="s">
        <v>15</v>
      </c>
      <c r="C785" t="s">
        <v>16</v>
      </c>
      <c r="D785" t="s">
        <v>37</v>
      </c>
      <c r="E785">
        <v>23</v>
      </c>
      <c r="F785">
        <v>1664.07</v>
      </c>
      <c r="G785" t="s">
        <v>20</v>
      </c>
      <c r="H785">
        <v>5</v>
      </c>
      <c r="I785">
        <v>4314.4399999999996</v>
      </c>
      <c r="J785">
        <v>-2650.37</v>
      </c>
      <c r="K785" t="str">
        <f t="shared" si="37"/>
        <v>April</v>
      </c>
      <c r="L785" t="str">
        <f t="shared" si="38"/>
        <v>Q2</v>
      </c>
      <c r="M785">
        <f t="shared" si="36"/>
        <v>2022</v>
      </c>
      <c r="N785" t="s">
        <v>44</v>
      </c>
    </row>
    <row r="786" spans="1:14" ht="14.55" customHeight="1" x14ac:dyDescent="0.3">
      <c r="A786" s="1">
        <v>44695</v>
      </c>
      <c r="B786" t="s">
        <v>18</v>
      </c>
      <c r="C786" t="s">
        <v>21</v>
      </c>
      <c r="D786" t="s">
        <v>32</v>
      </c>
      <c r="E786">
        <v>39</v>
      </c>
      <c r="F786">
        <v>2953.35</v>
      </c>
      <c r="G786" t="s">
        <v>12</v>
      </c>
      <c r="H786">
        <v>2</v>
      </c>
      <c r="I786">
        <v>5702.95</v>
      </c>
      <c r="J786">
        <v>-2749.6</v>
      </c>
      <c r="K786" t="str">
        <f t="shared" si="37"/>
        <v>May</v>
      </c>
      <c r="L786" t="str">
        <f t="shared" si="38"/>
        <v>Q2</v>
      </c>
      <c r="M786">
        <f t="shared" si="36"/>
        <v>2022</v>
      </c>
      <c r="N786" t="s">
        <v>43</v>
      </c>
    </row>
    <row r="787" spans="1:14" ht="14.55" customHeight="1" x14ac:dyDescent="0.3">
      <c r="A787" s="1">
        <v>44881</v>
      </c>
      <c r="B787" t="s">
        <v>31</v>
      </c>
      <c r="C787" t="s">
        <v>13</v>
      </c>
      <c r="D787" t="s">
        <v>14</v>
      </c>
      <c r="E787">
        <v>6</v>
      </c>
      <c r="F787">
        <v>1490.56</v>
      </c>
      <c r="G787" t="s">
        <v>12</v>
      </c>
      <c r="H787">
        <v>3</v>
      </c>
      <c r="I787">
        <v>1091.6099999999999</v>
      </c>
      <c r="J787">
        <v>398.95</v>
      </c>
      <c r="K787" t="str">
        <f t="shared" si="37"/>
        <v>November</v>
      </c>
      <c r="L787" t="str">
        <f t="shared" si="38"/>
        <v>Q4</v>
      </c>
      <c r="M787">
        <f t="shared" si="36"/>
        <v>2022</v>
      </c>
      <c r="N787" t="s">
        <v>47</v>
      </c>
    </row>
    <row r="788" spans="1:14" ht="14.55" customHeight="1" x14ac:dyDescent="0.3">
      <c r="A788" s="1">
        <v>45070</v>
      </c>
      <c r="B788" t="s">
        <v>15</v>
      </c>
      <c r="C788" t="s">
        <v>16</v>
      </c>
      <c r="D788" t="s">
        <v>24</v>
      </c>
      <c r="E788">
        <v>28</v>
      </c>
      <c r="F788">
        <v>6481.44</v>
      </c>
      <c r="G788" t="s">
        <v>12</v>
      </c>
      <c r="H788">
        <v>1</v>
      </c>
      <c r="I788">
        <v>3202.63</v>
      </c>
      <c r="J788">
        <v>3278.81</v>
      </c>
      <c r="K788" t="str">
        <f t="shared" si="37"/>
        <v>May</v>
      </c>
      <c r="L788" t="str">
        <f t="shared" si="38"/>
        <v>Q2</v>
      </c>
      <c r="M788">
        <f t="shared" si="36"/>
        <v>2023</v>
      </c>
      <c r="N788" t="s">
        <v>44</v>
      </c>
    </row>
    <row r="789" spans="1:14" ht="14.55" customHeight="1" x14ac:dyDescent="0.3">
      <c r="A789" s="1">
        <v>44860</v>
      </c>
      <c r="B789" t="s">
        <v>23</v>
      </c>
      <c r="C789" t="s">
        <v>25</v>
      </c>
      <c r="D789" t="s">
        <v>30</v>
      </c>
      <c r="E789">
        <v>34</v>
      </c>
      <c r="F789">
        <v>6245.45</v>
      </c>
      <c r="G789" t="s">
        <v>20</v>
      </c>
      <c r="H789">
        <v>3</v>
      </c>
      <c r="I789">
        <v>2014.93</v>
      </c>
      <c r="J789">
        <v>4230.5200000000004</v>
      </c>
      <c r="K789" t="str">
        <f t="shared" si="37"/>
        <v>October</v>
      </c>
      <c r="L789" t="str">
        <f t="shared" si="38"/>
        <v>Q4</v>
      </c>
      <c r="M789">
        <f t="shared" si="36"/>
        <v>2022</v>
      </c>
      <c r="N789" t="s">
        <v>45</v>
      </c>
    </row>
    <row r="790" spans="1:14" ht="14.55" customHeight="1" x14ac:dyDescent="0.3">
      <c r="A790" s="1">
        <v>45052</v>
      </c>
      <c r="B790" t="s">
        <v>9</v>
      </c>
      <c r="C790" t="s">
        <v>16</v>
      </c>
      <c r="D790" t="s">
        <v>37</v>
      </c>
      <c r="E790">
        <v>27</v>
      </c>
      <c r="F790">
        <v>8149.81</v>
      </c>
      <c r="G790" t="s">
        <v>20</v>
      </c>
      <c r="H790">
        <v>4</v>
      </c>
      <c r="I790">
        <v>2872.43</v>
      </c>
      <c r="J790">
        <v>5277.38</v>
      </c>
      <c r="K790" t="str">
        <f t="shared" si="37"/>
        <v>May</v>
      </c>
      <c r="L790" t="str">
        <f t="shared" si="38"/>
        <v>Q2</v>
      </c>
      <c r="M790">
        <f t="shared" si="36"/>
        <v>2023</v>
      </c>
      <c r="N790" t="s">
        <v>44</v>
      </c>
    </row>
    <row r="791" spans="1:14" ht="14.55" customHeight="1" x14ac:dyDescent="0.3">
      <c r="A791" s="1">
        <v>44886</v>
      </c>
      <c r="B791" t="s">
        <v>31</v>
      </c>
      <c r="C791" t="s">
        <v>25</v>
      </c>
      <c r="D791" t="s">
        <v>26</v>
      </c>
      <c r="E791">
        <v>12</v>
      </c>
      <c r="F791">
        <v>5707.46</v>
      </c>
      <c r="G791" t="s">
        <v>12</v>
      </c>
      <c r="H791">
        <v>3</v>
      </c>
      <c r="I791">
        <v>1630.45</v>
      </c>
      <c r="J791">
        <v>4077.01</v>
      </c>
      <c r="K791" t="str">
        <f t="shared" si="37"/>
        <v>November</v>
      </c>
      <c r="L791" t="str">
        <f t="shared" si="38"/>
        <v>Q4</v>
      </c>
      <c r="M791">
        <f t="shared" si="36"/>
        <v>2022</v>
      </c>
      <c r="N791" t="s">
        <v>44</v>
      </c>
    </row>
    <row r="792" spans="1:14" ht="14.55" customHeight="1" x14ac:dyDescent="0.3">
      <c r="A792" s="1">
        <v>45286</v>
      </c>
      <c r="B792" t="s">
        <v>18</v>
      </c>
      <c r="C792" t="s">
        <v>10</v>
      </c>
      <c r="D792" t="s">
        <v>11</v>
      </c>
      <c r="E792">
        <v>16</v>
      </c>
      <c r="F792">
        <v>5474.4</v>
      </c>
      <c r="G792" t="s">
        <v>20</v>
      </c>
      <c r="H792">
        <v>4</v>
      </c>
      <c r="I792">
        <v>2604.64</v>
      </c>
      <c r="J792">
        <v>2869.76</v>
      </c>
      <c r="K792" t="str">
        <f t="shared" si="37"/>
        <v>December</v>
      </c>
      <c r="L792" t="str">
        <f t="shared" si="38"/>
        <v>Q4</v>
      </c>
      <c r="M792">
        <f t="shared" si="36"/>
        <v>2023</v>
      </c>
      <c r="N792" t="s">
        <v>45</v>
      </c>
    </row>
    <row r="793" spans="1:14" ht="14.55" customHeight="1" x14ac:dyDescent="0.3">
      <c r="A793" s="1">
        <v>45200</v>
      </c>
      <c r="B793" t="s">
        <v>31</v>
      </c>
      <c r="C793" t="s">
        <v>16</v>
      </c>
      <c r="D793" t="s">
        <v>24</v>
      </c>
      <c r="E793">
        <v>23</v>
      </c>
      <c r="F793">
        <v>8853.9</v>
      </c>
      <c r="G793" t="s">
        <v>20</v>
      </c>
      <c r="H793">
        <v>3</v>
      </c>
      <c r="I793">
        <v>771.36</v>
      </c>
      <c r="J793">
        <v>8082.54</v>
      </c>
      <c r="K793" t="str">
        <f t="shared" si="37"/>
        <v>October</v>
      </c>
      <c r="L793" t="str">
        <f t="shared" si="38"/>
        <v>Q4</v>
      </c>
      <c r="M793">
        <f t="shared" si="36"/>
        <v>2023</v>
      </c>
      <c r="N793" t="s">
        <v>44</v>
      </c>
    </row>
    <row r="794" spans="1:14" ht="14.55" customHeight="1" x14ac:dyDescent="0.3">
      <c r="A794" s="1">
        <v>44938</v>
      </c>
      <c r="B794" t="s">
        <v>15</v>
      </c>
      <c r="C794" t="s">
        <v>25</v>
      </c>
      <c r="D794" t="s">
        <v>38</v>
      </c>
      <c r="E794">
        <v>5</v>
      </c>
      <c r="F794">
        <v>2487.59</v>
      </c>
      <c r="G794" t="s">
        <v>20</v>
      </c>
      <c r="H794">
        <v>1</v>
      </c>
      <c r="I794">
        <v>1115.6600000000001</v>
      </c>
      <c r="J794">
        <v>1371.93</v>
      </c>
      <c r="K794" t="str">
        <f t="shared" si="37"/>
        <v>January</v>
      </c>
      <c r="L794" t="str">
        <f t="shared" si="38"/>
        <v>Q1</v>
      </c>
      <c r="M794">
        <f t="shared" si="36"/>
        <v>2023</v>
      </c>
      <c r="N794" t="s">
        <v>44</v>
      </c>
    </row>
    <row r="795" spans="1:14" ht="14.55" customHeight="1" x14ac:dyDescent="0.3">
      <c r="A795" s="1">
        <v>44678</v>
      </c>
      <c r="B795" t="s">
        <v>23</v>
      </c>
      <c r="C795" t="s">
        <v>21</v>
      </c>
      <c r="D795" t="s">
        <v>36</v>
      </c>
      <c r="E795">
        <v>43</v>
      </c>
      <c r="F795">
        <v>9359.94</v>
      </c>
      <c r="G795" t="s">
        <v>20</v>
      </c>
      <c r="H795">
        <v>4</v>
      </c>
      <c r="I795">
        <v>6885.39</v>
      </c>
      <c r="J795">
        <v>2474.5500000000002</v>
      </c>
      <c r="K795" t="str">
        <f t="shared" si="37"/>
        <v>April</v>
      </c>
      <c r="L795" t="str">
        <f t="shared" si="38"/>
        <v>Q2</v>
      </c>
      <c r="M795">
        <f t="shared" si="36"/>
        <v>2022</v>
      </c>
      <c r="N795" t="s">
        <v>43</v>
      </c>
    </row>
    <row r="796" spans="1:14" ht="14.55" customHeight="1" x14ac:dyDescent="0.3">
      <c r="A796" s="1">
        <v>44807</v>
      </c>
      <c r="B796" t="s">
        <v>18</v>
      </c>
      <c r="C796" t="s">
        <v>21</v>
      </c>
      <c r="D796" t="s">
        <v>22</v>
      </c>
      <c r="E796">
        <v>29</v>
      </c>
      <c r="F796">
        <v>10604.72</v>
      </c>
      <c r="G796" t="s">
        <v>20</v>
      </c>
      <c r="H796">
        <v>3</v>
      </c>
      <c r="I796">
        <v>3225.86</v>
      </c>
      <c r="J796">
        <v>7378.86</v>
      </c>
      <c r="K796" t="str">
        <f t="shared" si="37"/>
        <v>September</v>
      </c>
      <c r="L796" t="str">
        <f t="shared" si="38"/>
        <v>Q3</v>
      </c>
      <c r="M796">
        <f t="shared" si="36"/>
        <v>2022</v>
      </c>
      <c r="N796" t="s">
        <v>45</v>
      </c>
    </row>
    <row r="797" spans="1:14" ht="14.55" customHeight="1" x14ac:dyDescent="0.3">
      <c r="A797" s="1">
        <v>44951</v>
      </c>
      <c r="B797" t="s">
        <v>23</v>
      </c>
      <c r="C797" t="s">
        <v>16</v>
      </c>
      <c r="D797" t="s">
        <v>24</v>
      </c>
      <c r="E797">
        <v>15</v>
      </c>
      <c r="F797">
        <v>7208.78</v>
      </c>
      <c r="G797" t="s">
        <v>12</v>
      </c>
      <c r="H797">
        <v>3</v>
      </c>
      <c r="I797">
        <v>145.63</v>
      </c>
      <c r="J797">
        <v>7063.15</v>
      </c>
      <c r="K797" t="str">
        <f t="shared" si="37"/>
        <v>January</v>
      </c>
      <c r="L797" t="str">
        <f t="shared" si="38"/>
        <v>Q1</v>
      </c>
      <c r="M797">
        <f t="shared" si="36"/>
        <v>2023</v>
      </c>
      <c r="N797" t="s">
        <v>44</v>
      </c>
    </row>
    <row r="798" spans="1:14" ht="14.55" customHeight="1" x14ac:dyDescent="0.3">
      <c r="A798" s="1">
        <v>44997</v>
      </c>
      <c r="B798" t="s">
        <v>23</v>
      </c>
      <c r="C798" t="s">
        <v>10</v>
      </c>
      <c r="D798" t="s">
        <v>35</v>
      </c>
      <c r="E798">
        <v>44</v>
      </c>
      <c r="F798">
        <v>9383.07</v>
      </c>
      <c r="G798" t="s">
        <v>20</v>
      </c>
      <c r="H798">
        <v>3</v>
      </c>
      <c r="I798">
        <v>9123.2900000000009</v>
      </c>
      <c r="J798">
        <v>259.77999999999997</v>
      </c>
      <c r="K798" t="str">
        <f t="shared" si="37"/>
        <v>March</v>
      </c>
      <c r="L798" t="str">
        <f t="shared" si="38"/>
        <v>Q1</v>
      </c>
      <c r="M798">
        <f t="shared" si="36"/>
        <v>2023</v>
      </c>
      <c r="N798" t="s">
        <v>44</v>
      </c>
    </row>
    <row r="799" spans="1:14" ht="14.55" customHeight="1" x14ac:dyDescent="0.3">
      <c r="A799" s="1">
        <v>44841</v>
      </c>
      <c r="B799" t="s">
        <v>31</v>
      </c>
      <c r="C799" t="s">
        <v>25</v>
      </c>
      <c r="D799" t="s">
        <v>39</v>
      </c>
      <c r="E799">
        <v>29</v>
      </c>
      <c r="F799">
        <v>2658.8</v>
      </c>
      <c r="G799" t="s">
        <v>20</v>
      </c>
      <c r="H799">
        <v>4</v>
      </c>
      <c r="I799">
        <v>4077.67</v>
      </c>
      <c r="J799">
        <v>-1418.87</v>
      </c>
      <c r="K799" t="str">
        <f t="shared" si="37"/>
        <v>October</v>
      </c>
      <c r="L799" t="str">
        <f t="shared" si="38"/>
        <v>Q4</v>
      </c>
      <c r="M799">
        <f t="shared" si="36"/>
        <v>2022</v>
      </c>
      <c r="N799" t="s">
        <v>43</v>
      </c>
    </row>
    <row r="800" spans="1:14" ht="14.55" customHeight="1" x14ac:dyDescent="0.3">
      <c r="A800" s="1">
        <v>44754</v>
      </c>
      <c r="B800" t="s">
        <v>23</v>
      </c>
      <c r="C800" t="s">
        <v>10</v>
      </c>
      <c r="D800" t="s">
        <v>35</v>
      </c>
      <c r="E800">
        <v>5</v>
      </c>
      <c r="F800">
        <v>2418.9499999999998</v>
      </c>
      <c r="G800" t="s">
        <v>12</v>
      </c>
      <c r="H800">
        <v>5</v>
      </c>
      <c r="I800">
        <v>164.59</v>
      </c>
      <c r="J800">
        <v>2254.36</v>
      </c>
      <c r="K800" t="str">
        <f t="shared" si="37"/>
        <v>July</v>
      </c>
      <c r="L800" t="str">
        <f t="shared" si="38"/>
        <v>Q3</v>
      </c>
      <c r="M800">
        <f t="shared" si="36"/>
        <v>2022</v>
      </c>
      <c r="N800" t="s">
        <v>44</v>
      </c>
    </row>
    <row r="801" spans="1:14" ht="14.55" customHeight="1" x14ac:dyDescent="0.3">
      <c r="A801" s="1">
        <v>44960</v>
      </c>
      <c r="B801" t="s">
        <v>31</v>
      </c>
      <c r="C801" t="s">
        <v>25</v>
      </c>
      <c r="D801" t="s">
        <v>26</v>
      </c>
      <c r="E801">
        <v>25</v>
      </c>
      <c r="F801">
        <v>6024.93</v>
      </c>
      <c r="G801" t="s">
        <v>20</v>
      </c>
      <c r="H801">
        <v>5</v>
      </c>
      <c r="I801">
        <v>3967.36</v>
      </c>
      <c r="J801">
        <v>2057.5700000000002</v>
      </c>
      <c r="K801" t="str">
        <f t="shared" si="37"/>
        <v>February</v>
      </c>
      <c r="L801" t="str">
        <f t="shared" si="38"/>
        <v>Q1</v>
      </c>
      <c r="M801">
        <f t="shared" si="36"/>
        <v>2023</v>
      </c>
      <c r="N801" t="s">
        <v>45</v>
      </c>
    </row>
    <row r="802" spans="1:14" ht="14.55" customHeight="1" x14ac:dyDescent="0.3">
      <c r="A802" s="1">
        <v>44582</v>
      </c>
      <c r="B802" t="s">
        <v>18</v>
      </c>
      <c r="C802" t="s">
        <v>21</v>
      </c>
      <c r="D802" t="s">
        <v>22</v>
      </c>
      <c r="E802">
        <v>37</v>
      </c>
      <c r="F802">
        <v>16492.46</v>
      </c>
      <c r="G802" t="s">
        <v>12</v>
      </c>
      <c r="H802">
        <v>1</v>
      </c>
      <c r="I802">
        <v>3919.57</v>
      </c>
      <c r="J802">
        <v>12572.89</v>
      </c>
      <c r="K802" t="str">
        <f t="shared" si="37"/>
        <v>January</v>
      </c>
      <c r="L802" t="str">
        <f t="shared" si="38"/>
        <v>Q1</v>
      </c>
      <c r="M802">
        <f t="shared" si="36"/>
        <v>2022</v>
      </c>
      <c r="N802" t="s">
        <v>44</v>
      </c>
    </row>
    <row r="803" spans="1:14" ht="14.55" customHeight="1" x14ac:dyDescent="0.3">
      <c r="A803" s="1">
        <v>44721</v>
      </c>
      <c r="B803" t="s">
        <v>23</v>
      </c>
      <c r="C803" t="s">
        <v>21</v>
      </c>
      <c r="D803" t="s">
        <v>36</v>
      </c>
      <c r="E803">
        <v>36</v>
      </c>
      <c r="F803">
        <v>12468.59</v>
      </c>
      <c r="G803" t="s">
        <v>20</v>
      </c>
      <c r="H803">
        <v>2</v>
      </c>
      <c r="I803">
        <v>7143.61</v>
      </c>
      <c r="J803">
        <v>5324.98</v>
      </c>
      <c r="K803" t="str">
        <f t="shared" si="37"/>
        <v>June</v>
      </c>
      <c r="L803" t="str">
        <f t="shared" si="38"/>
        <v>Q2</v>
      </c>
      <c r="M803">
        <f t="shared" si="36"/>
        <v>2022</v>
      </c>
      <c r="N803" t="s">
        <v>43</v>
      </c>
    </row>
    <row r="804" spans="1:14" ht="14.55" customHeight="1" x14ac:dyDescent="0.3">
      <c r="A804" s="1">
        <v>44885</v>
      </c>
      <c r="B804" t="s">
        <v>9</v>
      </c>
      <c r="C804" t="s">
        <v>10</v>
      </c>
      <c r="D804" t="s">
        <v>35</v>
      </c>
      <c r="E804">
        <v>19</v>
      </c>
      <c r="F804">
        <v>3252.39</v>
      </c>
      <c r="G804" t="s">
        <v>20</v>
      </c>
      <c r="H804">
        <v>5</v>
      </c>
      <c r="I804">
        <v>2376.9</v>
      </c>
      <c r="J804">
        <v>875.49</v>
      </c>
      <c r="K804" t="str">
        <f t="shared" si="37"/>
        <v>November</v>
      </c>
      <c r="L804" t="str">
        <f t="shared" si="38"/>
        <v>Q4</v>
      </c>
      <c r="M804">
        <f t="shared" si="36"/>
        <v>2022</v>
      </c>
      <c r="N804" t="s">
        <v>43</v>
      </c>
    </row>
    <row r="805" spans="1:14" ht="14.55" customHeight="1" x14ac:dyDescent="0.3">
      <c r="A805" s="1">
        <v>44975</v>
      </c>
      <c r="B805" t="s">
        <v>23</v>
      </c>
      <c r="C805" t="s">
        <v>16</v>
      </c>
      <c r="D805" t="s">
        <v>24</v>
      </c>
      <c r="E805">
        <v>36</v>
      </c>
      <c r="F805">
        <v>5704.6</v>
      </c>
      <c r="G805" t="s">
        <v>20</v>
      </c>
      <c r="H805">
        <v>5</v>
      </c>
      <c r="I805">
        <v>8100.04</v>
      </c>
      <c r="J805">
        <v>-2395.44</v>
      </c>
      <c r="K805" t="str">
        <f t="shared" si="37"/>
        <v>February</v>
      </c>
      <c r="L805" t="str">
        <f t="shared" si="38"/>
        <v>Q1</v>
      </c>
      <c r="M805">
        <f t="shared" si="36"/>
        <v>2023</v>
      </c>
      <c r="N805" t="s">
        <v>47</v>
      </c>
    </row>
    <row r="806" spans="1:14" ht="14.55" customHeight="1" x14ac:dyDescent="0.3">
      <c r="A806" s="1">
        <v>44820</v>
      </c>
      <c r="B806" t="s">
        <v>31</v>
      </c>
      <c r="C806" t="s">
        <v>21</v>
      </c>
      <c r="D806" t="s">
        <v>36</v>
      </c>
      <c r="E806">
        <v>23</v>
      </c>
      <c r="F806">
        <v>2836.6</v>
      </c>
      <c r="G806" t="s">
        <v>12</v>
      </c>
      <c r="H806">
        <v>2</v>
      </c>
      <c r="I806">
        <v>1397.02</v>
      </c>
      <c r="J806">
        <v>1439.58</v>
      </c>
      <c r="K806" t="str">
        <f t="shared" si="37"/>
        <v>September</v>
      </c>
      <c r="L806" t="str">
        <f t="shared" si="38"/>
        <v>Q3</v>
      </c>
      <c r="M806">
        <f t="shared" si="36"/>
        <v>2022</v>
      </c>
      <c r="N806" t="s">
        <v>44</v>
      </c>
    </row>
    <row r="807" spans="1:14" ht="14.55" customHeight="1" x14ac:dyDescent="0.3">
      <c r="A807" s="1">
        <v>44617</v>
      </c>
      <c r="B807" t="s">
        <v>31</v>
      </c>
      <c r="C807" t="s">
        <v>21</v>
      </c>
      <c r="D807" t="s">
        <v>36</v>
      </c>
      <c r="E807">
        <v>43</v>
      </c>
      <c r="F807">
        <v>12805.84</v>
      </c>
      <c r="G807" t="s">
        <v>12</v>
      </c>
      <c r="H807">
        <v>5</v>
      </c>
      <c r="I807">
        <v>4027.2</v>
      </c>
      <c r="J807">
        <v>8778.64</v>
      </c>
      <c r="K807" t="str">
        <f t="shared" si="37"/>
        <v>February</v>
      </c>
      <c r="L807" t="str">
        <f t="shared" si="38"/>
        <v>Q1</v>
      </c>
      <c r="M807">
        <f t="shared" si="36"/>
        <v>2022</v>
      </c>
      <c r="N807" t="s">
        <v>45</v>
      </c>
    </row>
    <row r="808" spans="1:14" ht="14.55" customHeight="1" x14ac:dyDescent="0.3">
      <c r="A808" s="1">
        <v>44826</v>
      </c>
      <c r="B808" t="s">
        <v>23</v>
      </c>
      <c r="C808" t="s">
        <v>25</v>
      </c>
      <c r="D808" t="s">
        <v>30</v>
      </c>
      <c r="E808">
        <v>5</v>
      </c>
      <c r="F808">
        <v>1502.17</v>
      </c>
      <c r="G808" t="s">
        <v>20</v>
      </c>
      <c r="H808">
        <v>3</v>
      </c>
      <c r="I808">
        <v>50.25</v>
      </c>
      <c r="J808">
        <v>1451.92</v>
      </c>
      <c r="K808" t="str">
        <f t="shared" si="37"/>
        <v>September</v>
      </c>
      <c r="L808" t="str">
        <f t="shared" si="38"/>
        <v>Q3</v>
      </c>
      <c r="M808">
        <f t="shared" si="36"/>
        <v>2022</v>
      </c>
      <c r="N808" t="s">
        <v>47</v>
      </c>
    </row>
    <row r="809" spans="1:14" ht="14.55" customHeight="1" x14ac:dyDescent="0.3">
      <c r="A809" s="1">
        <v>44737</v>
      </c>
      <c r="B809" t="s">
        <v>15</v>
      </c>
      <c r="C809" t="s">
        <v>21</v>
      </c>
      <c r="D809" t="s">
        <v>22</v>
      </c>
      <c r="E809">
        <v>38</v>
      </c>
      <c r="F809">
        <v>14525.44</v>
      </c>
      <c r="G809" t="s">
        <v>20</v>
      </c>
      <c r="H809">
        <v>2</v>
      </c>
      <c r="I809">
        <v>7364.73</v>
      </c>
      <c r="J809">
        <v>7160.71</v>
      </c>
      <c r="K809" t="str">
        <f t="shared" si="37"/>
        <v>June</v>
      </c>
      <c r="L809" t="str">
        <f t="shared" si="38"/>
        <v>Q2</v>
      </c>
      <c r="M809">
        <f t="shared" si="36"/>
        <v>2022</v>
      </c>
      <c r="N809" t="s">
        <v>47</v>
      </c>
    </row>
    <row r="810" spans="1:14" ht="14.55" customHeight="1" x14ac:dyDescent="0.3">
      <c r="A810" s="1">
        <v>44810</v>
      </c>
      <c r="B810" t="s">
        <v>9</v>
      </c>
      <c r="C810" t="s">
        <v>21</v>
      </c>
      <c r="D810" t="s">
        <v>33</v>
      </c>
      <c r="E810">
        <v>48</v>
      </c>
      <c r="F810">
        <v>23697.95</v>
      </c>
      <c r="G810" t="s">
        <v>12</v>
      </c>
      <c r="H810">
        <v>2</v>
      </c>
      <c r="I810">
        <v>10676.93</v>
      </c>
      <c r="J810">
        <v>13021.02</v>
      </c>
      <c r="K810" t="str">
        <f t="shared" si="37"/>
        <v>September</v>
      </c>
      <c r="L810" t="str">
        <f t="shared" si="38"/>
        <v>Q3</v>
      </c>
      <c r="M810">
        <f t="shared" si="36"/>
        <v>2022</v>
      </c>
      <c r="N810" t="s">
        <v>44</v>
      </c>
    </row>
    <row r="811" spans="1:14" ht="14.55" customHeight="1" x14ac:dyDescent="0.3">
      <c r="A811" s="1">
        <v>44913</v>
      </c>
      <c r="B811" t="s">
        <v>18</v>
      </c>
      <c r="C811" t="s">
        <v>25</v>
      </c>
      <c r="D811" t="s">
        <v>38</v>
      </c>
      <c r="E811">
        <v>45</v>
      </c>
      <c r="F811">
        <v>21568.99</v>
      </c>
      <c r="G811" t="s">
        <v>20</v>
      </c>
      <c r="H811">
        <v>2</v>
      </c>
      <c r="I811">
        <v>3615.5</v>
      </c>
      <c r="J811">
        <v>17953.490000000002</v>
      </c>
      <c r="K811" t="str">
        <f t="shared" si="37"/>
        <v>December</v>
      </c>
      <c r="L811" t="str">
        <f t="shared" si="38"/>
        <v>Q4</v>
      </c>
      <c r="M811">
        <f t="shared" si="36"/>
        <v>2022</v>
      </c>
      <c r="N811" t="s">
        <v>44</v>
      </c>
    </row>
    <row r="812" spans="1:14" ht="14.55" customHeight="1" x14ac:dyDescent="0.3">
      <c r="A812" s="1">
        <v>44855</v>
      </c>
      <c r="B812" t="s">
        <v>18</v>
      </c>
      <c r="C812" t="s">
        <v>13</v>
      </c>
      <c r="D812" t="s">
        <v>29</v>
      </c>
      <c r="E812">
        <v>41</v>
      </c>
      <c r="F812">
        <v>11441.83</v>
      </c>
      <c r="G812" t="s">
        <v>20</v>
      </c>
      <c r="H812">
        <v>3</v>
      </c>
      <c r="I812">
        <v>6920.72</v>
      </c>
      <c r="J812">
        <v>4521.1099999999997</v>
      </c>
      <c r="K812" t="str">
        <f t="shared" si="37"/>
        <v>October</v>
      </c>
      <c r="L812" t="str">
        <f t="shared" si="38"/>
        <v>Q4</v>
      </c>
      <c r="M812">
        <f t="shared" si="36"/>
        <v>2022</v>
      </c>
      <c r="N812" t="s">
        <v>44</v>
      </c>
    </row>
    <row r="813" spans="1:14" ht="14.55" customHeight="1" x14ac:dyDescent="0.3">
      <c r="A813" s="1">
        <v>44611</v>
      </c>
      <c r="B813" t="s">
        <v>9</v>
      </c>
      <c r="C813" t="s">
        <v>13</v>
      </c>
      <c r="D813" t="s">
        <v>29</v>
      </c>
      <c r="E813">
        <v>30</v>
      </c>
      <c r="F813">
        <v>10172.02</v>
      </c>
      <c r="G813" t="s">
        <v>20</v>
      </c>
      <c r="H813">
        <v>5</v>
      </c>
      <c r="I813">
        <v>1908.27</v>
      </c>
      <c r="J813">
        <v>8263.75</v>
      </c>
      <c r="K813" t="str">
        <f t="shared" si="37"/>
        <v>February</v>
      </c>
      <c r="L813" t="str">
        <f t="shared" si="38"/>
        <v>Q1</v>
      </c>
      <c r="M813">
        <f t="shared" si="36"/>
        <v>2022</v>
      </c>
      <c r="N813" t="s">
        <v>43</v>
      </c>
    </row>
    <row r="814" spans="1:14" ht="14.55" customHeight="1" x14ac:dyDescent="0.3">
      <c r="A814" s="1">
        <v>44620</v>
      </c>
      <c r="B814" t="s">
        <v>18</v>
      </c>
      <c r="C814" t="s">
        <v>25</v>
      </c>
      <c r="D814" t="s">
        <v>26</v>
      </c>
      <c r="E814">
        <v>26</v>
      </c>
      <c r="F814">
        <v>11596.06</v>
      </c>
      <c r="G814" t="s">
        <v>20</v>
      </c>
      <c r="H814">
        <v>4</v>
      </c>
      <c r="I814">
        <v>3643.44</v>
      </c>
      <c r="J814">
        <v>7952.62</v>
      </c>
      <c r="K814" t="str">
        <f t="shared" si="37"/>
        <v>February</v>
      </c>
      <c r="L814" t="str">
        <f t="shared" si="38"/>
        <v>Q1</v>
      </c>
      <c r="M814">
        <f t="shared" si="36"/>
        <v>2022</v>
      </c>
      <c r="N814" t="s">
        <v>44</v>
      </c>
    </row>
    <row r="815" spans="1:14" ht="14.55" customHeight="1" x14ac:dyDescent="0.3">
      <c r="A815" s="1">
        <v>44919</v>
      </c>
      <c r="B815" t="s">
        <v>15</v>
      </c>
      <c r="C815" t="s">
        <v>21</v>
      </c>
      <c r="D815" t="s">
        <v>33</v>
      </c>
      <c r="E815">
        <v>13</v>
      </c>
      <c r="F815">
        <v>1822.46</v>
      </c>
      <c r="G815" t="s">
        <v>12</v>
      </c>
      <c r="H815">
        <v>2</v>
      </c>
      <c r="I815">
        <v>2294.59</v>
      </c>
      <c r="J815">
        <v>-472.13</v>
      </c>
      <c r="K815" t="str">
        <f t="shared" si="37"/>
        <v>December</v>
      </c>
      <c r="L815" t="str">
        <f t="shared" si="38"/>
        <v>Q4</v>
      </c>
      <c r="M815">
        <f t="shared" si="36"/>
        <v>2022</v>
      </c>
      <c r="N815" t="s">
        <v>44</v>
      </c>
    </row>
    <row r="816" spans="1:14" ht="14.55" customHeight="1" x14ac:dyDescent="0.3">
      <c r="A816" s="1">
        <v>45264</v>
      </c>
      <c r="B816" t="s">
        <v>31</v>
      </c>
      <c r="C816" t="s">
        <v>13</v>
      </c>
      <c r="D816" t="s">
        <v>40</v>
      </c>
      <c r="E816">
        <v>17</v>
      </c>
      <c r="F816">
        <v>5387.8</v>
      </c>
      <c r="G816" t="s">
        <v>20</v>
      </c>
      <c r="H816">
        <v>3</v>
      </c>
      <c r="I816">
        <v>979.96</v>
      </c>
      <c r="J816">
        <v>4407.84</v>
      </c>
      <c r="K816" t="str">
        <f t="shared" si="37"/>
        <v>December</v>
      </c>
      <c r="L816" t="str">
        <f t="shared" si="38"/>
        <v>Q4</v>
      </c>
      <c r="M816">
        <f t="shared" si="36"/>
        <v>2023</v>
      </c>
      <c r="N816" t="s">
        <v>44</v>
      </c>
    </row>
    <row r="817" spans="1:14" ht="14.55" customHeight="1" x14ac:dyDescent="0.3">
      <c r="A817" s="1">
        <v>44775</v>
      </c>
      <c r="B817" t="s">
        <v>23</v>
      </c>
      <c r="C817" t="s">
        <v>13</v>
      </c>
      <c r="D817" t="s">
        <v>29</v>
      </c>
      <c r="E817">
        <v>34</v>
      </c>
      <c r="F817">
        <v>5257.08</v>
      </c>
      <c r="G817" t="s">
        <v>20</v>
      </c>
      <c r="H817">
        <v>1</v>
      </c>
      <c r="I817">
        <v>7185.23</v>
      </c>
      <c r="J817">
        <v>-1928.15</v>
      </c>
      <c r="K817" t="str">
        <f t="shared" si="37"/>
        <v>August</v>
      </c>
      <c r="L817" t="str">
        <f t="shared" si="38"/>
        <v>Q3</v>
      </c>
      <c r="M817">
        <f t="shared" si="36"/>
        <v>2022</v>
      </c>
      <c r="N817" t="s">
        <v>44</v>
      </c>
    </row>
    <row r="818" spans="1:14" ht="14.55" customHeight="1" x14ac:dyDescent="0.3">
      <c r="A818" s="1">
        <v>44649</v>
      </c>
      <c r="B818" t="s">
        <v>23</v>
      </c>
      <c r="C818" t="s">
        <v>13</v>
      </c>
      <c r="D818" t="s">
        <v>29</v>
      </c>
      <c r="E818">
        <v>41</v>
      </c>
      <c r="F818">
        <v>16296.06</v>
      </c>
      <c r="G818" t="s">
        <v>20</v>
      </c>
      <c r="H818">
        <v>1</v>
      </c>
      <c r="I818">
        <v>3817.42</v>
      </c>
      <c r="J818">
        <v>12478.64</v>
      </c>
      <c r="K818" t="str">
        <f t="shared" si="37"/>
        <v>March</v>
      </c>
      <c r="L818" t="str">
        <f t="shared" si="38"/>
        <v>Q1</v>
      </c>
      <c r="M818">
        <f t="shared" si="36"/>
        <v>2022</v>
      </c>
      <c r="N818" t="s">
        <v>44</v>
      </c>
    </row>
    <row r="819" spans="1:14" ht="14.55" customHeight="1" x14ac:dyDescent="0.3">
      <c r="A819" s="1">
        <v>44926</v>
      </c>
      <c r="B819" t="s">
        <v>9</v>
      </c>
      <c r="C819" t="s">
        <v>16</v>
      </c>
      <c r="D819" t="s">
        <v>37</v>
      </c>
      <c r="E819">
        <v>43</v>
      </c>
      <c r="F819">
        <v>803.24</v>
      </c>
      <c r="G819" t="s">
        <v>20</v>
      </c>
      <c r="H819">
        <v>1</v>
      </c>
      <c r="I819">
        <v>8134.38</v>
      </c>
      <c r="J819">
        <v>-7331.14</v>
      </c>
      <c r="K819" t="str">
        <f t="shared" si="37"/>
        <v>December</v>
      </c>
      <c r="L819" t="str">
        <f t="shared" si="38"/>
        <v>Q4</v>
      </c>
      <c r="M819">
        <f t="shared" si="36"/>
        <v>2022</v>
      </c>
      <c r="N819" t="s">
        <v>43</v>
      </c>
    </row>
    <row r="820" spans="1:14" ht="14.55" customHeight="1" x14ac:dyDescent="0.3">
      <c r="A820" s="1">
        <v>45004</v>
      </c>
      <c r="B820" t="s">
        <v>23</v>
      </c>
      <c r="C820" t="s">
        <v>10</v>
      </c>
      <c r="D820" t="s">
        <v>34</v>
      </c>
      <c r="E820">
        <v>1</v>
      </c>
      <c r="F820">
        <v>41.69</v>
      </c>
      <c r="G820" t="s">
        <v>20</v>
      </c>
      <c r="H820">
        <v>3</v>
      </c>
      <c r="I820">
        <v>229.44</v>
      </c>
      <c r="J820">
        <v>-187.75</v>
      </c>
      <c r="K820" t="str">
        <f t="shared" si="37"/>
        <v>March</v>
      </c>
      <c r="L820" t="str">
        <f t="shared" si="38"/>
        <v>Q1</v>
      </c>
      <c r="M820">
        <f t="shared" si="36"/>
        <v>2023</v>
      </c>
      <c r="N820" t="s">
        <v>45</v>
      </c>
    </row>
    <row r="821" spans="1:14" ht="14.55" customHeight="1" x14ac:dyDescent="0.3">
      <c r="A821" s="1">
        <v>44978</v>
      </c>
      <c r="B821" t="s">
        <v>31</v>
      </c>
      <c r="C821" t="s">
        <v>13</v>
      </c>
      <c r="D821" t="s">
        <v>14</v>
      </c>
      <c r="E821">
        <v>41</v>
      </c>
      <c r="F821">
        <v>13332.51</v>
      </c>
      <c r="G821" t="s">
        <v>12</v>
      </c>
      <c r="H821">
        <v>2</v>
      </c>
      <c r="I821">
        <v>4143.88</v>
      </c>
      <c r="J821">
        <v>9188.6299999999992</v>
      </c>
      <c r="K821" t="str">
        <f t="shared" si="37"/>
        <v>February</v>
      </c>
      <c r="L821" t="str">
        <f t="shared" si="38"/>
        <v>Q1</v>
      </c>
      <c r="M821">
        <f t="shared" si="36"/>
        <v>2023</v>
      </c>
      <c r="N821" t="s">
        <v>44</v>
      </c>
    </row>
    <row r="822" spans="1:14" ht="14.55" customHeight="1" x14ac:dyDescent="0.3">
      <c r="A822" s="1">
        <v>44662</v>
      </c>
      <c r="B822" t="s">
        <v>23</v>
      </c>
      <c r="C822" t="s">
        <v>25</v>
      </c>
      <c r="D822" t="s">
        <v>30</v>
      </c>
      <c r="E822">
        <v>36</v>
      </c>
      <c r="F822">
        <v>4072.45</v>
      </c>
      <c r="G822" t="s">
        <v>12</v>
      </c>
      <c r="H822">
        <v>3</v>
      </c>
      <c r="I822">
        <v>4832.3999999999996</v>
      </c>
      <c r="J822">
        <v>-759.95</v>
      </c>
      <c r="K822" t="str">
        <f t="shared" si="37"/>
        <v>April</v>
      </c>
      <c r="L822" t="str">
        <f t="shared" si="38"/>
        <v>Q2</v>
      </c>
      <c r="M822">
        <f t="shared" si="36"/>
        <v>2022</v>
      </c>
      <c r="N822" t="s">
        <v>44</v>
      </c>
    </row>
    <row r="823" spans="1:14" ht="14.55" customHeight="1" x14ac:dyDescent="0.3">
      <c r="A823" s="1">
        <v>45246</v>
      </c>
      <c r="B823" t="s">
        <v>9</v>
      </c>
      <c r="C823" t="s">
        <v>21</v>
      </c>
      <c r="D823" t="s">
        <v>36</v>
      </c>
      <c r="E823">
        <v>13</v>
      </c>
      <c r="F823">
        <v>5288.36</v>
      </c>
      <c r="G823" t="s">
        <v>12</v>
      </c>
      <c r="H823">
        <v>2</v>
      </c>
      <c r="I823">
        <v>460</v>
      </c>
      <c r="J823">
        <v>4828.3599999999997</v>
      </c>
      <c r="K823" t="str">
        <f t="shared" si="37"/>
        <v>November</v>
      </c>
      <c r="L823" t="str">
        <f t="shared" si="38"/>
        <v>Q4</v>
      </c>
      <c r="M823">
        <f t="shared" si="36"/>
        <v>2023</v>
      </c>
      <c r="N823" t="s">
        <v>43</v>
      </c>
    </row>
    <row r="824" spans="1:14" ht="14.55" customHeight="1" x14ac:dyDescent="0.3">
      <c r="A824" s="1">
        <v>45120</v>
      </c>
      <c r="B824" t="s">
        <v>31</v>
      </c>
      <c r="C824" t="s">
        <v>13</v>
      </c>
      <c r="D824" t="s">
        <v>40</v>
      </c>
      <c r="E824">
        <v>41</v>
      </c>
      <c r="F824">
        <v>714.65</v>
      </c>
      <c r="G824" t="s">
        <v>12</v>
      </c>
      <c r="H824">
        <v>2</v>
      </c>
      <c r="I824">
        <v>6946.88</v>
      </c>
      <c r="J824">
        <v>-6232.23</v>
      </c>
      <c r="K824" t="str">
        <f t="shared" si="37"/>
        <v>July</v>
      </c>
      <c r="L824" t="str">
        <f t="shared" si="38"/>
        <v>Q3</v>
      </c>
      <c r="M824">
        <f t="shared" si="36"/>
        <v>2023</v>
      </c>
      <c r="N824" t="s">
        <v>44</v>
      </c>
    </row>
    <row r="825" spans="1:14" ht="14.55" customHeight="1" x14ac:dyDescent="0.3">
      <c r="A825" s="1">
        <v>44759</v>
      </c>
      <c r="B825" t="s">
        <v>23</v>
      </c>
      <c r="C825" t="s">
        <v>10</v>
      </c>
      <c r="D825" t="s">
        <v>35</v>
      </c>
      <c r="E825">
        <v>45</v>
      </c>
      <c r="F825">
        <v>1956.97</v>
      </c>
      <c r="G825" t="s">
        <v>12</v>
      </c>
      <c r="H825">
        <v>4</v>
      </c>
      <c r="I825">
        <v>1218.83</v>
      </c>
      <c r="J825">
        <v>738.14</v>
      </c>
      <c r="K825" t="str">
        <f t="shared" si="37"/>
        <v>July</v>
      </c>
      <c r="L825" t="str">
        <f t="shared" si="38"/>
        <v>Q3</v>
      </c>
      <c r="M825">
        <f t="shared" si="36"/>
        <v>2022</v>
      </c>
      <c r="N825" t="s">
        <v>44</v>
      </c>
    </row>
    <row r="826" spans="1:14" ht="14.55" customHeight="1" x14ac:dyDescent="0.3">
      <c r="A826" s="1">
        <v>44812</v>
      </c>
      <c r="B826" t="s">
        <v>15</v>
      </c>
      <c r="C826" t="s">
        <v>13</v>
      </c>
      <c r="D826" t="s">
        <v>40</v>
      </c>
      <c r="E826">
        <v>12</v>
      </c>
      <c r="F826">
        <v>881.56</v>
      </c>
      <c r="G826" t="s">
        <v>12</v>
      </c>
      <c r="H826">
        <v>5</v>
      </c>
      <c r="I826">
        <v>1431.98</v>
      </c>
      <c r="J826">
        <v>-550.41999999999996</v>
      </c>
      <c r="K826" t="str">
        <f t="shared" si="37"/>
        <v>September</v>
      </c>
      <c r="L826" t="str">
        <f t="shared" si="38"/>
        <v>Q3</v>
      </c>
      <c r="M826">
        <f t="shared" si="36"/>
        <v>2022</v>
      </c>
      <c r="N826" t="s">
        <v>44</v>
      </c>
    </row>
    <row r="827" spans="1:14" ht="14.55" customHeight="1" x14ac:dyDescent="0.3">
      <c r="A827" s="1">
        <v>45135</v>
      </c>
      <c r="B827" t="s">
        <v>31</v>
      </c>
      <c r="C827" t="s">
        <v>21</v>
      </c>
      <c r="D827" t="s">
        <v>33</v>
      </c>
      <c r="E827">
        <v>29</v>
      </c>
      <c r="F827">
        <v>437.17</v>
      </c>
      <c r="G827" t="s">
        <v>20</v>
      </c>
      <c r="H827">
        <v>2</v>
      </c>
      <c r="I827">
        <v>2587.4499999999998</v>
      </c>
      <c r="J827">
        <v>-2150.2800000000002</v>
      </c>
      <c r="K827" t="str">
        <f t="shared" si="37"/>
        <v>July</v>
      </c>
      <c r="L827" t="str">
        <f t="shared" si="38"/>
        <v>Q3</v>
      </c>
      <c r="M827">
        <f t="shared" si="36"/>
        <v>2023</v>
      </c>
      <c r="N827" t="s">
        <v>47</v>
      </c>
    </row>
    <row r="828" spans="1:14" ht="14.55" customHeight="1" x14ac:dyDescent="0.3">
      <c r="A828" s="1">
        <v>44608</v>
      </c>
      <c r="B828" t="s">
        <v>9</v>
      </c>
      <c r="C828" t="s">
        <v>21</v>
      </c>
      <c r="D828" t="s">
        <v>33</v>
      </c>
      <c r="E828">
        <v>32</v>
      </c>
      <c r="F828">
        <v>1027</v>
      </c>
      <c r="G828" t="s">
        <v>20</v>
      </c>
      <c r="H828">
        <v>2</v>
      </c>
      <c r="I828">
        <v>5536.74</v>
      </c>
      <c r="J828">
        <v>-4509.74</v>
      </c>
      <c r="K828" t="str">
        <f t="shared" si="37"/>
        <v>February</v>
      </c>
      <c r="L828" t="str">
        <f t="shared" si="38"/>
        <v>Q1</v>
      </c>
      <c r="M828">
        <f t="shared" si="36"/>
        <v>2022</v>
      </c>
      <c r="N828" t="s">
        <v>44</v>
      </c>
    </row>
    <row r="829" spans="1:14" ht="14.55" customHeight="1" x14ac:dyDescent="0.3">
      <c r="A829" s="1">
        <v>44826</v>
      </c>
      <c r="B829" t="s">
        <v>18</v>
      </c>
      <c r="C829" t="s">
        <v>16</v>
      </c>
      <c r="D829" t="s">
        <v>37</v>
      </c>
      <c r="E829">
        <v>24</v>
      </c>
      <c r="F829">
        <v>4118.1499999999996</v>
      </c>
      <c r="G829" t="s">
        <v>12</v>
      </c>
      <c r="H829">
        <v>5</v>
      </c>
      <c r="I829">
        <v>2576.39</v>
      </c>
      <c r="J829">
        <v>1541.76</v>
      </c>
      <c r="K829" t="str">
        <f t="shared" si="37"/>
        <v>September</v>
      </c>
      <c r="L829" t="str">
        <f t="shared" si="38"/>
        <v>Q3</v>
      </c>
      <c r="M829">
        <f t="shared" si="36"/>
        <v>2022</v>
      </c>
      <c r="N829" t="s">
        <v>44</v>
      </c>
    </row>
    <row r="830" spans="1:14" ht="14.55" customHeight="1" x14ac:dyDescent="0.3">
      <c r="A830" s="1">
        <v>45254</v>
      </c>
      <c r="B830" t="s">
        <v>15</v>
      </c>
      <c r="C830" t="s">
        <v>16</v>
      </c>
      <c r="D830" t="s">
        <v>37</v>
      </c>
      <c r="E830">
        <v>50</v>
      </c>
      <c r="F830">
        <v>17485.32</v>
      </c>
      <c r="G830" t="s">
        <v>20</v>
      </c>
      <c r="H830">
        <v>5</v>
      </c>
      <c r="I830">
        <v>6887.79</v>
      </c>
      <c r="J830">
        <v>10597.53</v>
      </c>
      <c r="K830" t="str">
        <f t="shared" si="37"/>
        <v>November</v>
      </c>
      <c r="L830" t="str">
        <f t="shared" si="38"/>
        <v>Q4</v>
      </c>
      <c r="M830">
        <f t="shared" si="36"/>
        <v>2023</v>
      </c>
      <c r="N830" t="s">
        <v>45</v>
      </c>
    </row>
    <row r="831" spans="1:14" ht="14.55" customHeight="1" x14ac:dyDescent="0.3">
      <c r="A831" s="1">
        <v>44987</v>
      </c>
      <c r="B831" t="s">
        <v>15</v>
      </c>
      <c r="C831" t="s">
        <v>21</v>
      </c>
      <c r="D831" t="s">
        <v>32</v>
      </c>
      <c r="E831">
        <v>27</v>
      </c>
      <c r="F831">
        <v>4916.0200000000004</v>
      </c>
      <c r="G831" t="s">
        <v>12</v>
      </c>
      <c r="H831">
        <v>3</v>
      </c>
      <c r="I831">
        <v>1711.04</v>
      </c>
      <c r="J831">
        <v>3204.98</v>
      </c>
      <c r="K831" t="str">
        <f t="shared" si="37"/>
        <v>March</v>
      </c>
      <c r="L831" t="str">
        <f t="shared" si="38"/>
        <v>Q1</v>
      </c>
      <c r="M831">
        <f t="shared" si="36"/>
        <v>2023</v>
      </c>
      <c r="N831" t="s">
        <v>44</v>
      </c>
    </row>
    <row r="832" spans="1:14" ht="14.55" customHeight="1" x14ac:dyDescent="0.3">
      <c r="A832" s="1">
        <v>44593</v>
      </c>
      <c r="B832" t="s">
        <v>18</v>
      </c>
      <c r="C832" t="s">
        <v>16</v>
      </c>
      <c r="D832" t="s">
        <v>24</v>
      </c>
      <c r="E832">
        <v>33</v>
      </c>
      <c r="F832">
        <v>12396.69</v>
      </c>
      <c r="G832" t="s">
        <v>12</v>
      </c>
      <c r="H832">
        <v>5</v>
      </c>
      <c r="I832">
        <v>7446.26</v>
      </c>
      <c r="J832">
        <v>4950.43</v>
      </c>
      <c r="K832" t="str">
        <f t="shared" si="37"/>
        <v>February</v>
      </c>
      <c r="L832" t="str">
        <f t="shared" si="38"/>
        <v>Q1</v>
      </c>
      <c r="M832">
        <f t="shared" si="36"/>
        <v>2022</v>
      </c>
      <c r="N832" t="s">
        <v>44</v>
      </c>
    </row>
    <row r="833" spans="1:14" ht="14.55" customHeight="1" x14ac:dyDescent="0.3">
      <c r="A833" s="1">
        <v>44688</v>
      </c>
      <c r="B833" t="s">
        <v>23</v>
      </c>
      <c r="C833" t="s">
        <v>16</v>
      </c>
      <c r="D833" t="s">
        <v>37</v>
      </c>
      <c r="E833">
        <v>6</v>
      </c>
      <c r="F833">
        <v>60.2</v>
      </c>
      <c r="G833" t="s">
        <v>12</v>
      </c>
      <c r="H833">
        <v>2</v>
      </c>
      <c r="I833">
        <v>379.68</v>
      </c>
      <c r="J833">
        <v>-319.48</v>
      </c>
      <c r="K833" t="str">
        <f t="shared" si="37"/>
        <v>May</v>
      </c>
      <c r="L833" t="str">
        <f t="shared" si="38"/>
        <v>Q2</v>
      </c>
      <c r="M833">
        <f t="shared" si="36"/>
        <v>2022</v>
      </c>
      <c r="N833" t="s">
        <v>44</v>
      </c>
    </row>
    <row r="834" spans="1:14" ht="14.55" customHeight="1" x14ac:dyDescent="0.3">
      <c r="A834" s="1">
        <v>44571</v>
      </c>
      <c r="B834" t="s">
        <v>31</v>
      </c>
      <c r="C834" t="s">
        <v>25</v>
      </c>
      <c r="D834" t="s">
        <v>30</v>
      </c>
      <c r="E834">
        <v>25</v>
      </c>
      <c r="F834">
        <v>4254.0200000000004</v>
      </c>
      <c r="G834" t="s">
        <v>20</v>
      </c>
      <c r="H834">
        <v>4</v>
      </c>
      <c r="I834">
        <v>301.98</v>
      </c>
      <c r="J834">
        <v>3952.04</v>
      </c>
      <c r="K834" t="str">
        <f t="shared" si="37"/>
        <v>January</v>
      </c>
      <c r="L834" t="str">
        <f t="shared" si="38"/>
        <v>Q1</v>
      </c>
      <c r="M834">
        <f t="shared" ref="M834:M897" si="39">YEAR(A834)</f>
        <v>2022</v>
      </c>
      <c r="N834" t="s">
        <v>45</v>
      </c>
    </row>
    <row r="835" spans="1:14" ht="14.55" customHeight="1" x14ac:dyDescent="0.3">
      <c r="A835" s="1">
        <v>44912</v>
      </c>
      <c r="B835" t="s">
        <v>18</v>
      </c>
      <c r="C835" t="s">
        <v>21</v>
      </c>
      <c r="D835" t="s">
        <v>36</v>
      </c>
      <c r="E835">
        <v>23</v>
      </c>
      <c r="F835">
        <v>3836.59</v>
      </c>
      <c r="G835" t="s">
        <v>20</v>
      </c>
      <c r="H835">
        <v>1</v>
      </c>
      <c r="I835">
        <v>3449.11</v>
      </c>
      <c r="J835">
        <v>387.48</v>
      </c>
      <c r="K835" t="str">
        <f t="shared" ref="K835:K898" si="40">TEXT(A835,"mmmm")</f>
        <v>December</v>
      </c>
      <c r="L835" t="str">
        <f t="shared" ref="L835:L898" si="41">"Q"&amp;INT((MONTH(A835)-1)/3)+1</f>
        <v>Q4</v>
      </c>
      <c r="M835">
        <f t="shared" si="39"/>
        <v>2022</v>
      </c>
      <c r="N835" t="s">
        <v>44</v>
      </c>
    </row>
    <row r="836" spans="1:14" ht="14.55" customHeight="1" x14ac:dyDescent="0.3">
      <c r="A836" s="1">
        <v>44567</v>
      </c>
      <c r="B836" t="s">
        <v>15</v>
      </c>
      <c r="C836" t="s">
        <v>13</v>
      </c>
      <c r="D836" t="s">
        <v>29</v>
      </c>
      <c r="E836">
        <v>6</v>
      </c>
      <c r="F836">
        <v>1169.3699999999999</v>
      </c>
      <c r="G836" t="s">
        <v>20</v>
      </c>
      <c r="H836">
        <v>2</v>
      </c>
      <c r="I836">
        <v>529.91999999999996</v>
      </c>
      <c r="J836">
        <v>639.45000000000005</v>
      </c>
      <c r="K836" t="str">
        <f t="shared" si="40"/>
        <v>January</v>
      </c>
      <c r="L836" t="str">
        <f t="shared" si="41"/>
        <v>Q1</v>
      </c>
      <c r="M836">
        <f t="shared" si="39"/>
        <v>2022</v>
      </c>
      <c r="N836" t="s">
        <v>44</v>
      </c>
    </row>
    <row r="837" spans="1:14" ht="14.55" customHeight="1" x14ac:dyDescent="0.3">
      <c r="A837" s="1">
        <v>44753</v>
      </c>
      <c r="B837" t="s">
        <v>18</v>
      </c>
      <c r="C837" t="s">
        <v>10</v>
      </c>
      <c r="D837" t="s">
        <v>28</v>
      </c>
      <c r="E837">
        <v>40</v>
      </c>
      <c r="F837">
        <v>15782.09</v>
      </c>
      <c r="G837" t="s">
        <v>12</v>
      </c>
      <c r="H837">
        <v>2</v>
      </c>
      <c r="I837">
        <v>2175.12</v>
      </c>
      <c r="J837">
        <v>13606.97</v>
      </c>
      <c r="K837" t="str">
        <f t="shared" si="40"/>
        <v>July</v>
      </c>
      <c r="L837" t="str">
        <f t="shared" si="41"/>
        <v>Q3</v>
      </c>
      <c r="M837">
        <f t="shared" si="39"/>
        <v>2022</v>
      </c>
      <c r="N837" t="s">
        <v>44</v>
      </c>
    </row>
    <row r="838" spans="1:14" ht="14.55" customHeight="1" x14ac:dyDescent="0.3">
      <c r="A838" s="1">
        <v>44689</v>
      </c>
      <c r="B838" t="s">
        <v>31</v>
      </c>
      <c r="C838" t="s">
        <v>10</v>
      </c>
      <c r="D838" t="s">
        <v>28</v>
      </c>
      <c r="E838">
        <v>7</v>
      </c>
      <c r="F838">
        <v>691.09</v>
      </c>
      <c r="G838" t="s">
        <v>12</v>
      </c>
      <c r="H838">
        <v>1</v>
      </c>
      <c r="I838">
        <v>1186.26</v>
      </c>
      <c r="J838">
        <v>-495.17</v>
      </c>
      <c r="K838" t="str">
        <f t="shared" si="40"/>
        <v>May</v>
      </c>
      <c r="L838" t="str">
        <f t="shared" si="41"/>
        <v>Q2</v>
      </c>
      <c r="M838">
        <f t="shared" si="39"/>
        <v>2022</v>
      </c>
      <c r="N838" t="s">
        <v>44</v>
      </c>
    </row>
    <row r="839" spans="1:14" ht="14.55" customHeight="1" x14ac:dyDescent="0.3">
      <c r="A839" s="1">
        <v>44907</v>
      </c>
      <c r="B839" t="s">
        <v>31</v>
      </c>
      <c r="C839" t="s">
        <v>16</v>
      </c>
      <c r="D839" t="s">
        <v>37</v>
      </c>
      <c r="E839">
        <v>43</v>
      </c>
      <c r="F839">
        <v>6988.41</v>
      </c>
      <c r="G839" t="s">
        <v>20</v>
      </c>
      <c r="H839">
        <v>2</v>
      </c>
      <c r="I839">
        <v>5706.93</v>
      </c>
      <c r="J839">
        <v>1281.48</v>
      </c>
      <c r="K839" t="str">
        <f t="shared" si="40"/>
        <v>December</v>
      </c>
      <c r="L839" t="str">
        <f t="shared" si="41"/>
        <v>Q4</v>
      </c>
      <c r="M839">
        <f t="shared" si="39"/>
        <v>2022</v>
      </c>
      <c r="N839" t="s">
        <v>43</v>
      </c>
    </row>
    <row r="840" spans="1:14" ht="14.55" customHeight="1" x14ac:dyDescent="0.3">
      <c r="A840" s="1">
        <v>45177</v>
      </c>
      <c r="B840" t="s">
        <v>18</v>
      </c>
      <c r="C840" t="s">
        <v>21</v>
      </c>
      <c r="D840" t="s">
        <v>32</v>
      </c>
      <c r="E840">
        <v>37</v>
      </c>
      <c r="F840">
        <v>16500.599999999999</v>
      </c>
      <c r="G840" t="s">
        <v>12</v>
      </c>
      <c r="H840">
        <v>4</v>
      </c>
      <c r="I840">
        <v>7142.47</v>
      </c>
      <c r="J840">
        <v>9358.1299999999992</v>
      </c>
      <c r="K840" t="str">
        <f t="shared" si="40"/>
        <v>September</v>
      </c>
      <c r="L840" t="str">
        <f t="shared" si="41"/>
        <v>Q3</v>
      </c>
      <c r="M840">
        <f t="shared" si="39"/>
        <v>2023</v>
      </c>
      <c r="N840" t="s">
        <v>45</v>
      </c>
    </row>
    <row r="841" spans="1:14" ht="14.55" customHeight="1" x14ac:dyDescent="0.3">
      <c r="A841" s="1">
        <v>45252</v>
      </c>
      <c r="B841" t="s">
        <v>9</v>
      </c>
      <c r="C841" t="s">
        <v>10</v>
      </c>
      <c r="D841" t="s">
        <v>28</v>
      </c>
      <c r="E841">
        <v>23</v>
      </c>
      <c r="F841">
        <v>10902.31</v>
      </c>
      <c r="G841" t="s">
        <v>12</v>
      </c>
      <c r="H841">
        <v>5</v>
      </c>
      <c r="I841">
        <v>3721.27</v>
      </c>
      <c r="J841">
        <v>7181.04</v>
      </c>
      <c r="K841" t="str">
        <f t="shared" si="40"/>
        <v>November</v>
      </c>
      <c r="L841" t="str">
        <f t="shared" si="41"/>
        <v>Q4</v>
      </c>
      <c r="M841">
        <f t="shared" si="39"/>
        <v>2023</v>
      </c>
      <c r="N841" t="s">
        <v>45</v>
      </c>
    </row>
    <row r="842" spans="1:14" ht="14.55" customHeight="1" x14ac:dyDescent="0.3">
      <c r="A842" s="1">
        <v>44810</v>
      </c>
      <c r="B842" t="s">
        <v>31</v>
      </c>
      <c r="C842" t="s">
        <v>25</v>
      </c>
      <c r="D842" t="s">
        <v>39</v>
      </c>
      <c r="E842">
        <v>4</v>
      </c>
      <c r="F842">
        <v>1473.57</v>
      </c>
      <c r="G842" t="s">
        <v>20</v>
      </c>
      <c r="H842">
        <v>3</v>
      </c>
      <c r="I842">
        <v>151.29</v>
      </c>
      <c r="J842">
        <v>1322.28</v>
      </c>
      <c r="K842" t="str">
        <f t="shared" si="40"/>
        <v>September</v>
      </c>
      <c r="L842" t="str">
        <f t="shared" si="41"/>
        <v>Q3</v>
      </c>
      <c r="M842">
        <f t="shared" si="39"/>
        <v>2022</v>
      </c>
      <c r="N842" t="s">
        <v>45</v>
      </c>
    </row>
    <row r="843" spans="1:14" ht="14.55" customHeight="1" x14ac:dyDescent="0.3">
      <c r="A843" s="1">
        <v>45149</v>
      </c>
      <c r="B843" t="s">
        <v>15</v>
      </c>
      <c r="C843" t="s">
        <v>13</v>
      </c>
      <c r="D843" t="s">
        <v>29</v>
      </c>
      <c r="E843">
        <v>17</v>
      </c>
      <c r="F843">
        <v>3639.02</v>
      </c>
      <c r="G843" t="s">
        <v>20</v>
      </c>
      <c r="H843">
        <v>3</v>
      </c>
      <c r="I843">
        <v>2833.57</v>
      </c>
      <c r="J843">
        <v>805.45</v>
      </c>
      <c r="K843" t="str">
        <f t="shared" si="40"/>
        <v>August</v>
      </c>
      <c r="L843" t="str">
        <f t="shared" si="41"/>
        <v>Q3</v>
      </c>
      <c r="M843">
        <f t="shared" si="39"/>
        <v>2023</v>
      </c>
      <c r="N843" t="s">
        <v>45</v>
      </c>
    </row>
    <row r="844" spans="1:14" ht="14.55" customHeight="1" x14ac:dyDescent="0.3">
      <c r="A844" s="1">
        <v>45013</v>
      </c>
      <c r="B844" t="s">
        <v>15</v>
      </c>
      <c r="C844" t="s">
        <v>16</v>
      </c>
      <c r="D844" t="s">
        <v>24</v>
      </c>
      <c r="E844">
        <v>21</v>
      </c>
      <c r="F844">
        <v>6110.42</v>
      </c>
      <c r="G844" t="s">
        <v>12</v>
      </c>
      <c r="H844">
        <v>1</v>
      </c>
      <c r="I844">
        <v>4512.8500000000004</v>
      </c>
      <c r="J844">
        <v>1597.57</v>
      </c>
      <c r="K844" t="str">
        <f t="shared" si="40"/>
        <v>March</v>
      </c>
      <c r="L844" t="str">
        <f t="shared" si="41"/>
        <v>Q1</v>
      </c>
      <c r="M844">
        <f t="shared" si="39"/>
        <v>2023</v>
      </c>
      <c r="N844" t="s">
        <v>45</v>
      </c>
    </row>
    <row r="845" spans="1:14" ht="14.55" customHeight="1" x14ac:dyDescent="0.3">
      <c r="A845" s="1">
        <v>44887</v>
      </c>
      <c r="B845" t="s">
        <v>31</v>
      </c>
      <c r="C845" t="s">
        <v>25</v>
      </c>
      <c r="D845" t="s">
        <v>38</v>
      </c>
      <c r="E845">
        <v>49</v>
      </c>
      <c r="F845">
        <v>23388.31</v>
      </c>
      <c r="G845" t="s">
        <v>12</v>
      </c>
      <c r="H845">
        <v>5</v>
      </c>
      <c r="I845">
        <v>316.95</v>
      </c>
      <c r="J845">
        <v>23071.360000000001</v>
      </c>
      <c r="K845" t="str">
        <f t="shared" si="40"/>
        <v>November</v>
      </c>
      <c r="L845" t="str">
        <f t="shared" si="41"/>
        <v>Q4</v>
      </c>
      <c r="M845">
        <f t="shared" si="39"/>
        <v>2022</v>
      </c>
      <c r="N845" t="s">
        <v>44</v>
      </c>
    </row>
    <row r="846" spans="1:14" ht="14.55" customHeight="1" x14ac:dyDescent="0.3">
      <c r="A846" s="1">
        <v>44824</v>
      </c>
      <c r="B846" t="s">
        <v>9</v>
      </c>
      <c r="C846" t="s">
        <v>16</v>
      </c>
      <c r="D846" t="s">
        <v>17</v>
      </c>
      <c r="E846">
        <v>38</v>
      </c>
      <c r="F846">
        <v>17189.72</v>
      </c>
      <c r="G846" t="s">
        <v>20</v>
      </c>
      <c r="H846">
        <v>2</v>
      </c>
      <c r="I846">
        <v>4320.3100000000004</v>
      </c>
      <c r="J846">
        <v>12869.41</v>
      </c>
      <c r="K846" t="str">
        <f t="shared" si="40"/>
        <v>September</v>
      </c>
      <c r="L846" t="str">
        <f t="shared" si="41"/>
        <v>Q3</v>
      </c>
      <c r="M846">
        <f t="shared" si="39"/>
        <v>2022</v>
      </c>
      <c r="N846" t="s">
        <v>45</v>
      </c>
    </row>
    <row r="847" spans="1:14" ht="14.55" customHeight="1" x14ac:dyDescent="0.3">
      <c r="A847" s="1">
        <v>44986</v>
      </c>
      <c r="B847" t="s">
        <v>18</v>
      </c>
      <c r="C847" t="s">
        <v>13</v>
      </c>
      <c r="D847" t="s">
        <v>19</v>
      </c>
      <c r="E847">
        <v>40</v>
      </c>
      <c r="F847">
        <v>12711.29</v>
      </c>
      <c r="G847" t="s">
        <v>12</v>
      </c>
      <c r="H847">
        <v>4</v>
      </c>
      <c r="I847">
        <v>470.44</v>
      </c>
      <c r="J847">
        <v>12240.85</v>
      </c>
      <c r="K847" t="str">
        <f t="shared" si="40"/>
        <v>March</v>
      </c>
      <c r="L847" t="str">
        <f t="shared" si="41"/>
        <v>Q1</v>
      </c>
      <c r="M847">
        <f t="shared" si="39"/>
        <v>2023</v>
      </c>
      <c r="N847" t="s">
        <v>45</v>
      </c>
    </row>
    <row r="848" spans="1:14" ht="14.55" customHeight="1" x14ac:dyDescent="0.3">
      <c r="A848" s="1">
        <v>44841</v>
      </c>
      <c r="B848" t="s">
        <v>9</v>
      </c>
      <c r="C848" t="s">
        <v>25</v>
      </c>
      <c r="D848" t="s">
        <v>30</v>
      </c>
      <c r="E848">
        <v>24</v>
      </c>
      <c r="F848">
        <v>10663.3</v>
      </c>
      <c r="G848" t="s">
        <v>12</v>
      </c>
      <c r="H848">
        <v>2</v>
      </c>
      <c r="I848">
        <v>481.57</v>
      </c>
      <c r="J848">
        <v>10181.73</v>
      </c>
      <c r="K848" t="str">
        <f t="shared" si="40"/>
        <v>October</v>
      </c>
      <c r="L848" t="str">
        <f t="shared" si="41"/>
        <v>Q4</v>
      </c>
      <c r="M848">
        <f t="shared" si="39"/>
        <v>2022</v>
      </c>
      <c r="N848" t="s">
        <v>45</v>
      </c>
    </row>
    <row r="849" spans="1:14" ht="14.55" customHeight="1" x14ac:dyDescent="0.3">
      <c r="A849" s="1">
        <v>44943</v>
      </c>
      <c r="B849" t="s">
        <v>31</v>
      </c>
      <c r="C849" t="s">
        <v>10</v>
      </c>
      <c r="D849" t="s">
        <v>35</v>
      </c>
      <c r="E849">
        <v>44</v>
      </c>
      <c r="F849">
        <v>15587.57</v>
      </c>
      <c r="G849" t="s">
        <v>12</v>
      </c>
      <c r="H849">
        <v>3</v>
      </c>
      <c r="I849">
        <v>2566.66</v>
      </c>
      <c r="J849">
        <v>13020.91</v>
      </c>
      <c r="K849" t="str">
        <f t="shared" si="40"/>
        <v>January</v>
      </c>
      <c r="L849" t="str">
        <f t="shared" si="41"/>
        <v>Q1</v>
      </c>
      <c r="M849">
        <f t="shared" si="39"/>
        <v>2023</v>
      </c>
      <c r="N849" t="s">
        <v>44</v>
      </c>
    </row>
    <row r="850" spans="1:14" ht="14.55" customHeight="1" x14ac:dyDescent="0.3">
      <c r="A850" s="1">
        <v>45265</v>
      </c>
      <c r="B850" t="s">
        <v>15</v>
      </c>
      <c r="C850" t="s">
        <v>13</v>
      </c>
      <c r="D850" t="s">
        <v>14</v>
      </c>
      <c r="E850">
        <v>41</v>
      </c>
      <c r="F850">
        <v>12143.34</v>
      </c>
      <c r="G850" t="s">
        <v>20</v>
      </c>
      <c r="H850">
        <v>5</v>
      </c>
      <c r="I850">
        <v>3323.69</v>
      </c>
      <c r="J850">
        <v>8819.65</v>
      </c>
      <c r="K850" t="str">
        <f t="shared" si="40"/>
        <v>December</v>
      </c>
      <c r="L850" t="str">
        <f t="shared" si="41"/>
        <v>Q4</v>
      </c>
      <c r="M850">
        <f t="shared" si="39"/>
        <v>2023</v>
      </c>
      <c r="N850" t="s">
        <v>44</v>
      </c>
    </row>
    <row r="851" spans="1:14" ht="14.55" customHeight="1" x14ac:dyDescent="0.3">
      <c r="A851" s="1">
        <v>44633</v>
      </c>
      <c r="B851" t="s">
        <v>23</v>
      </c>
      <c r="C851" t="s">
        <v>10</v>
      </c>
      <c r="D851" t="s">
        <v>35</v>
      </c>
      <c r="E851">
        <v>20</v>
      </c>
      <c r="F851">
        <v>3383.9</v>
      </c>
      <c r="G851" t="s">
        <v>20</v>
      </c>
      <c r="H851">
        <v>1</v>
      </c>
      <c r="I851">
        <v>3682.91</v>
      </c>
      <c r="J851">
        <v>-299.01</v>
      </c>
      <c r="K851" t="str">
        <f t="shared" si="40"/>
        <v>March</v>
      </c>
      <c r="L851" t="str">
        <f t="shared" si="41"/>
        <v>Q1</v>
      </c>
      <c r="M851">
        <f t="shared" si="39"/>
        <v>2022</v>
      </c>
      <c r="N851" t="s">
        <v>44</v>
      </c>
    </row>
    <row r="852" spans="1:14" ht="14.55" customHeight="1" x14ac:dyDescent="0.3">
      <c r="A852" s="1">
        <v>45020</v>
      </c>
      <c r="B852" t="s">
        <v>9</v>
      </c>
      <c r="C852" t="s">
        <v>13</v>
      </c>
      <c r="D852" t="s">
        <v>19</v>
      </c>
      <c r="E852">
        <v>49</v>
      </c>
      <c r="F852">
        <v>963.63</v>
      </c>
      <c r="G852" t="s">
        <v>12</v>
      </c>
      <c r="H852">
        <v>2</v>
      </c>
      <c r="I852">
        <v>6381.31</v>
      </c>
      <c r="J852">
        <v>-5417.68</v>
      </c>
      <c r="K852" t="str">
        <f t="shared" si="40"/>
        <v>April</v>
      </c>
      <c r="L852" t="str">
        <f t="shared" si="41"/>
        <v>Q2</v>
      </c>
      <c r="M852">
        <f t="shared" si="39"/>
        <v>2023</v>
      </c>
      <c r="N852" t="s">
        <v>45</v>
      </c>
    </row>
    <row r="853" spans="1:14" ht="14.55" customHeight="1" x14ac:dyDescent="0.3">
      <c r="A853" s="1">
        <v>44651</v>
      </c>
      <c r="B853" t="s">
        <v>31</v>
      </c>
      <c r="C853" t="s">
        <v>21</v>
      </c>
      <c r="D853" t="s">
        <v>33</v>
      </c>
      <c r="E853">
        <v>37</v>
      </c>
      <c r="F853">
        <v>7509.05</v>
      </c>
      <c r="G853" t="s">
        <v>12</v>
      </c>
      <c r="H853">
        <v>2</v>
      </c>
      <c r="I853">
        <v>3120.24</v>
      </c>
      <c r="J853">
        <v>4388.8100000000004</v>
      </c>
      <c r="K853" t="str">
        <f t="shared" si="40"/>
        <v>March</v>
      </c>
      <c r="L853" t="str">
        <f t="shared" si="41"/>
        <v>Q1</v>
      </c>
      <c r="M853">
        <f t="shared" si="39"/>
        <v>2022</v>
      </c>
      <c r="N853" t="s">
        <v>44</v>
      </c>
    </row>
    <row r="854" spans="1:14" ht="14.55" customHeight="1" x14ac:dyDescent="0.3">
      <c r="A854" s="1">
        <v>44589</v>
      </c>
      <c r="B854" t="s">
        <v>23</v>
      </c>
      <c r="C854" t="s">
        <v>10</v>
      </c>
      <c r="D854" t="s">
        <v>34</v>
      </c>
      <c r="E854">
        <v>35</v>
      </c>
      <c r="F854">
        <v>15697.03</v>
      </c>
      <c r="G854" t="s">
        <v>20</v>
      </c>
      <c r="H854">
        <v>1</v>
      </c>
      <c r="I854">
        <v>3815.12</v>
      </c>
      <c r="J854">
        <v>11881.91</v>
      </c>
      <c r="K854" t="str">
        <f t="shared" si="40"/>
        <v>January</v>
      </c>
      <c r="L854" t="str">
        <f t="shared" si="41"/>
        <v>Q1</v>
      </c>
      <c r="M854">
        <f t="shared" si="39"/>
        <v>2022</v>
      </c>
      <c r="N854" t="s">
        <v>44</v>
      </c>
    </row>
    <row r="855" spans="1:14" ht="14.55" customHeight="1" x14ac:dyDescent="0.3">
      <c r="A855" s="1">
        <v>44610</v>
      </c>
      <c r="B855" t="s">
        <v>18</v>
      </c>
      <c r="C855" t="s">
        <v>16</v>
      </c>
      <c r="D855" t="s">
        <v>27</v>
      </c>
      <c r="E855">
        <v>11</v>
      </c>
      <c r="F855">
        <v>5179.43</v>
      </c>
      <c r="G855" t="s">
        <v>12</v>
      </c>
      <c r="H855">
        <v>4</v>
      </c>
      <c r="I855">
        <v>2673.67</v>
      </c>
      <c r="J855">
        <v>2505.7600000000002</v>
      </c>
      <c r="K855" t="str">
        <f t="shared" si="40"/>
        <v>February</v>
      </c>
      <c r="L855" t="str">
        <f t="shared" si="41"/>
        <v>Q1</v>
      </c>
      <c r="M855">
        <f t="shared" si="39"/>
        <v>2022</v>
      </c>
      <c r="N855" t="s">
        <v>45</v>
      </c>
    </row>
    <row r="856" spans="1:14" ht="14.55" customHeight="1" x14ac:dyDescent="0.3">
      <c r="A856" s="1">
        <v>45181</v>
      </c>
      <c r="B856" t="s">
        <v>23</v>
      </c>
      <c r="C856" t="s">
        <v>13</v>
      </c>
      <c r="D856" t="s">
        <v>19</v>
      </c>
      <c r="E856">
        <v>38</v>
      </c>
      <c r="F856">
        <v>5996.68</v>
      </c>
      <c r="G856" t="s">
        <v>12</v>
      </c>
      <c r="H856">
        <v>1</v>
      </c>
      <c r="I856">
        <v>2864.44</v>
      </c>
      <c r="J856">
        <v>3132.24</v>
      </c>
      <c r="K856" t="str">
        <f t="shared" si="40"/>
        <v>September</v>
      </c>
      <c r="L856" t="str">
        <f t="shared" si="41"/>
        <v>Q3</v>
      </c>
      <c r="M856">
        <f t="shared" si="39"/>
        <v>2023</v>
      </c>
      <c r="N856" t="s">
        <v>44</v>
      </c>
    </row>
    <row r="857" spans="1:14" ht="14.55" customHeight="1" x14ac:dyDescent="0.3">
      <c r="A857" s="1">
        <v>44817</v>
      </c>
      <c r="B857" t="s">
        <v>15</v>
      </c>
      <c r="C857" t="s">
        <v>25</v>
      </c>
      <c r="D857" t="s">
        <v>38</v>
      </c>
      <c r="E857">
        <v>44</v>
      </c>
      <c r="F857">
        <v>6963.89</v>
      </c>
      <c r="G857" t="s">
        <v>12</v>
      </c>
      <c r="H857">
        <v>3</v>
      </c>
      <c r="I857">
        <v>2053.09</v>
      </c>
      <c r="J857">
        <v>4910.8</v>
      </c>
      <c r="K857" t="str">
        <f t="shared" si="40"/>
        <v>September</v>
      </c>
      <c r="L857" t="str">
        <f t="shared" si="41"/>
        <v>Q3</v>
      </c>
      <c r="M857">
        <f t="shared" si="39"/>
        <v>2022</v>
      </c>
      <c r="N857" t="s">
        <v>47</v>
      </c>
    </row>
    <row r="858" spans="1:14" ht="14.55" customHeight="1" x14ac:dyDescent="0.3">
      <c r="A858" s="1">
        <v>44811</v>
      </c>
      <c r="B858" t="s">
        <v>18</v>
      </c>
      <c r="C858" t="s">
        <v>13</v>
      </c>
      <c r="D858" t="s">
        <v>40</v>
      </c>
      <c r="E858">
        <v>20</v>
      </c>
      <c r="F858">
        <v>1325.04</v>
      </c>
      <c r="G858" t="s">
        <v>12</v>
      </c>
      <c r="H858">
        <v>5</v>
      </c>
      <c r="I858">
        <v>2022.14</v>
      </c>
      <c r="J858">
        <v>-697.1</v>
      </c>
      <c r="K858" t="str">
        <f t="shared" si="40"/>
        <v>September</v>
      </c>
      <c r="L858" t="str">
        <f t="shared" si="41"/>
        <v>Q3</v>
      </c>
      <c r="M858">
        <f t="shared" si="39"/>
        <v>2022</v>
      </c>
      <c r="N858" t="s">
        <v>44</v>
      </c>
    </row>
    <row r="859" spans="1:14" ht="14.55" customHeight="1" x14ac:dyDescent="0.3">
      <c r="A859" s="1">
        <v>44679</v>
      </c>
      <c r="B859" t="s">
        <v>31</v>
      </c>
      <c r="C859" t="s">
        <v>16</v>
      </c>
      <c r="D859" t="s">
        <v>37</v>
      </c>
      <c r="E859">
        <v>22</v>
      </c>
      <c r="F859">
        <v>10838.8</v>
      </c>
      <c r="G859" t="s">
        <v>20</v>
      </c>
      <c r="H859">
        <v>2</v>
      </c>
      <c r="I859">
        <v>1427.5</v>
      </c>
      <c r="J859">
        <v>9411.2999999999993</v>
      </c>
      <c r="K859" t="str">
        <f t="shared" si="40"/>
        <v>April</v>
      </c>
      <c r="L859" t="str">
        <f t="shared" si="41"/>
        <v>Q2</v>
      </c>
      <c r="M859">
        <f t="shared" si="39"/>
        <v>2022</v>
      </c>
      <c r="N859" t="s">
        <v>44</v>
      </c>
    </row>
    <row r="860" spans="1:14" ht="14.55" customHeight="1" x14ac:dyDescent="0.3">
      <c r="A860" s="1">
        <v>44744</v>
      </c>
      <c r="B860" t="s">
        <v>15</v>
      </c>
      <c r="C860" t="s">
        <v>10</v>
      </c>
      <c r="D860" t="s">
        <v>34</v>
      </c>
      <c r="E860">
        <v>11</v>
      </c>
      <c r="F860">
        <v>2616.3000000000002</v>
      </c>
      <c r="G860" t="s">
        <v>20</v>
      </c>
      <c r="H860">
        <v>5</v>
      </c>
      <c r="I860">
        <v>287.27</v>
      </c>
      <c r="J860">
        <v>2329.0300000000002</v>
      </c>
      <c r="K860" t="str">
        <f t="shared" si="40"/>
        <v>July</v>
      </c>
      <c r="L860" t="str">
        <f t="shared" si="41"/>
        <v>Q3</v>
      </c>
      <c r="M860">
        <f t="shared" si="39"/>
        <v>2022</v>
      </c>
      <c r="N860" t="s">
        <v>45</v>
      </c>
    </row>
    <row r="861" spans="1:14" ht="14.55" customHeight="1" x14ac:dyDescent="0.3">
      <c r="A861" s="1">
        <v>44870</v>
      </c>
      <c r="B861" t="s">
        <v>31</v>
      </c>
      <c r="C861" t="s">
        <v>13</v>
      </c>
      <c r="D861" t="s">
        <v>19</v>
      </c>
      <c r="E861">
        <v>33</v>
      </c>
      <c r="F861">
        <v>14356.85</v>
      </c>
      <c r="G861" t="s">
        <v>12</v>
      </c>
      <c r="H861">
        <v>1</v>
      </c>
      <c r="I861">
        <v>3877.44</v>
      </c>
      <c r="J861">
        <v>10479.41</v>
      </c>
      <c r="K861" t="str">
        <f t="shared" si="40"/>
        <v>November</v>
      </c>
      <c r="L861" t="str">
        <f t="shared" si="41"/>
        <v>Q4</v>
      </c>
      <c r="M861">
        <f t="shared" si="39"/>
        <v>2022</v>
      </c>
      <c r="N861" t="s">
        <v>44</v>
      </c>
    </row>
    <row r="862" spans="1:14" ht="14.55" customHeight="1" x14ac:dyDescent="0.3">
      <c r="A862" s="1">
        <v>44619</v>
      </c>
      <c r="B862" t="s">
        <v>15</v>
      </c>
      <c r="C862" t="s">
        <v>25</v>
      </c>
      <c r="D862" t="s">
        <v>38</v>
      </c>
      <c r="E862">
        <v>49</v>
      </c>
      <c r="F862">
        <v>18716.36</v>
      </c>
      <c r="G862" t="s">
        <v>20</v>
      </c>
      <c r="H862">
        <v>2</v>
      </c>
      <c r="I862">
        <v>7073.52</v>
      </c>
      <c r="J862">
        <v>11642.84</v>
      </c>
      <c r="K862" t="str">
        <f t="shared" si="40"/>
        <v>February</v>
      </c>
      <c r="L862" t="str">
        <f t="shared" si="41"/>
        <v>Q1</v>
      </c>
      <c r="M862">
        <f t="shared" si="39"/>
        <v>2022</v>
      </c>
      <c r="N862" t="s">
        <v>44</v>
      </c>
    </row>
    <row r="863" spans="1:14" ht="14.55" customHeight="1" x14ac:dyDescent="0.3">
      <c r="A863" s="1">
        <v>44977</v>
      </c>
      <c r="B863" t="s">
        <v>18</v>
      </c>
      <c r="C863" t="s">
        <v>16</v>
      </c>
      <c r="D863" t="s">
        <v>17</v>
      </c>
      <c r="E863">
        <v>4</v>
      </c>
      <c r="F863">
        <v>1873.16</v>
      </c>
      <c r="G863" t="s">
        <v>20</v>
      </c>
      <c r="H863">
        <v>2</v>
      </c>
      <c r="I863">
        <v>601.27</v>
      </c>
      <c r="J863">
        <v>1271.8900000000001</v>
      </c>
      <c r="K863" t="str">
        <f t="shared" si="40"/>
        <v>February</v>
      </c>
      <c r="L863" t="str">
        <f t="shared" si="41"/>
        <v>Q1</v>
      </c>
      <c r="M863">
        <f t="shared" si="39"/>
        <v>2023</v>
      </c>
      <c r="N863" t="s">
        <v>45</v>
      </c>
    </row>
    <row r="864" spans="1:14" ht="14.55" customHeight="1" x14ac:dyDescent="0.3">
      <c r="A864" s="1">
        <v>45259</v>
      </c>
      <c r="B864" t="s">
        <v>31</v>
      </c>
      <c r="C864" t="s">
        <v>25</v>
      </c>
      <c r="D864" t="s">
        <v>26</v>
      </c>
      <c r="E864">
        <v>10</v>
      </c>
      <c r="F864">
        <v>351.15</v>
      </c>
      <c r="G864" t="s">
        <v>12</v>
      </c>
      <c r="H864">
        <v>5</v>
      </c>
      <c r="I864">
        <v>2407.0500000000002</v>
      </c>
      <c r="J864">
        <v>-2055.9</v>
      </c>
      <c r="K864" t="str">
        <f t="shared" si="40"/>
        <v>November</v>
      </c>
      <c r="L864" t="str">
        <f t="shared" si="41"/>
        <v>Q4</v>
      </c>
      <c r="M864">
        <f t="shared" si="39"/>
        <v>2023</v>
      </c>
      <c r="N864" t="s">
        <v>45</v>
      </c>
    </row>
    <row r="865" spans="1:14" ht="14.55" customHeight="1" x14ac:dyDescent="0.3">
      <c r="A865" s="1">
        <v>44975</v>
      </c>
      <c r="B865" t="s">
        <v>9</v>
      </c>
      <c r="C865" t="s">
        <v>13</v>
      </c>
      <c r="D865" t="s">
        <v>40</v>
      </c>
      <c r="E865">
        <v>26</v>
      </c>
      <c r="F865">
        <v>12296.44</v>
      </c>
      <c r="G865" t="s">
        <v>12</v>
      </c>
      <c r="H865">
        <v>4</v>
      </c>
      <c r="I865">
        <v>2555.48</v>
      </c>
      <c r="J865">
        <v>9740.9599999999991</v>
      </c>
      <c r="K865" t="str">
        <f t="shared" si="40"/>
        <v>February</v>
      </c>
      <c r="L865" t="str">
        <f t="shared" si="41"/>
        <v>Q1</v>
      </c>
      <c r="M865">
        <f t="shared" si="39"/>
        <v>2023</v>
      </c>
      <c r="N865" t="s">
        <v>44</v>
      </c>
    </row>
    <row r="866" spans="1:14" ht="14.55" customHeight="1" x14ac:dyDescent="0.3">
      <c r="A866" s="1">
        <v>44818</v>
      </c>
      <c r="B866" t="s">
        <v>18</v>
      </c>
      <c r="C866" t="s">
        <v>13</v>
      </c>
      <c r="D866" t="s">
        <v>19</v>
      </c>
      <c r="E866">
        <v>49</v>
      </c>
      <c r="F866">
        <v>17471.28</v>
      </c>
      <c r="G866" t="s">
        <v>20</v>
      </c>
      <c r="H866">
        <v>3</v>
      </c>
      <c r="I866">
        <v>10785.32</v>
      </c>
      <c r="J866">
        <v>6685.96</v>
      </c>
      <c r="K866" t="str">
        <f t="shared" si="40"/>
        <v>September</v>
      </c>
      <c r="L866" t="str">
        <f t="shared" si="41"/>
        <v>Q3</v>
      </c>
      <c r="M866">
        <f t="shared" si="39"/>
        <v>2022</v>
      </c>
      <c r="N866" t="s">
        <v>44</v>
      </c>
    </row>
    <row r="867" spans="1:14" ht="14.55" customHeight="1" x14ac:dyDescent="0.3">
      <c r="A867" s="1">
        <v>44706</v>
      </c>
      <c r="B867" t="s">
        <v>15</v>
      </c>
      <c r="C867" t="s">
        <v>16</v>
      </c>
      <c r="D867" t="s">
        <v>27</v>
      </c>
      <c r="E867">
        <v>1</v>
      </c>
      <c r="F867">
        <v>58</v>
      </c>
      <c r="G867" t="s">
        <v>20</v>
      </c>
      <c r="H867">
        <v>1</v>
      </c>
      <c r="I867">
        <v>120.96</v>
      </c>
      <c r="J867">
        <v>-62.96</v>
      </c>
      <c r="K867" t="str">
        <f t="shared" si="40"/>
        <v>May</v>
      </c>
      <c r="L867" t="str">
        <f t="shared" si="41"/>
        <v>Q2</v>
      </c>
      <c r="M867">
        <f t="shared" si="39"/>
        <v>2022</v>
      </c>
      <c r="N867" t="s">
        <v>44</v>
      </c>
    </row>
    <row r="868" spans="1:14" ht="14.55" customHeight="1" x14ac:dyDescent="0.3">
      <c r="A868" s="1">
        <v>44686</v>
      </c>
      <c r="B868" t="s">
        <v>18</v>
      </c>
      <c r="C868" t="s">
        <v>16</v>
      </c>
      <c r="D868" t="s">
        <v>24</v>
      </c>
      <c r="E868">
        <v>9</v>
      </c>
      <c r="F868">
        <v>3848.35</v>
      </c>
      <c r="G868" t="s">
        <v>12</v>
      </c>
      <c r="H868">
        <v>4</v>
      </c>
      <c r="I868">
        <v>366.06</v>
      </c>
      <c r="J868">
        <v>3482.29</v>
      </c>
      <c r="K868" t="str">
        <f t="shared" si="40"/>
        <v>May</v>
      </c>
      <c r="L868" t="str">
        <f t="shared" si="41"/>
        <v>Q2</v>
      </c>
      <c r="M868">
        <f t="shared" si="39"/>
        <v>2022</v>
      </c>
      <c r="N868" t="s">
        <v>44</v>
      </c>
    </row>
    <row r="869" spans="1:14" ht="14.55" customHeight="1" x14ac:dyDescent="0.3">
      <c r="A869" s="1">
        <v>45165</v>
      </c>
      <c r="B869" t="s">
        <v>9</v>
      </c>
      <c r="C869" t="s">
        <v>25</v>
      </c>
      <c r="D869" t="s">
        <v>30</v>
      </c>
      <c r="E869">
        <v>29</v>
      </c>
      <c r="F869">
        <v>3003.7</v>
      </c>
      <c r="G869" t="s">
        <v>20</v>
      </c>
      <c r="H869">
        <v>5</v>
      </c>
      <c r="I869">
        <v>5454.1</v>
      </c>
      <c r="J869">
        <v>-2450.4</v>
      </c>
      <c r="K869" t="str">
        <f t="shared" si="40"/>
        <v>August</v>
      </c>
      <c r="L869" t="str">
        <f t="shared" si="41"/>
        <v>Q3</v>
      </c>
      <c r="M869">
        <f t="shared" si="39"/>
        <v>2023</v>
      </c>
      <c r="N869" t="s">
        <v>44</v>
      </c>
    </row>
    <row r="870" spans="1:14" ht="14.55" customHeight="1" x14ac:dyDescent="0.3">
      <c r="A870" s="1">
        <v>44929</v>
      </c>
      <c r="B870" t="s">
        <v>9</v>
      </c>
      <c r="C870" t="s">
        <v>10</v>
      </c>
      <c r="D870" t="s">
        <v>34</v>
      </c>
      <c r="E870">
        <v>48</v>
      </c>
      <c r="F870">
        <v>17001.62</v>
      </c>
      <c r="G870" t="s">
        <v>12</v>
      </c>
      <c r="H870">
        <v>4</v>
      </c>
      <c r="I870">
        <v>9478.16</v>
      </c>
      <c r="J870">
        <v>7523.46</v>
      </c>
      <c r="K870" t="str">
        <f t="shared" si="40"/>
        <v>January</v>
      </c>
      <c r="L870" t="str">
        <f t="shared" si="41"/>
        <v>Q1</v>
      </c>
      <c r="M870">
        <f t="shared" si="39"/>
        <v>2023</v>
      </c>
      <c r="N870" t="s">
        <v>44</v>
      </c>
    </row>
    <row r="871" spans="1:14" ht="14.55" customHeight="1" x14ac:dyDescent="0.3">
      <c r="A871" s="1">
        <v>44616</v>
      </c>
      <c r="B871" t="s">
        <v>9</v>
      </c>
      <c r="C871" t="s">
        <v>25</v>
      </c>
      <c r="D871" t="s">
        <v>30</v>
      </c>
      <c r="E871">
        <v>34</v>
      </c>
      <c r="F871">
        <v>16038.24</v>
      </c>
      <c r="G871" t="s">
        <v>12</v>
      </c>
      <c r="H871">
        <v>4</v>
      </c>
      <c r="I871">
        <v>4186.97</v>
      </c>
      <c r="J871">
        <v>11851.27</v>
      </c>
      <c r="K871" t="str">
        <f t="shared" si="40"/>
        <v>February</v>
      </c>
      <c r="L871" t="str">
        <f t="shared" si="41"/>
        <v>Q1</v>
      </c>
      <c r="M871">
        <f t="shared" si="39"/>
        <v>2022</v>
      </c>
      <c r="N871" t="s">
        <v>43</v>
      </c>
    </row>
    <row r="872" spans="1:14" ht="14.55" customHeight="1" x14ac:dyDescent="0.3">
      <c r="A872" s="1">
        <v>44970</v>
      </c>
      <c r="B872" t="s">
        <v>18</v>
      </c>
      <c r="C872" t="s">
        <v>25</v>
      </c>
      <c r="D872" t="s">
        <v>26</v>
      </c>
      <c r="E872">
        <v>1</v>
      </c>
      <c r="F872">
        <v>237.25</v>
      </c>
      <c r="G872" t="s">
        <v>12</v>
      </c>
      <c r="H872">
        <v>5</v>
      </c>
      <c r="I872">
        <v>148.32</v>
      </c>
      <c r="J872">
        <v>88.93</v>
      </c>
      <c r="K872" t="str">
        <f t="shared" si="40"/>
        <v>February</v>
      </c>
      <c r="L872" t="str">
        <f t="shared" si="41"/>
        <v>Q1</v>
      </c>
      <c r="M872">
        <f t="shared" si="39"/>
        <v>2023</v>
      </c>
      <c r="N872" t="s">
        <v>43</v>
      </c>
    </row>
    <row r="873" spans="1:14" ht="14.55" customHeight="1" x14ac:dyDescent="0.3">
      <c r="A873" s="1">
        <v>44906</v>
      </c>
      <c r="B873" t="s">
        <v>23</v>
      </c>
      <c r="C873" t="s">
        <v>16</v>
      </c>
      <c r="D873" t="s">
        <v>27</v>
      </c>
      <c r="E873">
        <v>39</v>
      </c>
      <c r="F873">
        <v>3116.14</v>
      </c>
      <c r="G873" t="s">
        <v>20</v>
      </c>
      <c r="H873">
        <v>1</v>
      </c>
      <c r="I873">
        <v>2359.98</v>
      </c>
      <c r="J873">
        <v>756.16</v>
      </c>
      <c r="K873" t="str">
        <f t="shared" si="40"/>
        <v>December</v>
      </c>
      <c r="L873" t="str">
        <f t="shared" si="41"/>
        <v>Q4</v>
      </c>
      <c r="M873">
        <f t="shared" si="39"/>
        <v>2022</v>
      </c>
      <c r="N873" t="s">
        <v>45</v>
      </c>
    </row>
    <row r="874" spans="1:14" ht="14.55" customHeight="1" x14ac:dyDescent="0.3">
      <c r="A874" s="1">
        <v>45057</v>
      </c>
      <c r="B874" t="s">
        <v>23</v>
      </c>
      <c r="C874" t="s">
        <v>13</v>
      </c>
      <c r="D874" t="s">
        <v>14</v>
      </c>
      <c r="E874">
        <v>7</v>
      </c>
      <c r="F874">
        <v>828.68</v>
      </c>
      <c r="G874" t="s">
        <v>20</v>
      </c>
      <c r="H874">
        <v>3</v>
      </c>
      <c r="I874">
        <v>946.02</v>
      </c>
      <c r="J874">
        <v>-117.34</v>
      </c>
      <c r="K874" t="str">
        <f t="shared" si="40"/>
        <v>May</v>
      </c>
      <c r="L874" t="str">
        <f t="shared" si="41"/>
        <v>Q2</v>
      </c>
      <c r="M874">
        <f t="shared" si="39"/>
        <v>2023</v>
      </c>
      <c r="N874" t="s">
        <v>45</v>
      </c>
    </row>
    <row r="875" spans="1:14" ht="14.55" customHeight="1" x14ac:dyDescent="0.3">
      <c r="A875" s="1">
        <v>45230</v>
      </c>
      <c r="B875" t="s">
        <v>23</v>
      </c>
      <c r="C875" t="s">
        <v>10</v>
      </c>
      <c r="D875" t="s">
        <v>11</v>
      </c>
      <c r="E875">
        <v>45</v>
      </c>
      <c r="F875">
        <v>13493.16</v>
      </c>
      <c r="G875" t="s">
        <v>12</v>
      </c>
      <c r="H875">
        <v>5</v>
      </c>
      <c r="I875">
        <v>7580.81</v>
      </c>
      <c r="J875">
        <v>5912.35</v>
      </c>
      <c r="K875" t="str">
        <f t="shared" si="40"/>
        <v>October</v>
      </c>
      <c r="L875" t="str">
        <f t="shared" si="41"/>
        <v>Q4</v>
      </c>
      <c r="M875">
        <f t="shared" si="39"/>
        <v>2023</v>
      </c>
      <c r="N875" t="s">
        <v>44</v>
      </c>
    </row>
    <row r="876" spans="1:14" ht="14.55" customHeight="1" x14ac:dyDescent="0.3">
      <c r="A876" s="1">
        <v>44666</v>
      </c>
      <c r="B876" t="s">
        <v>23</v>
      </c>
      <c r="C876" t="s">
        <v>25</v>
      </c>
      <c r="D876" t="s">
        <v>30</v>
      </c>
      <c r="E876">
        <v>11</v>
      </c>
      <c r="F876">
        <v>4538.43</v>
      </c>
      <c r="G876" t="s">
        <v>12</v>
      </c>
      <c r="H876">
        <v>3</v>
      </c>
      <c r="I876">
        <v>1809.47</v>
      </c>
      <c r="J876">
        <v>2728.96</v>
      </c>
      <c r="K876" t="str">
        <f t="shared" si="40"/>
        <v>April</v>
      </c>
      <c r="L876" t="str">
        <f t="shared" si="41"/>
        <v>Q2</v>
      </c>
      <c r="M876">
        <f t="shared" si="39"/>
        <v>2022</v>
      </c>
      <c r="N876" t="s">
        <v>43</v>
      </c>
    </row>
    <row r="877" spans="1:14" ht="14.55" customHeight="1" x14ac:dyDescent="0.3">
      <c r="A877" s="1">
        <v>44963</v>
      </c>
      <c r="B877" t="s">
        <v>18</v>
      </c>
      <c r="C877" t="s">
        <v>13</v>
      </c>
      <c r="D877" t="s">
        <v>29</v>
      </c>
      <c r="E877">
        <v>27</v>
      </c>
      <c r="F877">
        <v>12880.26</v>
      </c>
      <c r="G877" t="s">
        <v>12</v>
      </c>
      <c r="H877">
        <v>5</v>
      </c>
      <c r="I877">
        <v>4183.8900000000003</v>
      </c>
      <c r="J877">
        <v>8696.3700000000008</v>
      </c>
      <c r="K877" t="str">
        <f t="shared" si="40"/>
        <v>February</v>
      </c>
      <c r="L877" t="str">
        <f t="shared" si="41"/>
        <v>Q1</v>
      </c>
      <c r="M877">
        <f t="shared" si="39"/>
        <v>2023</v>
      </c>
      <c r="N877" t="s">
        <v>44</v>
      </c>
    </row>
    <row r="878" spans="1:14" ht="14.55" customHeight="1" x14ac:dyDescent="0.3">
      <c r="A878" s="1">
        <v>44877</v>
      </c>
      <c r="B878" t="s">
        <v>15</v>
      </c>
      <c r="C878" t="s">
        <v>13</v>
      </c>
      <c r="D878" t="s">
        <v>40</v>
      </c>
      <c r="E878">
        <v>33</v>
      </c>
      <c r="F878">
        <v>12804.71</v>
      </c>
      <c r="G878" t="s">
        <v>20</v>
      </c>
      <c r="H878">
        <v>2</v>
      </c>
      <c r="I878">
        <v>3415.83</v>
      </c>
      <c r="J878">
        <v>9388.8799999999992</v>
      </c>
      <c r="K878" t="str">
        <f t="shared" si="40"/>
        <v>November</v>
      </c>
      <c r="L878" t="str">
        <f t="shared" si="41"/>
        <v>Q4</v>
      </c>
      <c r="M878">
        <f t="shared" si="39"/>
        <v>2022</v>
      </c>
      <c r="N878" t="s">
        <v>43</v>
      </c>
    </row>
    <row r="879" spans="1:14" ht="14.55" customHeight="1" x14ac:dyDescent="0.3">
      <c r="A879" s="1">
        <v>44972</v>
      </c>
      <c r="B879" t="s">
        <v>18</v>
      </c>
      <c r="C879" t="s">
        <v>10</v>
      </c>
      <c r="D879" t="s">
        <v>35</v>
      </c>
      <c r="E879">
        <v>37</v>
      </c>
      <c r="F879">
        <v>11870.68</v>
      </c>
      <c r="G879" t="s">
        <v>12</v>
      </c>
      <c r="H879">
        <v>2</v>
      </c>
      <c r="I879">
        <v>1357.52</v>
      </c>
      <c r="J879">
        <v>10513.16</v>
      </c>
      <c r="K879" t="str">
        <f t="shared" si="40"/>
        <v>February</v>
      </c>
      <c r="L879" t="str">
        <f t="shared" si="41"/>
        <v>Q1</v>
      </c>
      <c r="M879">
        <f t="shared" si="39"/>
        <v>2023</v>
      </c>
      <c r="N879" t="s">
        <v>43</v>
      </c>
    </row>
    <row r="880" spans="1:14" ht="14.55" customHeight="1" x14ac:dyDescent="0.3">
      <c r="A880" s="1">
        <v>44576</v>
      </c>
      <c r="B880" t="s">
        <v>15</v>
      </c>
      <c r="C880" t="s">
        <v>13</v>
      </c>
      <c r="D880" t="s">
        <v>14</v>
      </c>
      <c r="E880">
        <v>41</v>
      </c>
      <c r="F880">
        <v>16697.86</v>
      </c>
      <c r="G880" t="s">
        <v>12</v>
      </c>
      <c r="H880">
        <v>5</v>
      </c>
      <c r="I880">
        <v>3471.48</v>
      </c>
      <c r="J880">
        <v>13226.38</v>
      </c>
      <c r="K880" t="str">
        <f t="shared" si="40"/>
        <v>January</v>
      </c>
      <c r="L880" t="str">
        <f t="shared" si="41"/>
        <v>Q1</v>
      </c>
      <c r="M880">
        <f t="shared" si="39"/>
        <v>2022</v>
      </c>
      <c r="N880" t="s">
        <v>43</v>
      </c>
    </row>
    <row r="881" spans="1:14" ht="14.55" customHeight="1" x14ac:dyDescent="0.3">
      <c r="A881" s="1">
        <v>44873</v>
      </c>
      <c r="B881" t="s">
        <v>23</v>
      </c>
      <c r="C881" t="s">
        <v>16</v>
      </c>
      <c r="D881" t="s">
        <v>27</v>
      </c>
      <c r="E881">
        <v>32</v>
      </c>
      <c r="F881">
        <v>12716.96</v>
      </c>
      <c r="G881" t="s">
        <v>20</v>
      </c>
      <c r="H881">
        <v>3</v>
      </c>
      <c r="I881">
        <v>6576.09</v>
      </c>
      <c r="J881">
        <v>6140.87</v>
      </c>
      <c r="K881" t="str">
        <f t="shared" si="40"/>
        <v>November</v>
      </c>
      <c r="L881" t="str">
        <f t="shared" si="41"/>
        <v>Q4</v>
      </c>
      <c r="M881">
        <f t="shared" si="39"/>
        <v>2022</v>
      </c>
      <c r="N881" t="s">
        <v>44</v>
      </c>
    </row>
    <row r="882" spans="1:14" ht="14.55" customHeight="1" x14ac:dyDescent="0.3">
      <c r="A882" s="1">
        <v>45216</v>
      </c>
      <c r="B882" t="s">
        <v>18</v>
      </c>
      <c r="C882" t="s">
        <v>13</v>
      </c>
      <c r="D882" t="s">
        <v>29</v>
      </c>
      <c r="E882">
        <v>50</v>
      </c>
      <c r="F882">
        <v>8424.09</v>
      </c>
      <c r="G882" t="s">
        <v>12</v>
      </c>
      <c r="H882">
        <v>5</v>
      </c>
      <c r="I882">
        <v>9688.82</v>
      </c>
      <c r="J882">
        <v>-1264.73</v>
      </c>
      <c r="K882" t="str">
        <f t="shared" si="40"/>
        <v>October</v>
      </c>
      <c r="L882" t="str">
        <f t="shared" si="41"/>
        <v>Q4</v>
      </c>
      <c r="M882">
        <f t="shared" si="39"/>
        <v>2023</v>
      </c>
      <c r="N882" t="s">
        <v>44</v>
      </c>
    </row>
    <row r="883" spans="1:14" ht="14.55" customHeight="1" x14ac:dyDescent="0.3">
      <c r="A883" s="1">
        <v>45000</v>
      </c>
      <c r="B883" t="s">
        <v>15</v>
      </c>
      <c r="C883" t="s">
        <v>13</v>
      </c>
      <c r="D883" t="s">
        <v>40</v>
      </c>
      <c r="E883">
        <v>50</v>
      </c>
      <c r="F883">
        <v>18616.48</v>
      </c>
      <c r="G883" t="s">
        <v>20</v>
      </c>
      <c r="H883">
        <v>1</v>
      </c>
      <c r="I883">
        <v>763.99</v>
      </c>
      <c r="J883">
        <v>17852.490000000002</v>
      </c>
      <c r="K883" t="str">
        <f t="shared" si="40"/>
        <v>March</v>
      </c>
      <c r="L883" t="str">
        <f t="shared" si="41"/>
        <v>Q1</v>
      </c>
      <c r="M883">
        <f t="shared" si="39"/>
        <v>2023</v>
      </c>
      <c r="N883" t="s">
        <v>44</v>
      </c>
    </row>
    <row r="884" spans="1:14" ht="14.55" customHeight="1" x14ac:dyDescent="0.3">
      <c r="A884" s="1">
        <v>45282</v>
      </c>
      <c r="B884" t="s">
        <v>31</v>
      </c>
      <c r="C884" t="s">
        <v>10</v>
      </c>
      <c r="D884" t="s">
        <v>11</v>
      </c>
      <c r="E884">
        <v>23</v>
      </c>
      <c r="F884">
        <v>2380.92</v>
      </c>
      <c r="G884" t="s">
        <v>12</v>
      </c>
      <c r="H884">
        <v>4</v>
      </c>
      <c r="I884">
        <v>3413.75</v>
      </c>
      <c r="J884">
        <v>-1032.83</v>
      </c>
      <c r="K884" t="str">
        <f t="shared" si="40"/>
        <v>December</v>
      </c>
      <c r="L884" t="str">
        <f t="shared" si="41"/>
        <v>Q4</v>
      </c>
      <c r="M884">
        <f t="shared" si="39"/>
        <v>2023</v>
      </c>
      <c r="N884" t="s">
        <v>44</v>
      </c>
    </row>
    <row r="885" spans="1:14" ht="14.55" customHeight="1" x14ac:dyDescent="0.3">
      <c r="A885" s="1">
        <v>44797</v>
      </c>
      <c r="B885" t="s">
        <v>31</v>
      </c>
      <c r="C885" t="s">
        <v>25</v>
      </c>
      <c r="D885" t="s">
        <v>39</v>
      </c>
      <c r="E885">
        <v>6</v>
      </c>
      <c r="F885">
        <v>838.25</v>
      </c>
      <c r="G885" t="s">
        <v>12</v>
      </c>
      <c r="H885">
        <v>3</v>
      </c>
      <c r="I885">
        <v>668.54</v>
      </c>
      <c r="J885">
        <v>169.71</v>
      </c>
      <c r="K885" t="str">
        <f t="shared" si="40"/>
        <v>August</v>
      </c>
      <c r="L885" t="str">
        <f t="shared" si="41"/>
        <v>Q3</v>
      </c>
      <c r="M885">
        <f t="shared" si="39"/>
        <v>2022</v>
      </c>
      <c r="N885" t="s">
        <v>44</v>
      </c>
    </row>
    <row r="886" spans="1:14" ht="14.55" customHeight="1" x14ac:dyDescent="0.3">
      <c r="A886" s="1">
        <v>45056</v>
      </c>
      <c r="B886" t="s">
        <v>15</v>
      </c>
      <c r="C886" t="s">
        <v>10</v>
      </c>
      <c r="D886" t="s">
        <v>34</v>
      </c>
      <c r="E886">
        <v>46</v>
      </c>
      <c r="F886">
        <v>10163.61</v>
      </c>
      <c r="G886" t="s">
        <v>20</v>
      </c>
      <c r="H886">
        <v>3</v>
      </c>
      <c r="I886">
        <v>674.58</v>
      </c>
      <c r="J886">
        <v>9489.0300000000007</v>
      </c>
      <c r="K886" t="str">
        <f t="shared" si="40"/>
        <v>May</v>
      </c>
      <c r="L886" t="str">
        <f t="shared" si="41"/>
        <v>Q2</v>
      </c>
      <c r="M886">
        <f t="shared" si="39"/>
        <v>2023</v>
      </c>
      <c r="N886" t="s">
        <v>44</v>
      </c>
    </row>
    <row r="887" spans="1:14" ht="14.55" customHeight="1" x14ac:dyDescent="0.3">
      <c r="A887" s="1">
        <v>44899</v>
      </c>
      <c r="B887" t="s">
        <v>15</v>
      </c>
      <c r="C887" t="s">
        <v>10</v>
      </c>
      <c r="D887" t="s">
        <v>28</v>
      </c>
      <c r="E887">
        <v>37</v>
      </c>
      <c r="F887">
        <v>14640.5</v>
      </c>
      <c r="G887" t="s">
        <v>12</v>
      </c>
      <c r="H887">
        <v>2</v>
      </c>
      <c r="I887">
        <v>650.99</v>
      </c>
      <c r="J887">
        <v>13989.51</v>
      </c>
      <c r="K887" t="str">
        <f t="shared" si="40"/>
        <v>December</v>
      </c>
      <c r="L887" t="str">
        <f t="shared" si="41"/>
        <v>Q4</v>
      </c>
      <c r="M887">
        <f t="shared" si="39"/>
        <v>2022</v>
      </c>
      <c r="N887" t="s">
        <v>46</v>
      </c>
    </row>
    <row r="888" spans="1:14" ht="14.55" customHeight="1" x14ac:dyDescent="0.3">
      <c r="A888" s="1">
        <v>44900</v>
      </c>
      <c r="B888" t="s">
        <v>15</v>
      </c>
      <c r="C888" t="s">
        <v>13</v>
      </c>
      <c r="D888" t="s">
        <v>14</v>
      </c>
      <c r="E888">
        <v>28</v>
      </c>
      <c r="F888">
        <v>8062.7</v>
      </c>
      <c r="G888" t="s">
        <v>12</v>
      </c>
      <c r="H888">
        <v>5</v>
      </c>
      <c r="I888">
        <v>2513.64</v>
      </c>
      <c r="J888">
        <v>5549.06</v>
      </c>
      <c r="K888" t="str">
        <f t="shared" si="40"/>
        <v>December</v>
      </c>
      <c r="L888" t="str">
        <f t="shared" si="41"/>
        <v>Q4</v>
      </c>
      <c r="M888">
        <f t="shared" si="39"/>
        <v>2022</v>
      </c>
      <c r="N888" t="s">
        <v>43</v>
      </c>
    </row>
    <row r="889" spans="1:14" ht="14.55" customHeight="1" x14ac:dyDescent="0.3">
      <c r="A889" s="1">
        <v>44736</v>
      </c>
      <c r="B889" t="s">
        <v>18</v>
      </c>
      <c r="C889" t="s">
        <v>21</v>
      </c>
      <c r="D889" t="s">
        <v>36</v>
      </c>
      <c r="E889">
        <v>4</v>
      </c>
      <c r="F889">
        <v>916.38</v>
      </c>
      <c r="G889" t="s">
        <v>12</v>
      </c>
      <c r="H889">
        <v>5</v>
      </c>
      <c r="I889">
        <v>893.69</v>
      </c>
      <c r="J889">
        <v>22.69</v>
      </c>
      <c r="K889" t="str">
        <f t="shared" si="40"/>
        <v>June</v>
      </c>
      <c r="L889" t="str">
        <f t="shared" si="41"/>
        <v>Q2</v>
      </c>
      <c r="M889">
        <f t="shared" si="39"/>
        <v>2022</v>
      </c>
      <c r="N889" t="s">
        <v>44</v>
      </c>
    </row>
    <row r="890" spans="1:14" ht="14.55" customHeight="1" x14ac:dyDescent="0.3">
      <c r="A890" s="1">
        <v>44814</v>
      </c>
      <c r="B890" t="s">
        <v>18</v>
      </c>
      <c r="C890" t="s">
        <v>10</v>
      </c>
      <c r="D890" t="s">
        <v>28</v>
      </c>
      <c r="E890">
        <v>48</v>
      </c>
      <c r="F890">
        <v>16533.09</v>
      </c>
      <c r="G890" t="s">
        <v>12</v>
      </c>
      <c r="H890">
        <v>5</v>
      </c>
      <c r="I890">
        <v>9902.07</v>
      </c>
      <c r="J890">
        <v>6631.02</v>
      </c>
      <c r="K890" t="str">
        <f t="shared" si="40"/>
        <v>September</v>
      </c>
      <c r="L890" t="str">
        <f t="shared" si="41"/>
        <v>Q3</v>
      </c>
      <c r="M890">
        <f t="shared" si="39"/>
        <v>2022</v>
      </c>
      <c r="N890" t="s">
        <v>44</v>
      </c>
    </row>
    <row r="891" spans="1:14" ht="14.55" customHeight="1" x14ac:dyDescent="0.3">
      <c r="A891" s="1">
        <v>45041</v>
      </c>
      <c r="B891" t="s">
        <v>15</v>
      </c>
      <c r="C891" t="s">
        <v>10</v>
      </c>
      <c r="D891" t="s">
        <v>11</v>
      </c>
      <c r="E891">
        <v>29</v>
      </c>
      <c r="F891">
        <v>8745.2199999999993</v>
      </c>
      <c r="G891" t="s">
        <v>12</v>
      </c>
      <c r="H891">
        <v>1</v>
      </c>
      <c r="I891">
        <v>6049.52</v>
      </c>
      <c r="J891">
        <v>2695.7</v>
      </c>
      <c r="K891" t="str">
        <f t="shared" si="40"/>
        <v>April</v>
      </c>
      <c r="L891" t="str">
        <f t="shared" si="41"/>
        <v>Q2</v>
      </c>
      <c r="M891">
        <f t="shared" si="39"/>
        <v>2023</v>
      </c>
      <c r="N891" t="s">
        <v>43</v>
      </c>
    </row>
    <row r="892" spans="1:14" ht="14.55" customHeight="1" x14ac:dyDescent="0.3">
      <c r="A892" s="1">
        <v>44578</v>
      </c>
      <c r="B892" t="s">
        <v>23</v>
      </c>
      <c r="C892" t="s">
        <v>13</v>
      </c>
      <c r="D892" t="s">
        <v>40</v>
      </c>
      <c r="E892">
        <v>31</v>
      </c>
      <c r="F892">
        <v>13260.85</v>
      </c>
      <c r="G892" t="s">
        <v>20</v>
      </c>
      <c r="H892">
        <v>3</v>
      </c>
      <c r="I892">
        <v>7589.66</v>
      </c>
      <c r="J892">
        <v>5671.19</v>
      </c>
      <c r="K892" t="str">
        <f t="shared" si="40"/>
        <v>January</v>
      </c>
      <c r="L892" t="str">
        <f t="shared" si="41"/>
        <v>Q1</v>
      </c>
      <c r="M892">
        <f t="shared" si="39"/>
        <v>2022</v>
      </c>
      <c r="N892" t="s">
        <v>44</v>
      </c>
    </row>
    <row r="893" spans="1:14" ht="14.55" customHeight="1" x14ac:dyDescent="0.3">
      <c r="A893" s="1">
        <v>44871</v>
      </c>
      <c r="B893" t="s">
        <v>9</v>
      </c>
      <c r="C893" t="s">
        <v>10</v>
      </c>
      <c r="D893" t="s">
        <v>11</v>
      </c>
      <c r="E893">
        <v>31</v>
      </c>
      <c r="F893">
        <v>12957.12</v>
      </c>
      <c r="G893" t="s">
        <v>12</v>
      </c>
      <c r="H893">
        <v>2</v>
      </c>
      <c r="I893">
        <v>4378.6499999999996</v>
      </c>
      <c r="J893">
        <v>8578.4699999999993</v>
      </c>
      <c r="K893" t="str">
        <f t="shared" si="40"/>
        <v>November</v>
      </c>
      <c r="L893" t="str">
        <f t="shared" si="41"/>
        <v>Q4</v>
      </c>
      <c r="M893">
        <f t="shared" si="39"/>
        <v>2022</v>
      </c>
      <c r="N893" t="s">
        <v>44</v>
      </c>
    </row>
    <row r="894" spans="1:14" ht="14.55" customHeight="1" x14ac:dyDescent="0.3">
      <c r="A894" s="1">
        <v>45030</v>
      </c>
      <c r="B894" t="s">
        <v>9</v>
      </c>
      <c r="C894" t="s">
        <v>21</v>
      </c>
      <c r="D894" t="s">
        <v>32</v>
      </c>
      <c r="E894">
        <v>6</v>
      </c>
      <c r="F894">
        <v>2036.86</v>
      </c>
      <c r="G894" t="s">
        <v>12</v>
      </c>
      <c r="H894">
        <v>5</v>
      </c>
      <c r="I894">
        <v>1251.3599999999999</v>
      </c>
      <c r="J894">
        <v>785.5</v>
      </c>
      <c r="K894" t="str">
        <f t="shared" si="40"/>
        <v>April</v>
      </c>
      <c r="L894" t="str">
        <f t="shared" si="41"/>
        <v>Q2</v>
      </c>
      <c r="M894">
        <f t="shared" si="39"/>
        <v>2023</v>
      </c>
      <c r="N894" t="s">
        <v>43</v>
      </c>
    </row>
    <row r="895" spans="1:14" ht="14.55" customHeight="1" x14ac:dyDescent="0.3">
      <c r="A895" s="1">
        <v>45217</v>
      </c>
      <c r="B895" t="s">
        <v>31</v>
      </c>
      <c r="C895" t="s">
        <v>10</v>
      </c>
      <c r="D895" t="s">
        <v>11</v>
      </c>
      <c r="E895">
        <v>35</v>
      </c>
      <c r="F895">
        <v>13564.36</v>
      </c>
      <c r="G895" t="s">
        <v>20</v>
      </c>
      <c r="H895">
        <v>1</v>
      </c>
      <c r="I895">
        <v>5206.9399999999996</v>
      </c>
      <c r="J895">
        <v>8357.42</v>
      </c>
      <c r="K895" t="str">
        <f t="shared" si="40"/>
        <v>October</v>
      </c>
      <c r="L895" t="str">
        <f t="shared" si="41"/>
        <v>Q4</v>
      </c>
      <c r="M895">
        <f t="shared" si="39"/>
        <v>2023</v>
      </c>
      <c r="N895" t="s">
        <v>44</v>
      </c>
    </row>
    <row r="896" spans="1:14" ht="14.55" customHeight="1" x14ac:dyDescent="0.3">
      <c r="A896" s="1">
        <v>44727</v>
      </c>
      <c r="B896" t="s">
        <v>18</v>
      </c>
      <c r="C896" t="s">
        <v>10</v>
      </c>
      <c r="D896" t="s">
        <v>28</v>
      </c>
      <c r="E896">
        <v>8</v>
      </c>
      <c r="F896">
        <v>3788.2</v>
      </c>
      <c r="G896" t="s">
        <v>20</v>
      </c>
      <c r="H896">
        <v>2</v>
      </c>
      <c r="I896">
        <v>1180.99</v>
      </c>
      <c r="J896">
        <v>2607.21</v>
      </c>
      <c r="K896" t="str">
        <f t="shared" si="40"/>
        <v>June</v>
      </c>
      <c r="L896" t="str">
        <f t="shared" si="41"/>
        <v>Q2</v>
      </c>
      <c r="M896">
        <f t="shared" si="39"/>
        <v>2022</v>
      </c>
      <c r="N896" t="s">
        <v>45</v>
      </c>
    </row>
    <row r="897" spans="1:14" ht="14.55" customHeight="1" x14ac:dyDescent="0.3">
      <c r="A897" s="1">
        <v>44884</v>
      </c>
      <c r="B897" t="s">
        <v>18</v>
      </c>
      <c r="C897" t="s">
        <v>21</v>
      </c>
      <c r="D897" t="s">
        <v>22</v>
      </c>
      <c r="E897">
        <v>23</v>
      </c>
      <c r="F897">
        <v>8435.67</v>
      </c>
      <c r="G897" t="s">
        <v>20</v>
      </c>
      <c r="H897">
        <v>5</v>
      </c>
      <c r="I897">
        <v>3834.35</v>
      </c>
      <c r="J897">
        <v>4601.32</v>
      </c>
      <c r="K897" t="str">
        <f t="shared" si="40"/>
        <v>November</v>
      </c>
      <c r="L897" t="str">
        <f t="shared" si="41"/>
        <v>Q4</v>
      </c>
      <c r="M897">
        <f t="shared" si="39"/>
        <v>2022</v>
      </c>
      <c r="N897" t="s">
        <v>44</v>
      </c>
    </row>
    <row r="898" spans="1:14" ht="14.55" customHeight="1" x14ac:dyDescent="0.3">
      <c r="A898" s="1">
        <v>44950</v>
      </c>
      <c r="B898" t="s">
        <v>23</v>
      </c>
      <c r="C898" t="s">
        <v>13</v>
      </c>
      <c r="D898" t="s">
        <v>14</v>
      </c>
      <c r="E898">
        <v>47</v>
      </c>
      <c r="F898">
        <v>14152.35</v>
      </c>
      <c r="G898" t="s">
        <v>20</v>
      </c>
      <c r="H898">
        <v>1</v>
      </c>
      <c r="I898">
        <v>10568.13</v>
      </c>
      <c r="J898">
        <v>3584.22</v>
      </c>
      <c r="K898" t="str">
        <f t="shared" si="40"/>
        <v>January</v>
      </c>
      <c r="L898" t="str">
        <f t="shared" si="41"/>
        <v>Q1</v>
      </c>
      <c r="M898">
        <f t="shared" ref="M898:M961" si="42">YEAR(A898)</f>
        <v>2023</v>
      </c>
      <c r="N898" t="s">
        <v>44</v>
      </c>
    </row>
    <row r="899" spans="1:14" ht="14.55" customHeight="1" x14ac:dyDescent="0.3">
      <c r="A899" s="1">
        <v>45230</v>
      </c>
      <c r="B899" t="s">
        <v>18</v>
      </c>
      <c r="C899" t="s">
        <v>13</v>
      </c>
      <c r="D899" t="s">
        <v>14</v>
      </c>
      <c r="E899">
        <v>20</v>
      </c>
      <c r="F899">
        <v>4672.4399999999996</v>
      </c>
      <c r="G899" t="s">
        <v>20</v>
      </c>
      <c r="H899">
        <v>1</v>
      </c>
      <c r="I899">
        <v>3902.08</v>
      </c>
      <c r="J899">
        <v>770.36</v>
      </c>
      <c r="K899" t="str">
        <f t="shared" ref="K899:K962" si="43">TEXT(A899,"mmmm")</f>
        <v>October</v>
      </c>
      <c r="L899" t="str">
        <f t="shared" ref="L899:L962" si="44">"Q"&amp;INT((MONTH(A899)-1)/3)+1</f>
        <v>Q4</v>
      </c>
      <c r="M899">
        <f t="shared" si="42"/>
        <v>2023</v>
      </c>
      <c r="N899" t="s">
        <v>44</v>
      </c>
    </row>
    <row r="900" spans="1:14" ht="14.55" customHeight="1" x14ac:dyDescent="0.3">
      <c r="A900" s="1">
        <v>44643</v>
      </c>
      <c r="B900" t="s">
        <v>9</v>
      </c>
      <c r="C900" t="s">
        <v>16</v>
      </c>
      <c r="D900" t="s">
        <v>17</v>
      </c>
      <c r="E900">
        <v>3</v>
      </c>
      <c r="F900">
        <v>209.72</v>
      </c>
      <c r="G900" t="s">
        <v>12</v>
      </c>
      <c r="H900">
        <v>3</v>
      </c>
      <c r="I900">
        <v>350.38</v>
      </c>
      <c r="J900">
        <v>-140.66</v>
      </c>
      <c r="K900" t="str">
        <f t="shared" si="43"/>
        <v>March</v>
      </c>
      <c r="L900" t="str">
        <f t="shared" si="44"/>
        <v>Q1</v>
      </c>
      <c r="M900">
        <f t="shared" si="42"/>
        <v>2022</v>
      </c>
      <c r="N900" t="s">
        <v>44</v>
      </c>
    </row>
    <row r="901" spans="1:14" ht="14.55" customHeight="1" x14ac:dyDescent="0.3">
      <c r="A901" s="1">
        <v>44846</v>
      </c>
      <c r="B901" t="s">
        <v>18</v>
      </c>
      <c r="C901" t="s">
        <v>25</v>
      </c>
      <c r="D901" t="s">
        <v>38</v>
      </c>
      <c r="E901">
        <v>50</v>
      </c>
      <c r="F901">
        <v>10342.56</v>
      </c>
      <c r="G901" t="s">
        <v>20</v>
      </c>
      <c r="H901">
        <v>4</v>
      </c>
      <c r="I901">
        <v>7029.18</v>
      </c>
      <c r="J901">
        <v>3313.38</v>
      </c>
      <c r="K901" t="str">
        <f t="shared" si="43"/>
        <v>October</v>
      </c>
      <c r="L901" t="str">
        <f t="shared" si="44"/>
        <v>Q4</v>
      </c>
      <c r="M901">
        <f t="shared" si="42"/>
        <v>2022</v>
      </c>
      <c r="N901" t="s">
        <v>44</v>
      </c>
    </row>
    <row r="902" spans="1:14" ht="14.55" customHeight="1" x14ac:dyDescent="0.3">
      <c r="A902" s="1">
        <v>44601</v>
      </c>
      <c r="B902" t="s">
        <v>23</v>
      </c>
      <c r="C902" t="s">
        <v>10</v>
      </c>
      <c r="D902" t="s">
        <v>35</v>
      </c>
      <c r="E902">
        <v>25</v>
      </c>
      <c r="F902">
        <v>10630.78</v>
      </c>
      <c r="G902" t="s">
        <v>20</v>
      </c>
      <c r="H902">
        <v>3</v>
      </c>
      <c r="I902">
        <v>1285.3399999999999</v>
      </c>
      <c r="J902">
        <v>9345.44</v>
      </c>
      <c r="K902" t="str">
        <f t="shared" si="43"/>
        <v>February</v>
      </c>
      <c r="L902" t="str">
        <f t="shared" si="44"/>
        <v>Q1</v>
      </c>
      <c r="M902">
        <f t="shared" si="42"/>
        <v>2022</v>
      </c>
      <c r="N902" t="s">
        <v>44</v>
      </c>
    </row>
    <row r="903" spans="1:14" ht="14.55" customHeight="1" x14ac:dyDescent="0.3">
      <c r="A903" s="1">
        <v>44623</v>
      </c>
      <c r="B903" t="s">
        <v>15</v>
      </c>
      <c r="C903" t="s">
        <v>16</v>
      </c>
      <c r="D903" t="s">
        <v>17</v>
      </c>
      <c r="E903">
        <v>26</v>
      </c>
      <c r="F903">
        <v>8635.42</v>
      </c>
      <c r="G903" t="s">
        <v>20</v>
      </c>
      <c r="H903">
        <v>4</v>
      </c>
      <c r="I903">
        <v>5972.97</v>
      </c>
      <c r="J903">
        <v>2662.45</v>
      </c>
      <c r="K903" t="str">
        <f t="shared" si="43"/>
        <v>March</v>
      </c>
      <c r="L903" t="str">
        <f t="shared" si="44"/>
        <v>Q1</v>
      </c>
      <c r="M903">
        <f t="shared" si="42"/>
        <v>2022</v>
      </c>
      <c r="N903" t="s">
        <v>43</v>
      </c>
    </row>
    <row r="904" spans="1:14" ht="14.55" customHeight="1" x14ac:dyDescent="0.3">
      <c r="A904" s="1">
        <v>45253</v>
      </c>
      <c r="B904" t="s">
        <v>9</v>
      </c>
      <c r="C904" t="s">
        <v>21</v>
      </c>
      <c r="D904" t="s">
        <v>22</v>
      </c>
      <c r="E904">
        <v>22</v>
      </c>
      <c r="F904">
        <v>6690.67</v>
      </c>
      <c r="G904" t="s">
        <v>12</v>
      </c>
      <c r="H904">
        <v>4</v>
      </c>
      <c r="I904">
        <v>1808.93</v>
      </c>
      <c r="J904">
        <v>4881.74</v>
      </c>
      <c r="K904" t="str">
        <f t="shared" si="43"/>
        <v>November</v>
      </c>
      <c r="L904" t="str">
        <f t="shared" si="44"/>
        <v>Q4</v>
      </c>
      <c r="M904">
        <f t="shared" si="42"/>
        <v>2023</v>
      </c>
      <c r="N904" t="s">
        <v>44</v>
      </c>
    </row>
    <row r="905" spans="1:14" ht="14.55" customHeight="1" x14ac:dyDescent="0.3">
      <c r="A905" s="1">
        <v>45180</v>
      </c>
      <c r="B905" t="s">
        <v>31</v>
      </c>
      <c r="C905" t="s">
        <v>16</v>
      </c>
      <c r="D905" t="s">
        <v>37</v>
      </c>
      <c r="E905">
        <v>21</v>
      </c>
      <c r="F905">
        <v>502.68</v>
      </c>
      <c r="G905" t="s">
        <v>20</v>
      </c>
      <c r="H905">
        <v>1</v>
      </c>
      <c r="I905">
        <v>3893.2</v>
      </c>
      <c r="J905">
        <v>-3390.52</v>
      </c>
      <c r="K905" t="str">
        <f t="shared" si="43"/>
        <v>September</v>
      </c>
      <c r="L905" t="str">
        <f t="shared" si="44"/>
        <v>Q3</v>
      </c>
      <c r="M905">
        <f t="shared" si="42"/>
        <v>2023</v>
      </c>
      <c r="N905" t="s">
        <v>44</v>
      </c>
    </row>
    <row r="906" spans="1:14" ht="14.55" customHeight="1" x14ac:dyDescent="0.3">
      <c r="A906" s="1">
        <v>44930</v>
      </c>
      <c r="B906" t="s">
        <v>9</v>
      </c>
      <c r="C906" t="s">
        <v>10</v>
      </c>
      <c r="D906" t="s">
        <v>11</v>
      </c>
      <c r="E906">
        <v>49</v>
      </c>
      <c r="F906">
        <v>22687.119999999999</v>
      </c>
      <c r="G906" t="s">
        <v>12</v>
      </c>
      <c r="H906">
        <v>2</v>
      </c>
      <c r="I906">
        <v>1755.17</v>
      </c>
      <c r="J906">
        <v>20931.95</v>
      </c>
      <c r="K906" t="str">
        <f t="shared" si="43"/>
        <v>January</v>
      </c>
      <c r="L906" t="str">
        <f t="shared" si="44"/>
        <v>Q1</v>
      </c>
      <c r="M906">
        <f t="shared" si="42"/>
        <v>2023</v>
      </c>
      <c r="N906" t="s">
        <v>44</v>
      </c>
    </row>
    <row r="907" spans="1:14" ht="14.55" customHeight="1" x14ac:dyDescent="0.3">
      <c r="A907" s="1">
        <v>44619</v>
      </c>
      <c r="B907" t="s">
        <v>18</v>
      </c>
      <c r="C907" t="s">
        <v>25</v>
      </c>
      <c r="D907" t="s">
        <v>26</v>
      </c>
      <c r="E907">
        <v>19</v>
      </c>
      <c r="F907">
        <v>9266.41</v>
      </c>
      <c r="G907" t="s">
        <v>12</v>
      </c>
      <c r="H907">
        <v>2</v>
      </c>
      <c r="I907">
        <v>3218.8</v>
      </c>
      <c r="J907">
        <v>6047.61</v>
      </c>
      <c r="K907" t="str">
        <f t="shared" si="43"/>
        <v>February</v>
      </c>
      <c r="L907" t="str">
        <f t="shared" si="44"/>
        <v>Q1</v>
      </c>
      <c r="M907">
        <f t="shared" si="42"/>
        <v>2022</v>
      </c>
      <c r="N907" t="s">
        <v>45</v>
      </c>
    </row>
    <row r="908" spans="1:14" ht="14.55" customHeight="1" x14ac:dyDescent="0.3">
      <c r="A908" s="1">
        <v>45119</v>
      </c>
      <c r="B908" t="s">
        <v>23</v>
      </c>
      <c r="C908" t="s">
        <v>25</v>
      </c>
      <c r="D908" t="s">
        <v>30</v>
      </c>
      <c r="E908">
        <v>41</v>
      </c>
      <c r="F908">
        <v>9528.52</v>
      </c>
      <c r="G908" t="s">
        <v>20</v>
      </c>
      <c r="H908">
        <v>3</v>
      </c>
      <c r="I908">
        <v>2709.71</v>
      </c>
      <c r="J908">
        <v>6818.81</v>
      </c>
      <c r="K908" t="str">
        <f t="shared" si="43"/>
        <v>July</v>
      </c>
      <c r="L908" t="str">
        <f t="shared" si="44"/>
        <v>Q3</v>
      </c>
      <c r="M908">
        <f t="shared" si="42"/>
        <v>2023</v>
      </c>
      <c r="N908" t="s">
        <v>44</v>
      </c>
    </row>
    <row r="909" spans="1:14" ht="14.55" customHeight="1" x14ac:dyDescent="0.3">
      <c r="A909" s="1">
        <v>44876</v>
      </c>
      <c r="B909" t="s">
        <v>15</v>
      </c>
      <c r="C909" t="s">
        <v>10</v>
      </c>
      <c r="D909" t="s">
        <v>35</v>
      </c>
      <c r="E909">
        <v>3</v>
      </c>
      <c r="F909">
        <v>1135.6400000000001</v>
      </c>
      <c r="G909" t="s">
        <v>12</v>
      </c>
      <c r="H909">
        <v>4</v>
      </c>
      <c r="I909">
        <v>284.95999999999998</v>
      </c>
      <c r="J909">
        <v>850.68</v>
      </c>
      <c r="K909" t="str">
        <f t="shared" si="43"/>
        <v>November</v>
      </c>
      <c r="L909" t="str">
        <f t="shared" si="44"/>
        <v>Q4</v>
      </c>
      <c r="M909">
        <f t="shared" si="42"/>
        <v>2022</v>
      </c>
      <c r="N909" t="s">
        <v>44</v>
      </c>
    </row>
    <row r="910" spans="1:14" ht="14.55" customHeight="1" x14ac:dyDescent="0.3">
      <c r="A910" s="1">
        <v>45084</v>
      </c>
      <c r="B910" t="s">
        <v>15</v>
      </c>
      <c r="C910" t="s">
        <v>16</v>
      </c>
      <c r="D910" t="s">
        <v>27</v>
      </c>
      <c r="E910">
        <v>49</v>
      </c>
      <c r="F910">
        <v>11861.21</v>
      </c>
      <c r="G910" t="s">
        <v>12</v>
      </c>
      <c r="H910">
        <v>2</v>
      </c>
      <c r="I910">
        <v>7832.78</v>
      </c>
      <c r="J910">
        <v>4028.43</v>
      </c>
      <c r="K910" t="str">
        <f t="shared" si="43"/>
        <v>June</v>
      </c>
      <c r="L910" t="str">
        <f t="shared" si="44"/>
        <v>Q2</v>
      </c>
      <c r="M910">
        <f t="shared" si="42"/>
        <v>2023</v>
      </c>
      <c r="N910" t="s">
        <v>46</v>
      </c>
    </row>
    <row r="911" spans="1:14" ht="14.55" customHeight="1" x14ac:dyDescent="0.3">
      <c r="A911" s="1">
        <v>45110</v>
      </c>
      <c r="B911" t="s">
        <v>23</v>
      </c>
      <c r="C911" t="s">
        <v>21</v>
      </c>
      <c r="D911" t="s">
        <v>33</v>
      </c>
      <c r="E911">
        <v>33</v>
      </c>
      <c r="F911">
        <v>3557.57</v>
      </c>
      <c r="G911" t="s">
        <v>12</v>
      </c>
      <c r="H911">
        <v>1</v>
      </c>
      <c r="I911">
        <v>2198.34</v>
      </c>
      <c r="J911">
        <v>1359.23</v>
      </c>
      <c r="K911" t="str">
        <f t="shared" si="43"/>
        <v>July</v>
      </c>
      <c r="L911" t="str">
        <f t="shared" si="44"/>
        <v>Q3</v>
      </c>
      <c r="M911">
        <f t="shared" si="42"/>
        <v>2023</v>
      </c>
      <c r="N911" t="s">
        <v>45</v>
      </c>
    </row>
    <row r="912" spans="1:14" ht="14.55" customHeight="1" x14ac:dyDescent="0.3">
      <c r="A912" s="1">
        <v>44800</v>
      </c>
      <c r="B912" t="s">
        <v>18</v>
      </c>
      <c r="C912" t="s">
        <v>25</v>
      </c>
      <c r="D912" t="s">
        <v>30</v>
      </c>
      <c r="E912">
        <v>9</v>
      </c>
      <c r="F912">
        <v>3294.2</v>
      </c>
      <c r="G912" t="s">
        <v>12</v>
      </c>
      <c r="H912">
        <v>1</v>
      </c>
      <c r="I912">
        <v>1298.1400000000001</v>
      </c>
      <c r="J912">
        <v>1996.06</v>
      </c>
      <c r="K912" t="str">
        <f t="shared" si="43"/>
        <v>August</v>
      </c>
      <c r="L912" t="str">
        <f t="shared" si="44"/>
        <v>Q3</v>
      </c>
      <c r="M912">
        <f t="shared" si="42"/>
        <v>2022</v>
      </c>
      <c r="N912" t="s">
        <v>45</v>
      </c>
    </row>
    <row r="913" spans="1:14" ht="14.55" customHeight="1" x14ac:dyDescent="0.3">
      <c r="A913" s="1">
        <v>45217</v>
      </c>
      <c r="B913" t="s">
        <v>23</v>
      </c>
      <c r="C913" t="s">
        <v>25</v>
      </c>
      <c r="D913" t="s">
        <v>38</v>
      </c>
      <c r="E913">
        <v>4</v>
      </c>
      <c r="F913">
        <v>1451.26</v>
      </c>
      <c r="G913" t="s">
        <v>20</v>
      </c>
      <c r="H913">
        <v>1</v>
      </c>
      <c r="I913">
        <v>268.72000000000003</v>
      </c>
      <c r="J913">
        <v>1182.54</v>
      </c>
      <c r="K913" t="str">
        <f t="shared" si="43"/>
        <v>October</v>
      </c>
      <c r="L913" t="str">
        <f t="shared" si="44"/>
        <v>Q4</v>
      </c>
      <c r="M913">
        <f t="shared" si="42"/>
        <v>2023</v>
      </c>
      <c r="N913" t="s">
        <v>45</v>
      </c>
    </row>
    <row r="914" spans="1:14" ht="14.55" customHeight="1" x14ac:dyDescent="0.3">
      <c r="A914" s="1">
        <v>45121</v>
      </c>
      <c r="B914" t="s">
        <v>9</v>
      </c>
      <c r="C914" t="s">
        <v>16</v>
      </c>
      <c r="D914" t="s">
        <v>37</v>
      </c>
      <c r="E914">
        <v>9</v>
      </c>
      <c r="F914">
        <v>2402.13</v>
      </c>
      <c r="G914" t="s">
        <v>12</v>
      </c>
      <c r="H914">
        <v>4</v>
      </c>
      <c r="I914">
        <v>1102.45</v>
      </c>
      <c r="J914">
        <v>1299.68</v>
      </c>
      <c r="K914" t="str">
        <f t="shared" si="43"/>
        <v>July</v>
      </c>
      <c r="L914" t="str">
        <f t="shared" si="44"/>
        <v>Q3</v>
      </c>
      <c r="M914">
        <f t="shared" si="42"/>
        <v>2023</v>
      </c>
      <c r="N914" t="s">
        <v>44</v>
      </c>
    </row>
    <row r="915" spans="1:14" ht="14.55" customHeight="1" x14ac:dyDescent="0.3">
      <c r="A915" s="1">
        <v>44589</v>
      </c>
      <c r="B915" t="s">
        <v>31</v>
      </c>
      <c r="C915" t="s">
        <v>16</v>
      </c>
      <c r="D915" t="s">
        <v>17</v>
      </c>
      <c r="E915">
        <v>47</v>
      </c>
      <c r="F915">
        <v>22271.31</v>
      </c>
      <c r="G915" t="s">
        <v>12</v>
      </c>
      <c r="H915">
        <v>4</v>
      </c>
      <c r="I915">
        <v>9758.34</v>
      </c>
      <c r="J915">
        <v>12512.97</v>
      </c>
      <c r="K915" t="str">
        <f t="shared" si="43"/>
        <v>January</v>
      </c>
      <c r="L915" t="str">
        <f t="shared" si="44"/>
        <v>Q1</v>
      </c>
      <c r="M915">
        <f t="shared" si="42"/>
        <v>2022</v>
      </c>
      <c r="N915" t="s">
        <v>44</v>
      </c>
    </row>
    <row r="916" spans="1:14" ht="14.55" customHeight="1" x14ac:dyDescent="0.3">
      <c r="A916" s="1">
        <v>44665</v>
      </c>
      <c r="B916" t="s">
        <v>23</v>
      </c>
      <c r="C916" t="s">
        <v>16</v>
      </c>
      <c r="D916" t="s">
        <v>24</v>
      </c>
      <c r="E916">
        <v>40</v>
      </c>
      <c r="F916">
        <v>15984.63</v>
      </c>
      <c r="G916" t="s">
        <v>20</v>
      </c>
      <c r="H916">
        <v>2</v>
      </c>
      <c r="I916">
        <v>9929.2900000000009</v>
      </c>
      <c r="J916">
        <v>6055.34</v>
      </c>
      <c r="K916" t="str">
        <f t="shared" si="43"/>
        <v>April</v>
      </c>
      <c r="L916" t="str">
        <f t="shared" si="44"/>
        <v>Q2</v>
      </c>
      <c r="M916">
        <f t="shared" si="42"/>
        <v>2022</v>
      </c>
      <c r="N916" t="s">
        <v>46</v>
      </c>
    </row>
    <row r="917" spans="1:14" ht="14.55" customHeight="1" x14ac:dyDescent="0.3">
      <c r="A917" s="1">
        <v>44976</v>
      </c>
      <c r="B917" t="s">
        <v>23</v>
      </c>
      <c r="C917" t="s">
        <v>16</v>
      </c>
      <c r="D917" t="s">
        <v>17</v>
      </c>
      <c r="E917">
        <v>20</v>
      </c>
      <c r="F917">
        <v>8645.9</v>
      </c>
      <c r="G917" t="s">
        <v>12</v>
      </c>
      <c r="H917">
        <v>3</v>
      </c>
      <c r="I917">
        <v>4474.5</v>
      </c>
      <c r="J917">
        <v>4171.3999999999996</v>
      </c>
      <c r="K917" t="str">
        <f t="shared" si="43"/>
        <v>February</v>
      </c>
      <c r="L917" t="str">
        <f t="shared" si="44"/>
        <v>Q1</v>
      </c>
      <c r="M917">
        <f t="shared" si="42"/>
        <v>2023</v>
      </c>
      <c r="N917" t="s">
        <v>44</v>
      </c>
    </row>
    <row r="918" spans="1:14" ht="14.55" customHeight="1" x14ac:dyDescent="0.3">
      <c r="A918" s="1">
        <v>44592</v>
      </c>
      <c r="B918" t="s">
        <v>31</v>
      </c>
      <c r="C918" t="s">
        <v>10</v>
      </c>
      <c r="D918" t="s">
        <v>28</v>
      </c>
      <c r="E918">
        <v>18</v>
      </c>
      <c r="F918">
        <v>609.76</v>
      </c>
      <c r="G918" t="s">
        <v>20</v>
      </c>
      <c r="H918">
        <v>1</v>
      </c>
      <c r="I918">
        <v>2746.66</v>
      </c>
      <c r="J918">
        <v>-2136.9</v>
      </c>
      <c r="K918" t="str">
        <f t="shared" si="43"/>
        <v>January</v>
      </c>
      <c r="L918" t="str">
        <f t="shared" si="44"/>
        <v>Q1</v>
      </c>
      <c r="M918">
        <f t="shared" si="42"/>
        <v>2022</v>
      </c>
      <c r="N918" t="s">
        <v>44</v>
      </c>
    </row>
    <row r="919" spans="1:14" ht="14.55" customHeight="1" x14ac:dyDescent="0.3">
      <c r="A919" s="1">
        <v>44752</v>
      </c>
      <c r="B919" t="s">
        <v>23</v>
      </c>
      <c r="C919" t="s">
        <v>25</v>
      </c>
      <c r="D919" t="s">
        <v>30</v>
      </c>
      <c r="E919">
        <v>48</v>
      </c>
      <c r="F919">
        <v>18454.88</v>
      </c>
      <c r="G919" t="s">
        <v>20</v>
      </c>
      <c r="H919">
        <v>4</v>
      </c>
      <c r="I919">
        <v>4384.67</v>
      </c>
      <c r="J919">
        <v>14070.21</v>
      </c>
      <c r="K919" t="str">
        <f t="shared" si="43"/>
        <v>July</v>
      </c>
      <c r="L919" t="str">
        <f t="shared" si="44"/>
        <v>Q3</v>
      </c>
      <c r="M919">
        <f t="shared" si="42"/>
        <v>2022</v>
      </c>
      <c r="N919" t="s">
        <v>44</v>
      </c>
    </row>
    <row r="920" spans="1:14" ht="14.55" customHeight="1" x14ac:dyDescent="0.3">
      <c r="A920" s="1">
        <v>45159</v>
      </c>
      <c r="B920" t="s">
        <v>23</v>
      </c>
      <c r="C920" t="s">
        <v>10</v>
      </c>
      <c r="D920" t="s">
        <v>28</v>
      </c>
      <c r="E920">
        <v>15</v>
      </c>
      <c r="F920">
        <v>3153.43</v>
      </c>
      <c r="G920" t="s">
        <v>12</v>
      </c>
      <c r="H920">
        <v>2</v>
      </c>
      <c r="I920">
        <v>3433.46</v>
      </c>
      <c r="J920">
        <v>-280.02999999999997</v>
      </c>
      <c r="K920" t="str">
        <f t="shared" si="43"/>
        <v>August</v>
      </c>
      <c r="L920" t="str">
        <f t="shared" si="44"/>
        <v>Q3</v>
      </c>
      <c r="M920">
        <f t="shared" si="42"/>
        <v>2023</v>
      </c>
      <c r="N920" t="s">
        <v>46</v>
      </c>
    </row>
    <row r="921" spans="1:14" ht="14.55" customHeight="1" x14ac:dyDescent="0.3">
      <c r="A921" s="1">
        <v>44634</v>
      </c>
      <c r="B921" t="s">
        <v>15</v>
      </c>
      <c r="C921" t="s">
        <v>16</v>
      </c>
      <c r="D921" t="s">
        <v>27</v>
      </c>
      <c r="E921">
        <v>46</v>
      </c>
      <c r="F921">
        <v>11280.76</v>
      </c>
      <c r="G921" t="s">
        <v>20</v>
      </c>
      <c r="H921">
        <v>5</v>
      </c>
      <c r="I921">
        <v>7734.22</v>
      </c>
      <c r="J921">
        <v>3546.54</v>
      </c>
      <c r="K921" t="str">
        <f t="shared" si="43"/>
        <v>March</v>
      </c>
      <c r="L921" t="str">
        <f t="shared" si="44"/>
        <v>Q1</v>
      </c>
      <c r="M921">
        <f t="shared" si="42"/>
        <v>2022</v>
      </c>
      <c r="N921" t="s">
        <v>45</v>
      </c>
    </row>
    <row r="922" spans="1:14" ht="14.55" customHeight="1" x14ac:dyDescent="0.3">
      <c r="A922" s="1">
        <v>45013</v>
      </c>
      <c r="B922" t="s">
        <v>31</v>
      </c>
      <c r="C922" t="s">
        <v>10</v>
      </c>
      <c r="D922" t="s">
        <v>35</v>
      </c>
      <c r="E922">
        <v>43</v>
      </c>
      <c r="F922">
        <v>2894.24</v>
      </c>
      <c r="G922" t="s">
        <v>12</v>
      </c>
      <c r="H922">
        <v>5</v>
      </c>
      <c r="I922">
        <v>5478.36</v>
      </c>
      <c r="J922">
        <v>-2584.12</v>
      </c>
      <c r="K922" t="str">
        <f t="shared" si="43"/>
        <v>March</v>
      </c>
      <c r="L922" t="str">
        <f t="shared" si="44"/>
        <v>Q1</v>
      </c>
      <c r="M922">
        <f t="shared" si="42"/>
        <v>2023</v>
      </c>
      <c r="N922" t="s">
        <v>44</v>
      </c>
    </row>
    <row r="923" spans="1:14" ht="14.55" customHeight="1" x14ac:dyDescent="0.3">
      <c r="A923" s="1">
        <v>44638</v>
      </c>
      <c r="B923" t="s">
        <v>31</v>
      </c>
      <c r="C923" t="s">
        <v>21</v>
      </c>
      <c r="D923" t="s">
        <v>22</v>
      </c>
      <c r="E923">
        <v>32</v>
      </c>
      <c r="F923">
        <v>2986.36</v>
      </c>
      <c r="G923" t="s">
        <v>20</v>
      </c>
      <c r="H923">
        <v>1</v>
      </c>
      <c r="I923">
        <v>784.48</v>
      </c>
      <c r="J923">
        <v>2201.88</v>
      </c>
      <c r="K923" t="str">
        <f t="shared" si="43"/>
        <v>March</v>
      </c>
      <c r="L923" t="str">
        <f t="shared" si="44"/>
        <v>Q1</v>
      </c>
      <c r="M923">
        <f t="shared" si="42"/>
        <v>2022</v>
      </c>
      <c r="N923" t="s">
        <v>44</v>
      </c>
    </row>
    <row r="924" spans="1:14" ht="14.55" customHeight="1" x14ac:dyDescent="0.3">
      <c r="A924" s="1">
        <v>45155</v>
      </c>
      <c r="B924" t="s">
        <v>23</v>
      </c>
      <c r="C924" t="s">
        <v>25</v>
      </c>
      <c r="D924" t="s">
        <v>30</v>
      </c>
      <c r="E924">
        <v>12</v>
      </c>
      <c r="F924">
        <v>5278.83</v>
      </c>
      <c r="G924" t="s">
        <v>20</v>
      </c>
      <c r="H924">
        <v>4</v>
      </c>
      <c r="I924">
        <v>2897.28</v>
      </c>
      <c r="J924">
        <v>2381.5500000000002</v>
      </c>
      <c r="K924" t="str">
        <f t="shared" si="43"/>
        <v>August</v>
      </c>
      <c r="L924" t="str">
        <f t="shared" si="44"/>
        <v>Q3</v>
      </c>
      <c r="M924">
        <f t="shared" si="42"/>
        <v>2023</v>
      </c>
      <c r="N924" t="s">
        <v>45</v>
      </c>
    </row>
    <row r="925" spans="1:14" ht="14.55" customHeight="1" x14ac:dyDescent="0.3">
      <c r="A925" s="1">
        <v>45231</v>
      </c>
      <c r="B925" t="s">
        <v>15</v>
      </c>
      <c r="C925" t="s">
        <v>10</v>
      </c>
      <c r="D925" t="s">
        <v>34</v>
      </c>
      <c r="E925">
        <v>49</v>
      </c>
      <c r="F925">
        <v>12558.43</v>
      </c>
      <c r="G925" t="s">
        <v>12</v>
      </c>
      <c r="H925">
        <v>2</v>
      </c>
      <c r="I925">
        <v>7293.51</v>
      </c>
      <c r="J925">
        <v>5264.92</v>
      </c>
      <c r="K925" t="str">
        <f t="shared" si="43"/>
        <v>November</v>
      </c>
      <c r="L925" t="str">
        <f t="shared" si="44"/>
        <v>Q4</v>
      </c>
      <c r="M925">
        <f t="shared" si="42"/>
        <v>2023</v>
      </c>
      <c r="N925" t="s">
        <v>44</v>
      </c>
    </row>
    <row r="926" spans="1:14" ht="14.55" customHeight="1" x14ac:dyDescent="0.3">
      <c r="A926" s="1">
        <v>45025</v>
      </c>
      <c r="B926" t="s">
        <v>18</v>
      </c>
      <c r="C926" t="s">
        <v>16</v>
      </c>
      <c r="D926" t="s">
        <v>37</v>
      </c>
      <c r="E926">
        <v>35</v>
      </c>
      <c r="F926">
        <v>3511.5</v>
      </c>
      <c r="G926" t="s">
        <v>20</v>
      </c>
      <c r="H926">
        <v>5</v>
      </c>
      <c r="I926">
        <v>398.52</v>
      </c>
      <c r="J926">
        <v>3112.98</v>
      </c>
      <c r="K926" t="str">
        <f t="shared" si="43"/>
        <v>April</v>
      </c>
      <c r="L926" t="str">
        <f t="shared" si="44"/>
        <v>Q2</v>
      </c>
      <c r="M926">
        <f t="shared" si="42"/>
        <v>2023</v>
      </c>
      <c r="N926" t="s">
        <v>45</v>
      </c>
    </row>
    <row r="927" spans="1:14" ht="14.55" customHeight="1" x14ac:dyDescent="0.3">
      <c r="A927" s="1">
        <v>44993</v>
      </c>
      <c r="B927" t="s">
        <v>31</v>
      </c>
      <c r="C927" t="s">
        <v>25</v>
      </c>
      <c r="D927" t="s">
        <v>30</v>
      </c>
      <c r="E927">
        <v>22</v>
      </c>
      <c r="F927">
        <v>1300.31</v>
      </c>
      <c r="G927" t="s">
        <v>12</v>
      </c>
      <c r="H927">
        <v>2</v>
      </c>
      <c r="I927">
        <v>2067.5100000000002</v>
      </c>
      <c r="J927">
        <v>-767.2</v>
      </c>
      <c r="K927" t="str">
        <f t="shared" si="43"/>
        <v>March</v>
      </c>
      <c r="L927" t="str">
        <f t="shared" si="44"/>
        <v>Q1</v>
      </c>
      <c r="M927">
        <f t="shared" si="42"/>
        <v>2023</v>
      </c>
      <c r="N927" t="s">
        <v>44</v>
      </c>
    </row>
    <row r="928" spans="1:14" ht="14.55" customHeight="1" x14ac:dyDescent="0.3">
      <c r="A928" s="1">
        <v>45180</v>
      </c>
      <c r="B928" t="s">
        <v>18</v>
      </c>
      <c r="C928" t="s">
        <v>13</v>
      </c>
      <c r="D928" t="s">
        <v>29</v>
      </c>
      <c r="E928">
        <v>43</v>
      </c>
      <c r="F928">
        <v>10203.01</v>
      </c>
      <c r="G928" t="s">
        <v>12</v>
      </c>
      <c r="H928">
        <v>1</v>
      </c>
      <c r="I928">
        <v>10636.64</v>
      </c>
      <c r="J928">
        <v>-433.63</v>
      </c>
      <c r="K928" t="str">
        <f t="shared" si="43"/>
        <v>September</v>
      </c>
      <c r="L928" t="str">
        <f t="shared" si="44"/>
        <v>Q3</v>
      </c>
      <c r="M928">
        <f t="shared" si="42"/>
        <v>2023</v>
      </c>
      <c r="N928" t="s">
        <v>44</v>
      </c>
    </row>
    <row r="929" spans="1:14" ht="14.55" customHeight="1" x14ac:dyDescent="0.3">
      <c r="A929" s="1">
        <v>44903</v>
      </c>
      <c r="B929" t="s">
        <v>15</v>
      </c>
      <c r="C929" t="s">
        <v>21</v>
      </c>
      <c r="D929" t="s">
        <v>36</v>
      </c>
      <c r="E929">
        <v>21</v>
      </c>
      <c r="F929">
        <v>9472.16</v>
      </c>
      <c r="G929" t="s">
        <v>12</v>
      </c>
      <c r="H929">
        <v>2</v>
      </c>
      <c r="I929">
        <v>892.63</v>
      </c>
      <c r="J929">
        <v>8579.5300000000007</v>
      </c>
      <c r="K929" t="str">
        <f t="shared" si="43"/>
        <v>December</v>
      </c>
      <c r="L929" t="str">
        <f t="shared" si="44"/>
        <v>Q4</v>
      </c>
      <c r="M929">
        <f t="shared" si="42"/>
        <v>2022</v>
      </c>
      <c r="N929" t="s">
        <v>46</v>
      </c>
    </row>
    <row r="930" spans="1:14" ht="14.55" customHeight="1" x14ac:dyDescent="0.3">
      <c r="A930" s="1">
        <v>45082</v>
      </c>
      <c r="B930" t="s">
        <v>15</v>
      </c>
      <c r="C930" t="s">
        <v>25</v>
      </c>
      <c r="D930" t="s">
        <v>30</v>
      </c>
      <c r="E930">
        <v>23</v>
      </c>
      <c r="F930">
        <v>1690.93</v>
      </c>
      <c r="G930" t="s">
        <v>20</v>
      </c>
      <c r="H930">
        <v>2</v>
      </c>
      <c r="I930">
        <v>787.28</v>
      </c>
      <c r="J930">
        <v>903.65</v>
      </c>
      <c r="K930" t="str">
        <f t="shared" si="43"/>
        <v>June</v>
      </c>
      <c r="L930" t="str">
        <f t="shared" si="44"/>
        <v>Q2</v>
      </c>
      <c r="M930">
        <f t="shared" si="42"/>
        <v>2023</v>
      </c>
      <c r="N930" t="s">
        <v>44</v>
      </c>
    </row>
    <row r="931" spans="1:14" ht="14.55" customHeight="1" x14ac:dyDescent="0.3">
      <c r="A931" s="1">
        <v>45037</v>
      </c>
      <c r="B931" t="s">
        <v>31</v>
      </c>
      <c r="C931" t="s">
        <v>21</v>
      </c>
      <c r="D931" t="s">
        <v>33</v>
      </c>
      <c r="E931">
        <v>26</v>
      </c>
      <c r="F931">
        <v>2351.42</v>
      </c>
      <c r="G931" t="s">
        <v>20</v>
      </c>
      <c r="H931">
        <v>5</v>
      </c>
      <c r="I931">
        <v>1395.9</v>
      </c>
      <c r="J931">
        <v>955.52</v>
      </c>
      <c r="K931" t="str">
        <f t="shared" si="43"/>
        <v>April</v>
      </c>
      <c r="L931" t="str">
        <f t="shared" si="44"/>
        <v>Q2</v>
      </c>
      <c r="M931">
        <f t="shared" si="42"/>
        <v>2023</v>
      </c>
      <c r="N931" t="s">
        <v>45</v>
      </c>
    </row>
    <row r="932" spans="1:14" ht="14.55" customHeight="1" x14ac:dyDescent="0.3">
      <c r="A932" s="1">
        <v>45098</v>
      </c>
      <c r="B932" t="s">
        <v>23</v>
      </c>
      <c r="C932" t="s">
        <v>21</v>
      </c>
      <c r="D932" t="s">
        <v>33</v>
      </c>
      <c r="E932">
        <v>47</v>
      </c>
      <c r="F932">
        <v>10218.36</v>
      </c>
      <c r="G932" t="s">
        <v>20</v>
      </c>
      <c r="H932">
        <v>4</v>
      </c>
      <c r="I932">
        <v>11740.58</v>
      </c>
      <c r="J932">
        <v>-1522.22</v>
      </c>
      <c r="K932" t="str">
        <f t="shared" si="43"/>
        <v>June</v>
      </c>
      <c r="L932" t="str">
        <f t="shared" si="44"/>
        <v>Q2</v>
      </c>
      <c r="M932">
        <f t="shared" si="42"/>
        <v>2023</v>
      </c>
      <c r="N932" t="s">
        <v>45</v>
      </c>
    </row>
    <row r="933" spans="1:14" ht="14.55" customHeight="1" x14ac:dyDescent="0.3">
      <c r="A933" s="1">
        <v>45003</v>
      </c>
      <c r="B933" t="s">
        <v>9</v>
      </c>
      <c r="C933" t="s">
        <v>10</v>
      </c>
      <c r="D933" t="s">
        <v>34</v>
      </c>
      <c r="E933">
        <v>36</v>
      </c>
      <c r="F933">
        <v>13717.5</v>
      </c>
      <c r="G933" t="s">
        <v>12</v>
      </c>
      <c r="H933">
        <v>4</v>
      </c>
      <c r="I933">
        <v>7014.74</v>
      </c>
      <c r="J933">
        <v>6702.76</v>
      </c>
      <c r="K933" t="str">
        <f t="shared" si="43"/>
        <v>March</v>
      </c>
      <c r="L933" t="str">
        <f t="shared" si="44"/>
        <v>Q1</v>
      </c>
      <c r="M933">
        <f t="shared" si="42"/>
        <v>2023</v>
      </c>
      <c r="N933" t="s">
        <v>45</v>
      </c>
    </row>
    <row r="934" spans="1:14" ht="14.55" customHeight="1" x14ac:dyDescent="0.3">
      <c r="A934" s="1">
        <v>44595</v>
      </c>
      <c r="B934" t="s">
        <v>31</v>
      </c>
      <c r="C934" t="s">
        <v>13</v>
      </c>
      <c r="D934" t="s">
        <v>40</v>
      </c>
      <c r="E934">
        <v>26</v>
      </c>
      <c r="F934">
        <v>7040.83</v>
      </c>
      <c r="G934" t="s">
        <v>20</v>
      </c>
      <c r="H934">
        <v>4</v>
      </c>
      <c r="I934">
        <v>1547.08</v>
      </c>
      <c r="J934">
        <v>5493.75</v>
      </c>
      <c r="K934" t="str">
        <f t="shared" si="43"/>
        <v>February</v>
      </c>
      <c r="L934" t="str">
        <f t="shared" si="44"/>
        <v>Q1</v>
      </c>
      <c r="M934">
        <f t="shared" si="42"/>
        <v>2022</v>
      </c>
      <c r="N934" t="s">
        <v>44</v>
      </c>
    </row>
    <row r="935" spans="1:14" ht="14.55" customHeight="1" x14ac:dyDescent="0.3">
      <c r="A935" s="1">
        <v>44660</v>
      </c>
      <c r="B935" t="s">
        <v>18</v>
      </c>
      <c r="C935" t="s">
        <v>10</v>
      </c>
      <c r="D935" t="s">
        <v>34</v>
      </c>
      <c r="E935">
        <v>17</v>
      </c>
      <c r="F935">
        <v>1227.6600000000001</v>
      </c>
      <c r="G935" t="s">
        <v>20</v>
      </c>
      <c r="H935">
        <v>1</v>
      </c>
      <c r="I935">
        <v>2899.13</v>
      </c>
      <c r="J935">
        <v>-1671.47</v>
      </c>
      <c r="K935" t="str">
        <f t="shared" si="43"/>
        <v>April</v>
      </c>
      <c r="L935" t="str">
        <f t="shared" si="44"/>
        <v>Q2</v>
      </c>
      <c r="M935">
        <f t="shared" si="42"/>
        <v>2022</v>
      </c>
      <c r="N935" t="s">
        <v>44</v>
      </c>
    </row>
    <row r="936" spans="1:14" ht="14.55" customHeight="1" x14ac:dyDescent="0.3">
      <c r="A936" s="1">
        <v>45092</v>
      </c>
      <c r="B936" t="s">
        <v>18</v>
      </c>
      <c r="C936" t="s">
        <v>25</v>
      </c>
      <c r="D936" t="s">
        <v>39</v>
      </c>
      <c r="E936">
        <v>22</v>
      </c>
      <c r="F936">
        <v>5123.91</v>
      </c>
      <c r="G936" t="s">
        <v>20</v>
      </c>
      <c r="H936">
        <v>4</v>
      </c>
      <c r="I936">
        <v>3126.56</v>
      </c>
      <c r="J936">
        <v>1997.35</v>
      </c>
      <c r="K936" t="str">
        <f t="shared" si="43"/>
        <v>June</v>
      </c>
      <c r="L936" t="str">
        <f t="shared" si="44"/>
        <v>Q2</v>
      </c>
      <c r="M936">
        <f t="shared" si="42"/>
        <v>2023</v>
      </c>
      <c r="N936" t="s">
        <v>44</v>
      </c>
    </row>
    <row r="937" spans="1:14" ht="14.55" customHeight="1" x14ac:dyDescent="0.3">
      <c r="A937" s="1">
        <v>45039</v>
      </c>
      <c r="B937" t="s">
        <v>9</v>
      </c>
      <c r="C937" t="s">
        <v>16</v>
      </c>
      <c r="D937" t="s">
        <v>17</v>
      </c>
      <c r="E937">
        <v>44</v>
      </c>
      <c r="F937">
        <v>4967.92</v>
      </c>
      <c r="G937" t="s">
        <v>12</v>
      </c>
      <c r="H937">
        <v>2</v>
      </c>
      <c r="I937">
        <v>5834.46</v>
      </c>
      <c r="J937">
        <v>-866.54</v>
      </c>
      <c r="K937" t="str">
        <f t="shared" si="43"/>
        <v>April</v>
      </c>
      <c r="L937" t="str">
        <f t="shared" si="44"/>
        <v>Q2</v>
      </c>
      <c r="M937">
        <f t="shared" si="42"/>
        <v>2023</v>
      </c>
      <c r="N937" t="s">
        <v>44</v>
      </c>
    </row>
    <row r="938" spans="1:14" ht="14.55" customHeight="1" x14ac:dyDescent="0.3">
      <c r="A938" s="1">
        <v>45074</v>
      </c>
      <c r="B938" t="s">
        <v>15</v>
      </c>
      <c r="C938" t="s">
        <v>16</v>
      </c>
      <c r="D938" t="s">
        <v>27</v>
      </c>
      <c r="E938">
        <v>31</v>
      </c>
      <c r="F938">
        <v>14582.35</v>
      </c>
      <c r="G938" t="s">
        <v>20</v>
      </c>
      <c r="H938">
        <v>3</v>
      </c>
      <c r="I938">
        <v>832.68</v>
      </c>
      <c r="J938">
        <v>13749.67</v>
      </c>
      <c r="K938" t="str">
        <f t="shared" si="43"/>
        <v>May</v>
      </c>
      <c r="L938" t="str">
        <f t="shared" si="44"/>
        <v>Q2</v>
      </c>
      <c r="M938">
        <f t="shared" si="42"/>
        <v>2023</v>
      </c>
      <c r="N938" t="s">
        <v>45</v>
      </c>
    </row>
    <row r="939" spans="1:14" ht="14.55" customHeight="1" x14ac:dyDescent="0.3">
      <c r="A939" s="1">
        <v>45171</v>
      </c>
      <c r="B939" t="s">
        <v>15</v>
      </c>
      <c r="C939" t="s">
        <v>25</v>
      </c>
      <c r="D939" t="s">
        <v>38</v>
      </c>
      <c r="E939">
        <v>42</v>
      </c>
      <c r="F939">
        <v>16144.75</v>
      </c>
      <c r="G939" t="s">
        <v>20</v>
      </c>
      <c r="H939">
        <v>2</v>
      </c>
      <c r="I939">
        <v>3155.08</v>
      </c>
      <c r="J939">
        <v>12989.67</v>
      </c>
      <c r="K939" t="str">
        <f t="shared" si="43"/>
        <v>September</v>
      </c>
      <c r="L939" t="str">
        <f t="shared" si="44"/>
        <v>Q3</v>
      </c>
      <c r="M939">
        <f t="shared" si="42"/>
        <v>2023</v>
      </c>
      <c r="N939" t="s">
        <v>44</v>
      </c>
    </row>
    <row r="940" spans="1:14" ht="14.55" customHeight="1" x14ac:dyDescent="0.3">
      <c r="A940" s="1">
        <v>44627</v>
      </c>
      <c r="B940" t="s">
        <v>23</v>
      </c>
      <c r="C940" t="s">
        <v>25</v>
      </c>
      <c r="D940" t="s">
        <v>38</v>
      </c>
      <c r="E940">
        <v>48</v>
      </c>
      <c r="F940">
        <v>16227.88</v>
      </c>
      <c r="G940" t="s">
        <v>12</v>
      </c>
      <c r="H940">
        <v>4</v>
      </c>
      <c r="I940">
        <v>8999.23</v>
      </c>
      <c r="J940">
        <v>7228.65</v>
      </c>
      <c r="K940" t="str">
        <f t="shared" si="43"/>
        <v>March</v>
      </c>
      <c r="L940" t="str">
        <f t="shared" si="44"/>
        <v>Q1</v>
      </c>
      <c r="M940">
        <f t="shared" si="42"/>
        <v>2022</v>
      </c>
      <c r="N940" t="s">
        <v>43</v>
      </c>
    </row>
    <row r="941" spans="1:14" ht="14.55" customHeight="1" x14ac:dyDescent="0.3">
      <c r="A941" s="1">
        <v>45046</v>
      </c>
      <c r="B941" t="s">
        <v>18</v>
      </c>
      <c r="C941" t="s">
        <v>21</v>
      </c>
      <c r="D941" t="s">
        <v>36</v>
      </c>
      <c r="E941">
        <v>50</v>
      </c>
      <c r="F941">
        <v>18531.939999999999</v>
      </c>
      <c r="G941" t="s">
        <v>12</v>
      </c>
      <c r="H941">
        <v>3</v>
      </c>
      <c r="I941">
        <v>10529.39</v>
      </c>
      <c r="J941">
        <v>8002.55</v>
      </c>
      <c r="K941" t="str">
        <f t="shared" si="43"/>
        <v>April</v>
      </c>
      <c r="L941" t="str">
        <f t="shared" si="44"/>
        <v>Q2</v>
      </c>
      <c r="M941">
        <f t="shared" si="42"/>
        <v>2023</v>
      </c>
      <c r="N941" t="s">
        <v>43</v>
      </c>
    </row>
    <row r="942" spans="1:14" ht="14.55" customHeight="1" x14ac:dyDescent="0.3">
      <c r="A942" s="1">
        <v>44614</v>
      </c>
      <c r="B942" t="s">
        <v>31</v>
      </c>
      <c r="C942" t="s">
        <v>21</v>
      </c>
      <c r="D942" t="s">
        <v>22</v>
      </c>
      <c r="E942">
        <v>2</v>
      </c>
      <c r="F942">
        <v>289.76</v>
      </c>
      <c r="G942" t="s">
        <v>20</v>
      </c>
      <c r="H942">
        <v>1</v>
      </c>
      <c r="I942">
        <v>236.38</v>
      </c>
      <c r="J942">
        <v>53.38</v>
      </c>
      <c r="K942" t="str">
        <f t="shared" si="43"/>
        <v>February</v>
      </c>
      <c r="L942" t="str">
        <f t="shared" si="44"/>
        <v>Q1</v>
      </c>
      <c r="M942">
        <f t="shared" si="42"/>
        <v>2022</v>
      </c>
      <c r="N942" t="s">
        <v>44</v>
      </c>
    </row>
    <row r="943" spans="1:14" ht="14.55" customHeight="1" x14ac:dyDescent="0.3">
      <c r="A943" s="1">
        <v>44992</v>
      </c>
      <c r="B943" t="s">
        <v>31</v>
      </c>
      <c r="C943" t="s">
        <v>10</v>
      </c>
      <c r="D943" t="s">
        <v>28</v>
      </c>
      <c r="E943">
        <v>24</v>
      </c>
      <c r="F943">
        <v>3500.77</v>
      </c>
      <c r="G943" t="s">
        <v>20</v>
      </c>
      <c r="H943">
        <v>3</v>
      </c>
      <c r="I943">
        <v>1485.09</v>
      </c>
      <c r="J943">
        <v>2015.68</v>
      </c>
      <c r="K943" t="str">
        <f t="shared" si="43"/>
        <v>March</v>
      </c>
      <c r="L943" t="str">
        <f t="shared" si="44"/>
        <v>Q1</v>
      </c>
      <c r="M943">
        <f t="shared" si="42"/>
        <v>2023</v>
      </c>
      <c r="N943" t="s">
        <v>43</v>
      </c>
    </row>
    <row r="944" spans="1:14" ht="14.55" customHeight="1" x14ac:dyDescent="0.3">
      <c r="A944" s="1">
        <v>45125</v>
      </c>
      <c r="B944" t="s">
        <v>18</v>
      </c>
      <c r="C944" t="s">
        <v>25</v>
      </c>
      <c r="D944" t="s">
        <v>39</v>
      </c>
      <c r="E944">
        <v>30</v>
      </c>
      <c r="F944">
        <v>11838.27</v>
      </c>
      <c r="G944" t="s">
        <v>12</v>
      </c>
      <c r="H944">
        <v>5</v>
      </c>
      <c r="I944">
        <v>3283.25</v>
      </c>
      <c r="J944">
        <v>8555.02</v>
      </c>
      <c r="K944" t="str">
        <f t="shared" si="43"/>
        <v>July</v>
      </c>
      <c r="L944" t="str">
        <f t="shared" si="44"/>
        <v>Q3</v>
      </c>
      <c r="M944">
        <f t="shared" si="42"/>
        <v>2023</v>
      </c>
      <c r="N944" t="s">
        <v>43</v>
      </c>
    </row>
    <row r="945" spans="1:14" ht="14.55" customHeight="1" x14ac:dyDescent="0.3">
      <c r="A945" s="1">
        <v>44996</v>
      </c>
      <c r="B945" t="s">
        <v>9</v>
      </c>
      <c r="C945" t="s">
        <v>10</v>
      </c>
      <c r="D945" t="s">
        <v>34</v>
      </c>
      <c r="E945">
        <v>37</v>
      </c>
      <c r="F945">
        <v>10984.7</v>
      </c>
      <c r="G945" t="s">
        <v>12</v>
      </c>
      <c r="H945">
        <v>5</v>
      </c>
      <c r="I945">
        <v>3288.73</v>
      </c>
      <c r="J945">
        <v>7695.97</v>
      </c>
      <c r="K945" t="str">
        <f t="shared" si="43"/>
        <v>March</v>
      </c>
      <c r="L945" t="str">
        <f t="shared" si="44"/>
        <v>Q1</v>
      </c>
      <c r="M945">
        <f t="shared" si="42"/>
        <v>2023</v>
      </c>
      <c r="N945" t="s">
        <v>43</v>
      </c>
    </row>
    <row r="946" spans="1:14" ht="14.55" customHeight="1" x14ac:dyDescent="0.3">
      <c r="A946" s="1">
        <v>44797</v>
      </c>
      <c r="B946" t="s">
        <v>31</v>
      </c>
      <c r="C946" t="s">
        <v>25</v>
      </c>
      <c r="D946" t="s">
        <v>30</v>
      </c>
      <c r="E946">
        <v>5</v>
      </c>
      <c r="F946">
        <v>2127.59</v>
      </c>
      <c r="G946" t="s">
        <v>12</v>
      </c>
      <c r="H946">
        <v>4</v>
      </c>
      <c r="I946">
        <v>668.81</v>
      </c>
      <c r="J946">
        <v>1458.78</v>
      </c>
      <c r="K946" t="str">
        <f t="shared" si="43"/>
        <v>August</v>
      </c>
      <c r="L946" t="str">
        <f t="shared" si="44"/>
        <v>Q3</v>
      </c>
      <c r="M946">
        <f t="shared" si="42"/>
        <v>2022</v>
      </c>
      <c r="N946" t="s">
        <v>44</v>
      </c>
    </row>
    <row r="947" spans="1:14" ht="14.55" customHeight="1" x14ac:dyDescent="0.3">
      <c r="A947" s="1">
        <v>44617</v>
      </c>
      <c r="B947" t="s">
        <v>9</v>
      </c>
      <c r="C947" t="s">
        <v>13</v>
      </c>
      <c r="D947" t="s">
        <v>40</v>
      </c>
      <c r="E947">
        <v>18</v>
      </c>
      <c r="F947">
        <v>4859.24</v>
      </c>
      <c r="G947" t="s">
        <v>20</v>
      </c>
      <c r="H947">
        <v>1</v>
      </c>
      <c r="I947">
        <v>3775.51</v>
      </c>
      <c r="J947">
        <v>1083.73</v>
      </c>
      <c r="K947" t="str">
        <f t="shared" si="43"/>
        <v>February</v>
      </c>
      <c r="L947" t="str">
        <f t="shared" si="44"/>
        <v>Q1</v>
      </c>
      <c r="M947">
        <f t="shared" si="42"/>
        <v>2022</v>
      </c>
      <c r="N947" t="s">
        <v>44</v>
      </c>
    </row>
    <row r="948" spans="1:14" ht="14.55" customHeight="1" x14ac:dyDescent="0.3">
      <c r="A948" s="1">
        <v>45083</v>
      </c>
      <c r="B948" t="s">
        <v>15</v>
      </c>
      <c r="C948" t="s">
        <v>10</v>
      </c>
      <c r="D948" t="s">
        <v>28</v>
      </c>
      <c r="E948">
        <v>21</v>
      </c>
      <c r="F948">
        <v>8031.07</v>
      </c>
      <c r="G948" t="s">
        <v>12</v>
      </c>
      <c r="H948">
        <v>5</v>
      </c>
      <c r="I948">
        <v>4080.54</v>
      </c>
      <c r="J948">
        <v>3950.53</v>
      </c>
      <c r="K948" t="str">
        <f t="shared" si="43"/>
        <v>June</v>
      </c>
      <c r="L948" t="str">
        <f t="shared" si="44"/>
        <v>Q2</v>
      </c>
      <c r="M948">
        <f t="shared" si="42"/>
        <v>2023</v>
      </c>
      <c r="N948" t="s">
        <v>44</v>
      </c>
    </row>
    <row r="949" spans="1:14" ht="14.55" customHeight="1" x14ac:dyDescent="0.3">
      <c r="A949" s="1">
        <v>45216</v>
      </c>
      <c r="B949" t="s">
        <v>23</v>
      </c>
      <c r="C949" t="s">
        <v>21</v>
      </c>
      <c r="D949" t="s">
        <v>36</v>
      </c>
      <c r="E949">
        <v>50</v>
      </c>
      <c r="F949">
        <v>18721.560000000001</v>
      </c>
      <c r="G949" t="s">
        <v>20</v>
      </c>
      <c r="H949">
        <v>1</v>
      </c>
      <c r="I949">
        <v>5150.8</v>
      </c>
      <c r="J949">
        <v>13570.76</v>
      </c>
      <c r="K949" t="str">
        <f t="shared" si="43"/>
        <v>October</v>
      </c>
      <c r="L949" t="str">
        <f t="shared" si="44"/>
        <v>Q4</v>
      </c>
      <c r="M949">
        <f t="shared" si="42"/>
        <v>2023</v>
      </c>
      <c r="N949" t="s">
        <v>46</v>
      </c>
    </row>
    <row r="950" spans="1:14" ht="14.55" customHeight="1" x14ac:dyDescent="0.3">
      <c r="A950" s="1">
        <v>44702</v>
      </c>
      <c r="B950" t="s">
        <v>31</v>
      </c>
      <c r="C950" t="s">
        <v>25</v>
      </c>
      <c r="D950" t="s">
        <v>39</v>
      </c>
      <c r="E950">
        <v>26</v>
      </c>
      <c r="F950">
        <v>3457.66</v>
      </c>
      <c r="G950" t="s">
        <v>20</v>
      </c>
      <c r="H950">
        <v>2</v>
      </c>
      <c r="I950">
        <v>3629.35</v>
      </c>
      <c r="J950">
        <v>-171.69</v>
      </c>
      <c r="K950" t="str">
        <f t="shared" si="43"/>
        <v>May</v>
      </c>
      <c r="L950" t="str">
        <f t="shared" si="44"/>
        <v>Q2</v>
      </c>
      <c r="M950">
        <f t="shared" si="42"/>
        <v>2022</v>
      </c>
      <c r="N950" t="s">
        <v>44</v>
      </c>
    </row>
    <row r="951" spans="1:14" ht="14.55" customHeight="1" x14ac:dyDescent="0.3">
      <c r="A951" s="1">
        <v>44802</v>
      </c>
      <c r="B951" t="s">
        <v>15</v>
      </c>
      <c r="C951" t="s">
        <v>25</v>
      </c>
      <c r="D951" t="s">
        <v>39</v>
      </c>
      <c r="E951">
        <v>50</v>
      </c>
      <c r="F951">
        <v>2705.41</v>
      </c>
      <c r="G951" t="s">
        <v>20</v>
      </c>
      <c r="H951">
        <v>4</v>
      </c>
      <c r="I951">
        <v>8924.89</v>
      </c>
      <c r="J951">
        <v>-6219.48</v>
      </c>
      <c r="K951" t="str">
        <f t="shared" si="43"/>
        <v>August</v>
      </c>
      <c r="L951" t="str">
        <f t="shared" si="44"/>
        <v>Q3</v>
      </c>
      <c r="M951">
        <f t="shared" si="42"/>
        <v>2022</v>
      </c>
      <c r="N951" t="s">
        <v>44</v>
      </c>
    </row>
    <row r="952" spans="1:14" ht="14.55" customHeight="1" x14ac:dyDescent="0.3">
      <c r="A952" s="1">
        <v>45021</v>
      </c>
      <c r="B952" t="s">
        <v>9</v>
      </c>
      <c r="C952" t="s">
        <v>21</v>
      </c>
      <c r="D952" t="s">
        <v>36</v>
      </c>
      <c r="E952">
        <v>17</v>
      </c>
      <c r="F952">
        <v>361.63</v>
      </c>
      <c r="G952" t="s">
        <v>12</v>
      </c>
      <c r="H952">
        <v>3</v>
      </c>
      <c r="I952">
        <v>801</v>
      </c>
      <c r="J952">
        <v>-439.37</v>
      </c>
      <c r="K952" t="str">
        <f t="shared" si="43"/>
        <v>April</v>
      </c>
      <c r="L952" t="str">
        <f t="shared" si="44"/>
        <v>Q2</v>
      </c>
      <c r="M952">
        <f t="shared" si="42"/>
        <v>2023</v>
      </c>
      <c r="N952" t="s">
        <v>43</v>
      </c>
    </row>
    <row r="953" spans="1:14" ht="14.55" customHeight="1" x14ac:dyDescent="0.3">
      <c r="A953" s="1">
        <v>45171</v>
      </c>
      <c r="B953" t="s">
        <v>9</v>
      </c>
      <c r="C953" t="s">
        <v>10</v>
      </c>
      <c r="D953" t="s">
        <v>35</v>
      </c>
      <c r="E953">
        <v>31</v>
      </c>
      <c r="F953">
        <v>799.14</v>
      </c>
      <c r="G953" t="s">
        <v>20</v>
      </c>
      <c r="H953">
        <v>2</v>
      </c>
      <c r="I953">
        <v>2445.5300000000002</v>
      </c>
      <c r="J953">
        <v>-1646.39</v>
      </c>
      <c r="K953" t="str">
        <f t="shared" si="43"/>
        <v>September</v>
      </c>
      <c r="L953" t="str">
        <f t="shared" si="44"/>
        <v>Q3</v>
      </c>
      <c r="M953">
        <f t="shared" si="42"/>
        <v>2023</v>
      </c>
      <c r="N953" t="s">
        <v>43</v>
      </c>
    </row>
    <row r="954" spans="1:14" ht="14.55" customHeight="1" x14ac:dyDescent="0.3">
      <c r="A954" s="1">
        <v>44764</v>
      </c>
      <c r="B954" t="s">
        <v>9</v>
      </c>
      <c r="C954" t="s">
        <v>21</v>
      </c>
      <c r="D954" t="s">
        <v>33</v>
      </c>
      <c r="E954">
        <v>47</v>
      </c>
      <c r="F954">
        <v>8911.2999999999993</v>
      </c>
      <c r="G954" t="s">
        <v>20</v>
      </c>
      <c r="H954">
        <v>4</v>
      </c>
      <c r="I954">
        <v>2659.1</v>
      </c>
      <c r="J954">
        <v>6252.2</v>
      </c>
      <c r="K954" t="str">
        <f t="shared" si="43"/>
        <v>July</v>
      </c>
      <c r="L954" t="str">
        <f t="shared" si="44"/>
        <v>Q3</v>
      </c>
      <c r="M954">
        <f t="shared" si="42"/>
        <v>2022</v>
      </c>
      <c r="N954" t="s">
        <v>46</v>
      </c>
    </row>
    <row r="955" spans="1:14" ht="14.55" customHeight="1" x14ac:dyDescent="0.3">
      <c r="A955" s="1">
        <v>45085</v>
      </c>
      <c r="B955" t="s">
        <v>23</v>
      </c>
      <c r="C955" t="s">
        <v>13</v>
      </c>
      <c r="D955" t="s">
        <v>19</v>
      </c>
      <c r="E955">
        <v>48</v>
      </c>
      <c r="F955">
        <v>12174.62</v>
      </c>
      <c r="G955" t="s">
        <v>20</v>
      </c>
      <c r="H955">
        <v>2</v>
      </c>
      <c r="I955">
        <v>11009.71</v>
      </c>
      <c r="J955">
        <v>1164.9100000000001</v>
      </c>
      <c r="K955" t="str">
        <f t="shared" si="43"/>
        <v>June</v>
      </c>
      <c r="L955" t="str">
        <f t="shared" si="44"/>
        <v>Q2</v>
      </c>
      <c r="M955">
        <f t="shared" si="42"/>
        <v>2023</v>
      </c>
      <c r="N955" t="s">
        <v>43</v>
      </c>
    </row>
    <row r="956" spans="1:14" ht="14.55" customHeight="1" x14ac:dyDescent="0.3">
      <c r="A956" s="1">
        <v>45283</v>
      </c>
      <c r="B956" t="s">
        <v>15</v>
      </c>
      <c r="C956" t="s">
        <v>25</v>
      </c>
      <c r="D956" t="s">
        <v>38</v>
      </c>
      <c r="E956">
        <v>23</v>
      </c>
      <c r="F956">
        <v>7173.66</v>
      </c>
      <c r="G956" t="s">
        <v>12</v>
      </c>
      <c r="H956">
        <v>4</v>
      </c>
      <c r="I956">
        <v>3691.26</v>
      </c>
      <c r="J956">
        <v>3482.4</v>
      </c>
      <c r="K956" t="str">
        <f t="shared" si="43"/>
        <v>December</v>
      </c>
      <c r="L956" t="str">
        <f t="shared" si="44"/>
        <v>Q4</v>
      </c>
      <c r="M956">
        <f t="shared" si="42"/>
        <v>2023</v>
      </c>
      <c r="N956" t="s">
        <v>43</v>
      </c>
    </row>
    <row r="957" spans="1:14" ht="14.55" customHeight="1" x14ac:dyDescent="0.3">
      <c r="A957" s="1">
        <v>45279</v>
      </c>
      <c r="B957" t="s">
        <v>31</v>
      </c>
      <c r="C957" t="s">
        <v>16</v>
      </c>
      <c r="D957" t="s">
        <v>17</v>
      </c>
      <c r="E957">
        <v>36</v>
      </c>
      <c r="F957">
        <v>3054.92</v>
      </c>
      <c r="G957" t="s">
        <v>12</v>
      </c>
      <c r="H957">
        <v>5</v>
      </c>
      <c r="I957">
        <v>1229.96</v>
      </c>
      <c r="J957">
        <v>1824.96</v>
      </c>
      <c r="K957" t="str">
        <f t="shared" si="43"/>
        <v>December</v>
      </c>
      <c r="L957" t="str">
        <f t="shared" si="44"/>
        <v>Q4</v>
      </c>
      <c r="M957">
        <f t="shared" si="42"/>
        <v>2023</v>
      </c>
      <c r="N957" t="s">
        <v>45</v>
      </c>
    </row>
    <row r="958" spans="1:14" ht="14.55" customHeight="1" x14ac:dyDescent="0.3">
      <c r="A958" s="1">
        <v>44696</v>
      </c>
      <c r="B958" t="s">
        <v>15</v>
      </c>
      <c r="C958" t="s">
        <v>10</v>
      </c>
      <c r="D958" t="s">
        <v>34</v>
      </c>
      <c r="E958">
        <v>4</v>
      </c>
      <c r="F958">
        <v>1811.89</v>
      </c>
      <c r="G958" t="s">
        <v>12</v>
      </c>
      <c r="H958">
        <v>3</v>
      </c>
      <c r="I958">
        <v>491.22</v>
      </c>
      <c r="J958">
        <v>1320.67</v>
      </c>
      <c r="K958" t="str">
        <f t="shared" si="43"/>
        <v>May</v>
      </c>
      <c r="L958" t="str">
        <f t="shared" si="44"/>
        <v>Q2</v>
      </c>
      <c r="M958">
        <f t="shared" si="42"/>
        <v>2022</v>
      </c>
      <c r="N958" t="s">
        <v>43</v>
      </c>
    </row>
    <row r="959" spans="1:14" ht="14.55" customHeight="1" x14ac:dyDescent="0.3">
      <c r="A959" s="1">
        <v>44721</v>
      </c>
      <c r="B959" t="s">
        <v>23</v>
      </c>
      <c r="C959" t="s">
        <v>21</v>
      </c>
      <c r="D959" t="s">
        <v>22</v>
      </c>
      <c r="E959">
        <v>40</v>
      </c>
      <c r="F959">
        <v>14788.91</v>
      </c>
      <c r="G959" t="s">
        <v>20</v>
      </c>
      <c r="H959">
        <v>5</v>
      </c>
      <c r="I959">
        <v>4741.84</v>
      </c>
      <c r="J959">
        <v>10047.07</v>
      </c>
      <c r="K959" t="str">
        <f t="shared" si="43"/>
        <v>June</v>
      </c>
      <c r="L959" t="str">
        <f t="shared" si="44"/>
        <v>Q2</v>
      </c>
      <c r="M959">
        <f t="shared" si="42"/>
        <v>2022</v>
      </c>
      <c r="N959" t="s">
        <v>43</v>
      </c>
    </row>
    <row r="960" spans="1:14" ht="14.55" customHeight="1" x14ac:dyDescent="0.3">
      <c r="A960" s="1">
        <v>45218</v>
      </c>
      <c r="B960" t="s">
        <v>31</v>
      </c>
      <c r="C960" t="s">
        <v>16</v>
      </c>
      <c r="D960" t="s">
        <v>17</v>
      </c>
      <c r="E960">
        <v>30</v>
      </c>
      <c r="F960">
        <v>4863.8900000000003</v>
      </c>
      <c r="G960" t="s">
        <v>12</v>
      </c>
      <c r="H960">
        <v>1</v>
      </c>
      <c r="I960">
        <v>7462.81</v>
      </c>
      <c r="J960">
        <v>-2598.92</v>
      </c>
      <c r="K960" t="str">
        <f t="shared" si="43"/>
        <v>October</v>
      </c>
      <c r="L960" t="str">
        <f t="shared" si="44"/>
        <v>Q4</v>
      </c>
      <c r="M960">
        <f t="shared" si="42"/>
        <v>2023</v>
      </c>
      <c r="N960" t="s">
        <v>43</v>
      </c>
    </row>
    <row r="961" spans="1:14" ht="14.55" customHeight="1" x14ac:dyDescent="0.3">
      <c r="A961" s="1">
        <v>45036</v>
      </c>
      <c r="B961" t="s">
        <v>31</v>
      </c>
      <c r="C961" t="s">
        <v>10</v>
      </c>
      <c r="D961" t="s">
        <v>35</v>
      </c>
      <c r="E961">
        <v>7</v>
      </c>
      <c r="F961">
        <v>138.47999999999999</v>
      </c>
      <c r="G961" t="s">
        <v>12</v>
      </c>
      <c r="H961">
        <v>1</v>
      </c>
      <c r="I961">
        <v>966.54</v>
      </c>
      <c r="J961">
        <v>-828.06</v>
      </c>
      <c r="K961" t="str">
        <f t="shared" si="43"/>
        <v>April</v>
      </c>
      <c r="L961" t="str">
        <f t="shared" si="44"/>
        <v>Q2</v>
      </c>
      <c r="M961">
        <f t="shared" si="42"/>
        <v>2023</v>
      </c>
      <c r="N961" t="s">
        <v>43</v>
      </c>
    </row>
    <row r="962" spans="1:14" ht="14.55" customHeight="1" x14ac:dyDescent="0.3">
      <c r="A962" s="1">
        <v>44815</v>
      </c>
      <c r="B962" t="s">
        <v>15</v>
      </c>
      <c r="C962" t="s">
        <v>21</v>
      </c>
      <c r="D962" t="s">
        <v>32</v>
      </c>
      <c r="E962">
        <v>3</v>
      </c>
      <c r="F962">
        <v>721.01</v>
      </c>
      <c r="G962" t="s">
        <v>20</v>
      </c>
      <c r="H962">
        <v>2</v>
      </c>
      <c r="I962">
        <v>229.03</v>
      </c>
      <c r="J962">
        <v>491.98</v>
      </c>
      <c r="K962" t="str">
        <f t="shared" si="43"/>
        <v>September</v>
      </c>
      <c r="L962" t="str">
        <f t="shared" si="44"/>
        <v>Q3</v>
      </c>
      <c r="M962">
        <f t="shared" ref="M962:M1025" si="45">YEAR(A962)</f>
        <v>2022</v>
      </c>
      <c r="N962" t="s">
        <v>45</v>
      </c>
    </row>
    <row r="963" spans="1:14" ht="14.55" customHeight="1" x14ac:dyDescent="0.3">
      <c r="A963" s="1">
        <v>44718</v>
      </c>
      <c r="B963" t="s">
        <v>9</v>
      </c>
      <c r="C963" t="s">
        <v>13</v>
      </c>
      <c r="D963" t="s">
        <v>14</v>
      </c>
      <c r="E963">
        <v>40</v>
      </c>
      <c r="F963">
        <v>3910.25</v>
      </c>
      <c r="G963" t="s">
        <v>20</v>
      </c>
      <c r="H963">
        <v>1</v>
      </c>
      <c r="I963">
        <v>5235.21</v>
      </c>
      <c r="J963">
        <v>-1324.96</v>
      </c>
      <c r="K963" t="str">
        <f t="shared" ref="K963:K1026" si="46">TEXT(A963,"mmmm")</f>
        <v>June</v>
      </c>
      <c r="L963" t="str">
        <f t="shared" ref="L963:L1026" si="47">"Q"&amp;INT((MONTH(A963)-1)/3)+1</f>
        <v>Q2</v>
      </c>
      <c r="M963">
        <f t="shared" si="45"/>
        <v>2022</v>
      </c>
      <c r="N963" t="s">
        <v>46</v>
      </c>
    </row>
    <row r="964" spans="1:14" ht="14.55" customHeight="1" x14ac:dyDescent="0.3">
      <c r="A964" s="1">
        <v>44583</v>
      </c>
      <c r="B964" t="s">
        <v>31</v>
      </c>
      <c r="C964" t="s">
        <v>16</v>
      </c>
      <c r="D964" t="s">
        <v>24</v>
      </c>
      <c r="E964">
        <v>23</v>
      </c>
      <c r="F964">
        <v>6697.08</v>
      </c>
      <c r="G964" t="s">
        <v>20</v>
      </c>
      <c r="H964">
        <v>2</v>
      </c>
      <c r="I964">
        <v>2214.31</v>
      </c>
      <c r="J964">
        <v>4482.7700000000004</v>
      </c>
      <c r="K964" t="str">
        <f t="shared" si="46"/>
        <v>January</v>
      </c>
      <c r="L964" t="str">
        <f t="shared" si="47"/>
        <v>Q1</v>
      </c>
      <c r="M964">
        <f t="shared" si="45"/>
        <v>2022</v>
      </c>
      <c r="N964" t="s">
        <v>46</v>
      </c>
    </row>
    <row r="965" spans="1:14" ht="14.55" customHeight="1" x14ac:dyDescent="0.3">
      <c r="A965" s="1">
        <v>44627</v>
      </c>
      <c r="B965" t="s">
        <v>9</v>
      </c>
      <c r="C965" t="s">
        <v>10</v>
      </c>
      <c r="D965" t="s">
        <v>35</v>
      </c>
      <c r="E965">
        <v>25</v>
      </c>
      <c r="F965">
        <v>10356.08</v>
      </c>
      <c r="G965" t="s">
        <v>20</v>
      </c>
      <c r="H965">
        <v>2</v>
      </c>
      <c r="I965">
        <v>1793.65</v>
      </c>
      <c r="J965">
        <v>8562.43</v>
      </c>
      <c r="K965" t="str">
        <f t="shared" si="46"/>
        <v>March</v>
      </c>
      <c r="L965" t="str">
        <f t="shared" si="47"/>
        <v>Q1</v>
      </c>
      <c r="M965">
        <f t="shared" si="45"/>
        <v>2022</v>
      </c>
      <c r="N965" t="s">
        <v>46</v>
      </c>
    </row>
    <row r="966" spans="1:14" ht="14.55" customHeight="1" x14ac:dyDescent="0.3">
      <c r="A966" s="1">
        <v>45164</v>
      </c>
      <c r="B966" t="s">
        <v>9</v>
      </c>
      <c r="C966" t="s">
        <v>13</v>
      </c>
      <c r="D966" t="s">
        <v>19</v>
      </c>
      <c r="E966">
        <v>39</v>
      </c>
      <c r="F966">
        <v>5627.53</v>
      </c>
      <c r="G966" t="s">
        <v>20</v>
      </c>
      <c r="H966">
        <v>2</v>
      </c>
      <c r="I966">
        <v>768.93</v>
      </c>
      <c r="J966">
        <v>4858.6000000000004</v>
      </c>
      <c r="K966" t="str">
        <f t="shared" si="46"/>
        <v>August</v>
      </c>
      <c r="L966" t="str">
        <f t="shared" si="47"/>
        <v>Q3</v>
      </c>
      <c r="M966">
        <f t="shared" si="45"/>
        <v>2023</v>
      </c>
      <c r="N966" t="s">
        <v>43</v>
      </c>
    </row>
    <row r="967" spans="1:14" ht="14.55" customHeight="1" x14ac:dyDescent="0.3">
      <c r="A967" s="1">
        <v>45176</v>
      </c>
      <c r="B967" t="s">
        <v>9</v>
      </c>
      <c r="C967" t="s">
        <v>25</v>
      </c>
      <c r="D967" t="s">
        <v>39</v>
      </c>
      <c r="E967">
        <v>31</v>
      </c>
      <c r="F967">
        <v>3498.41</v>
      </c>
      <c r="G967" t="s">
        <v>12</v>
      </c>
      <c r="H967">
        <v>4</v>
      </c>
      <c r="I967">
        <v>3798.96</v>
      </c>
      <c r="J967">
        <v>-300.55</v>
      </c>
      <c r="K967" t="str">
        <f t="shared" si="46"/>
        <v>September</v>
      </c>
      <c r="L967" t="str">
        <f t="shared" si="47"/>
        <v>Q3</v>
      </c>
      <c r="M967">
        <f t="shared" si="45"/>
        <v>2023</v>
      </c>
      <c r="N967" t="s">
        <v>46</v>
      </c>
    </row>
    <row r="968" spans="1:14" ht="14.55" customHeight="1" x14ac:dyDescent="0.3">
      <c r="A968" s="1">
        <v>44714</v>
      </c>
      <c r="B968" t="s">
        <v>18</v>
      </c>
      <c r="C968" t="s">
        <v>13</v>
      </c>
      <c r="D968" t="s">
        <v>29</v>
      </c>
      <c r="E968">
        <v>47</v>
      </c>
      <c r="F968">
        <v>4267.21</v>
      </c>
      <c r="G968" t="s">
        <v>20</v>
      </c>
      <c r="H968">
        <v>2</v>
      </c>
      <c r="I968">
        <v>10256.59</v>
      </c>
      <c r="J968">
        <v>-5989.38</v>
      </c>
      <c r="K968" t="str">
        <f t="shared" si="46"/>
        <v>June</v>
      </c>
      <c r="L968" t="str">
        <f t="shared" si="47"/>
        <v>Q2</v>
      </c>
      <c r="M968">
        <f t="shared" si="45"/>
        <v>2022</v>
      </c>
      <c r="N968" t="s">
        <v>43</v>
      </c>
    </row>
    <row r="969" spans="1:14" ht="14.55" customHeight="1" x14ac:dyDescent="0.3">
      <c r="A969" s="1">
        <v>45069</v>
      </c>
      <c r="B969" t="s">
        <v>31</v>
      </c>
      <c r="C969" t="s">
        <v>21</v>
      </c>
      <c r="D969" t="s">
        <v>36</v>
      </c>
      <c r="E969">
        <v>30</v>
      </c>
      <c r="F969">
        <v>14753.36</v>
      </c>
      <c r="G969" t="s">
        <v>20</v>
      </c>
      <c r="H969">
        <v>3</v>
      </c>
      <c r="I969">
        <v>4201.8900000000003</v>
      </c>
      <c r="J969">
        <v>10551.47</v>
      </c>
      <c r="K969" t="str">
        <f t="shared" si="46"/>
        <v>May</v>
      </c>
      <c r="L969" t="str">
        <f t="shared" si="47"/>
        <v>Q2</v>
      </c>
      <c r="M969">
        <f t="shared" si="45"/>
        <v>2023</v>
      </c>
      <c r="N969" t="s">
        <v>45</v>
      </c>
    </row>
    <row r="970" spans="1:14" ht="14.55" customHeight="1" x14ac:dyDescent="0.3">
      <c r="A970" s="1">
        <v>44978</v>
      </c>
      <c r="B970" t="s">
        <v>18</v>
      </c>
      <c r="C970" t="s">
        <v>16</v>
      </c>
      <c r="D970" t="s">
        <v>37</v>
      </c>
      <c r="E970">
        <v>42</v>
      </c>
      <c r="F970">
        <v>19058.66</v>
      </c>
      <c r="G970" t="s">
        <v>20</v>
      </c>
      <c r="H970">
        <v>2</v>
      </c>
      <c r="I970">
        <v>265.3</v>
      </c>
      <c r="J970">
        <v>18793.36</v>
      </c>
      <c r="K970" t="str">
        <f t="shared" si="46"/>
        <v>February</v>
      </c>
      <c r="L970" t="str">
        <f t="shared" si="47"/>
        <v>Q1</v>
      </c>
      <c r="M970">
        <f t="shared" si="45"/>
        <v>2023</v>
      </c>
      <c r="N970" t="s">
        <v>43</v>
      </c>
    </row>
    <row r="971" spans="1:14" ht="14.55" customHeight="1" x14ac:dyDescent="0.3">
      <c r="A971" s="1">
        <v>44670</v>
      </c>
      <c r="B971" t="s">
        <v>15</v>
      </c>
      <c r="C971" t="s">
        <v>13</v>
      </c>
      <c r="D971" t="s">
        <v>14</v>
      </c>
      <c r="E971">
        <v>31</v>
      </c>
      <c r="F971">
        <v>13350.77</v>
      </c>
      <c r="G971" t="s">
        <v>20</v>
      </c>
      <c r="H971">
        <v>3</v>
      </c>
      <c r="I971">
        <v>3375.31</v>
      </c>
      <c r="J971">
        <v>9975.4599999999991</v>
      </c>
      <c r="K971" t="str">
        <f t="shared" si="46"/>
        <v>April</v>
      </c>
      <c r="L971" t="str">
        <f t="shared" si="47"/>
        <v>Q2</v>
      </c>
      <c r="M971">
        <f t="shared" si="45"/>
        <v>2022</v>
      </c>
      <c r="N971" t="s">
        <v>43</v>
      </c>
    </row>
    <row r="972" spans="1:14" ht="14.55" customHeight="1" x14ac:dyDescent="0.3">
      <c r="A972" s="1">
        <v>45058</v>
      </c>
      <c r="B972" t="s">
        <v>15</v>
      </c>
      <c r="C972" t="s">
        <v>13</v>
      </c>
      <c r="D972" t="s">
        <v>40</v>
      </c>
      <c r="E972">
        <v>16</v>
      </c>
      <c r="F972">
        <v>4442.4399999999996</v>
      </c>
      <c r="G972" t="s">
        <v>20</v>
      </c>
      <c r="H972">
        <v>5</v>
      </c>
      <c r="I972">
        <v>1792.94</v>
      </c>
      <c r="J972">
        <v>2649.5</v>
      </c>
      <c r="K972" t="str">
        <f t="shared" si="46"/>
        <v>May</v>
      </c>
      <c r="L972" t="str">
        <f t="shared" si="47"/>
        <v>Q2</v>
      </c>
      <c r="M972">
        <f t="shared" si="45"/>
        <v>2023</v>
      </c>
      <c r="N972" t="s">
        <v>43</v>
      </c>
    </row>
    <row r="973" spans="1:14" ht="14.55" customHeight="1" x14ac:dyDescent="0.3">
      <c r="A973" s="1">
        <v>44614</v>
      </c>
      <c r="B973" t="s">
        <v>23</v>
      </c>
      <c r="C973" t="s">
        <v>25</v>
      </c>
      <c r="D973" t="s">
        <v>38</v>
      </c>
      <c r="E973">
        <v>49</v>
      </c>
      <c r="F973">
        <v>23633.39</v>
      </c>
      <c r="G973" t="s">
        <v>20</v>
      </c>
      <c r="H973">
        <v>1</v>
      </c>
      <c r="I973">
        <v>2516.1</v>
      </c>
      <c r="J973">
        <v>21117.29</v>
      </c>
      <c r="K973" t="str">
        <f t="shared" si="46"/>
        <v>February</v>
      </c>
      <c r="L973" t="str">
        <f t="shared" si="47"/>
        <v>Q1</v>
      </c>
      <c r="M973">
        <f t="shared" si="45"/>
        <v>2022</v>
      </c>
      <c r="N973" t="s">
        <v>43</v>
      </c>
    </row>
    <row r="974" spans="1:14" ht="14.55" customHeight="1" x14ac:dyDescent="0.3">
      <c r="A974" s="1">
        <v>45240</v>
      </c>
      <c r="B974" t="s">
        <v>9</v>
      </c>
      <c r="C974" t="s">
        <v>21</v>
      </c>
      <c r="D974" t="s">
        <v>33</v>
      </c>
      <c r="E974">
        <v>2</v>
      </c>
      <c r="F974">
        <v>82.07</v>
      </c>
      <c r="G974" t="s">
        <v>20</v>
      </c>
      <c r="H974">
        <v>3</v>
      </c>
      <c r="I974">
        <v>473.59</v>
      </c>
      <c r="J974">
        <v>-391.52</v>
      </c>
      <c r="K974" t="str">
        <f t="shared" si="46"/>
        <v>November</v>
      </c>
      <c r="L974" t="str">
        <f t="shared" si="47"/>
        <v>Q4</v>
      </c>
      <c r="M974">
        <f t="shared" si="45"/>
        <v>2023</v>
      </c>
      <c r="N974" t="s">
        <v>46</v>
      </c>
    </row>
    <row r="975" spans="1:14" ht="14.55" customHeight="1" x14ac:dyDescent="0.3">
      <c r="A975" s="1">
        <v>44891</v>
      </c>
      <c r="B975" t="s">
        <v>9</v>
      </c>
      <c r="C975" t="s">
        <v>25</v>
      </c>
      <c r="D975" t="s">
        <v>39</v>
      </c>
      <c r="E975">
        <v>27</v>
      </c>
      <c r="F975">
        <v>7702.07</v>
      </c>
      <c r="G975" t="s">
        <v>20</v>
      </c>
      <c r="H975">
        <v>4</v>
      </c>
      <c r="I975">
        <v>3624</v>
      </c>
      <c r="J975">
        <v>4078.07</v>
      </c>
      <c r="K975" t="str">
        <f t="shared" si="46"/>
        <v>November</v>
      </c>
      <c r="L975" t="str">
        <f t="shared" si="47"/>
        <v>Q4</v>
      </c>
      <c r="M975">
        <f t="shared" si="45"/>
        <v>2022</v>
      </c>
      <c r="N975" t="s">
        <v>46</v>
      </c>
    </row>
    <row r="976" spans="1:14" ht="14.55" customHeight="1" x14ac:dyDescent="0.3">
      <c r="A976" s="1">
        <v>44681</v>
      </c>
      <c r="B976" t="s">
        <v>9</v>
      </c>
      <c r="C976" t="s">
        <v>16</v>
      </c>
      <c r="D976" t="s">
        <v>24</v>
      </c>
      <c r="E976">
        <v>4</v>
      </c>
      <c r="F976">
        <v>1268.6500000000001</v>
      </c>
      <c r="G976" t="s">
        <v>20</v>
      </c>
      <c r="H976">
        <v>1</v>
      </c>
      <c r="I976">
        <v>985.95</v>
      </c>
      <c r="J976">
        <v>282.7</v>
      </c>
      <c r="K976" t="str">
        <f t="shared" si="46"/>
        <v>April</v>
      </c>
      <c r="L976" t="str">
        <f t="shared" si="47"/>
        <v>Q2</v>
      </c>
      <c r="M976">
        <f t="shared" si="45"/>
        <v>2022</v>
      </c>
      <c r="N976" t="s">
        <v>44</v>
      </c>
    </row>
    <row r="977" spans="1:14" ht="14.55" customHeight="1" x14ac:dyDescent="0.3">
      <c r="A977" s="1">
        <v>45133</v>
      </c>
      <c r="B977" t="s">
        <v>18</v>
      </c>
      <c r="C977" t="s">
        <v>10</v>
      </c>
      <c r="D977" t="s">
        <v>11</v>
      </c>
      <c r="E977">
        <v>23</v>
      </c>
      <c r="F977">
        <v>5752.08</v>
      </c>
      <c r="G977" t="s">
        <v>12</v>
      </c>
      <c r="H977">
        <v>1</v>
      </c>
      <c r="I977">
        <v>5169.25</v>
      </c>
      <c r="J977">
        <v>582.83000000000004</v>
      </c>
      <c r="K977" t="str">
        <f t="shared" si="46"/>
        <v>July</v>
      </c>
      <c r="L977" t="str">
        <f t="shared" si="47"/>
        <v>Q3</v>
      </c>
      <c r="M977">
        <f t="shared" si="45"/>
        <v>2023</v>
      </c>
      <c r="N977" t="s">
        <v>44</v>
      </c>
    </row>
    <row r="978" spans="1:14" ht="14.55" customHeight="1" x14ac:dyDescent="0.3">
      <c r="A978" s="1">
        <v>45196</v>
      </c>
      <c r="B978" t="s">
        <v>9</v>
      </c>
      <c r="C978" t="s">
        <v>25</v>
      </c>
      <c r="D978" t="s">
        <v>39</v>
      </c>
      <c r="E978">
        <v>20</v>
      </c>
      <c r="F978">
        <v>6549.89</v>
      </c>
      <c r="G978" t="s">
        <v>20</v>
      </c>
      <c r="H978">
        <v>3</v>
      </c>
      <c r="I978">
        <v>3335.03</v>
      </c>
      <c r="J978">
        <v>3214.86</v>
      </c>
      <c r="K978" t="str">
        <f t="shared" si="46"/>
        <v>September</v>
      </c>
      <c r="L978" t="str">
        <f t="shared" si="47"/>
        <v>Q3</v>
      </c>
      <c r="M978">
        <f t="shared" si="45"/>
        <v>2023</v>
      </c>
      <c r="N978" t="s">
        <v>44</v>
      </c>
    </row>
    <row r="979" spans="1:14" ht="14.55" customHeight="1" x14ac:dyDescent="0.3">
      <c r="A979" s="1">
        <v>44716</v>
      </c>
      <c r="B979" t="s">
        <v>23</v>
      </c>
      <c r="C979" t="s">
        <v>10</v>
      </c>
      <c r="D979" t="s">
        <v>28</v>
      </c>
      <c r="E979">
        <v>28</v>
      </c>
      <c r="F979">
        <v>10397.34</v>
      </c>
      <c r="G979" t="s">
        <v>20</v>
      </c>
      <c r="H979">
        <v>5</v>
      </c>
      <c r="I979">
        <v>5807.82</v>
      </c>
      <c r="J979">
        <v>4589.5200000000004</v>
      </c>
      <c r="K979" t="str">
        <f t="shared" si="46"/>
        <v>June</v>
      </c>
      <c r="L979" t="str">
        <f t="shared" si="47"/>
        <v>Q2</v>
      </c>
      <c r="M979">
        <f t="shared" si="45"/>
        <v>2022</v>
      </c>
      <c r="N979" t="s">
        <v>46</v>
      </c>
    </row>
    <row r="980" spans="1:14" ht="14.55" customHeight="1" x14ac:dyDescent="0.3">
      <c r="A980" s="1">
        <v>44657</v>
      </c>
      <c r="B980" t="s">
        <v>23</v>
      </c>
      <c r="C980" t="s">
        <v>10</v>
      </c>
      <c r="D980" t="s">
        <v>34</v>
      </c>
      <c r="E980">
        <v>28</v>
      </c>
      <c r="F980">
        <v>11714.86</v>
      </c>
      <c r="G980" t="s">
        <v>20</v>
      </c>
      <c r="H980">
        <v>2</v>
      </c>
      <c r="I980">
        <v>4487.0600000000004</v>
      </c>
      <c r="J980">
        <v>7227.8</v>
      </c>
      <c r="K980" t="str">
        <f t="shared" si="46"/>
        <v>April</v>
      </c>
      <c r="L980" t="str">
        <f t="shared" si="47"/>
        <v>Q2</v>
      </c>
      <c r="M980">
        <f t="shared" si="45"/>
        <v>2022</v>
      </c>
      <c r="N980" t="s">
        <v>45</v>
      </c>
    </row>
    <row r="981" spans="1:14" ht="14.55" customHeight="1" x14ac:dyDescent="0.3">
      <c r="A981" s="1">
        <v>44848</v>
      </c>
      <c r="B981" t="s">
        <v>23</v>
      </c>
      <c r="C981" t="s">
        <v>10</v>
      </c>
      <c r="D981" t="s">
        <v>11</v>
      </c>
      <c r="E981">
        <v>18</v>
      </c>
      <c r="F981">
        <v>7868.81</v>
      </c>
      <c r="G981" t="s">
        <v>20</v>
      </c>
      <c r="H981">
        <v>5</v>
      </c>
      <c r="I981">
        <v>4352.1499999999996</v>
      </c>
      <c r="J981">
        <v>3516.66</v>
      </c>
      <c r="K981" t="str">
        <f t="shared" si="46"/>
        <v>October</v>
      </c>
      <c r="L981" t="str">
        <f t="shared" si="47"/>
        <v>Q4</v>
      </c>
      <c r="M981">
        <f t="shared" si="45"/>
        <v>2022</v>
      </c>
      <c r="N981" t="s">
        <v>43</v>
      </c>
    </row>
    <row r="982" spans="1:14" ht="14.55" customHeight="1" x14ac:dyDescent="0.3">
      <c r="A982" s="1">
        <v>44982</v>
      </c>
      <c r="B982" t="s">
        <v>9</v>
      </c>
      <c r="C982" t="s">
        <v>16</v>
      </c>
      <c r="D982" t="s">
        <v>27</v>
      </c>
      <c r="E982">
        <v>19</v>
      </c>
      <c r="F982">
        <v>7308.82</v>
      </c>
      <c r="G982" t="s">
        <v>12</v>
      </c>
      <c r="H982">
        <v>4</v>
      </c>
      <c r="I982">
        <v>4636.97</v>
      </c>
      <c r="J982">
        <v>2671.85</v>
      </c>
      <c r="K982" t="str">
        <f t="shared" si="46"/>
        <v>February</v>
      </c>
      <c r="L982" t="str">
        <f t="shared" si="47"/>
        <v>Q1</v>
      </c>
      <c r="M982">
        <f t="shared" si="45"/>
        <v>2023</v>
      </c>
      <c r="N982" t="s">
        <v>44</v>
      </c>
    </row>
    <row r="983" spans="1:14" ht="14.55" customHeight="1" x14ac:dyDescent="0.3">
      <c r="A983" s="1">
        <v>44878</v>
      </c>
      <c r="B983" t="s">
        <v>31</v>
      </c>
      <c r="C983" t="s">
        <v>25</v>
      </c>
      <c r="D983" t="s">
        <v>39</v>
      </c>
      <c r="E983">
        <v>5</v>
      </c>
      <c r="F983">
        <v>2489.7199999999998</v>
      </c>
      <c r="G983" t="s">
        <v>20</v>
      </c>
      <c r="H983">
        <v>3</v>
      </c>
      <c r="I983">
        <v>994.17</v>
      </c>
      <c r="J983">
        <v>1495.55</v>
      </c>
      <c r="K983" t="str">
        <f t="shared" si="46"/>
        <v>November</v>
      </c>
      <c r="L983" t="str">
        <f t="shared" si="47"/>
        <v>Q4</v>
      </c>
      <c r="M983">
        <f t="shared" si="45"/>
        <v>2022</v>
      </c>
      <c r="N983" t="s">
        <v>44</v>
      </c>
    </row>
    <row r="984" spans="1:14" ht="14.55" customHeight="1" x14ac:dyDescent="0.3">
      <c r="A984" s="1">
        <v>44904</v>
      </c>
      <c r="B984" t="s">
        <v>9</v>
      </c>
      <c r="C984" t="s">
        <v>10</v>
      </c>
      <c r="D984" t="s">
        <v>35</v>
      </c>
      <c r="E984">
        <v>33</v>
      </c>
      <c r="F984">
        <v>11721.75</v>
      </c>
      <c r="G984" t="s">
        <v>12</v>
      </c>
      <c r="H984">
        <v>4</v>
      </c>
      <c r="I984">
        <v>3380.36</v>
      </c>
      <c r="J984">
        <v>8341.39</v>
      </c>
      <c r="K984" t="str">
        <f t="shared" si="46"/>
        <v>December</v>
      </c>
      <c r="L984" t="str">
        <f t="shared" si="47"/>
        <v>Q4</v>
      </c>
      <c r="M984">
        <f t="shared" si="45"/>
        <v>2022</v>
      </c>
      <c r="N984" t="s">
        <v>44</v>
      </c>
    </row>
    <row r="985" spans="1:14" ht="14.55" customHeight="1" x14ac:dyDescent="0.3">
      <c r="A985" s="1">
        <v>44869</v>
      </c>
      <c r="B985" t="s">
        <v>15</v>
      </c>
      <c r="C985" t="s">
        <v>25</v>
      </c>
      <c r="D985" t="s">
        <v>38</v>
      </c>
      <c r="E985">
        <v>20</v>
      </c>
      <c r="F985">
        <v>7175.33</v>
      </c>
      <c r="G985" t="s">
        <v>12</v>
      </c>
      <c r="H985">
        <v>2</v>
      </c>
      <c r="I985">
        <v>1863.28</v>
      </c>
      <c r="J985">
        <v>5312.05</v>
      </c>
      <c r="K985" t="str">
        <f t="shared" si="46"/>
        <v>November</v>
      </c>
      <c r="L985" t="str">
        <f t="shared" si="47"/>
        <v>Q4</v>
      </c>
      <c r="M985">
        <f t="shared" si="45"/>
        <v>2022</v>
      </c>
      <c r="N985" t="s">
        <v>44</v>
      </c>
    </row>
    <row r="986" spans="1:14" ht="14.55" customHeight="1" x14ac:dyDescent="0.3">
      <c r="A986" s="1">
        <v>44780</v>
      </c>
      <c r="B986" t="s">
        <v>18</v>
      </c>
      <c r="C986" t="s">
        <v>16</v>
      </c>
      <c r="D986" t="s">
        <v>17</v>
      </c>
      <c r="E986">
        <v>1</v>
      </c>
      <c r="F986">
        <v>111.56</v>
      </c>
      <c r="G986" t="s">
        <v>20</v>
      </c>
      <c r="H986">
        <v>2</v>
      </c>
      <c r="I986">
        <v>63.34</v>
      </c>
      <c r="J986">
        <v>48.22</v>
      </c>
      <c r="K986" t="str">
        <f t="shared" si="46"/>
        <v>August</v>
      </c>
      <c r="L986" t="str">
        <f t="shared" si="47"/>
        <v>Q3</v>
      </c>
      <c r="M986">
        <f t="shared" si="45"/>
        <v>2022</v>
      </c>
      <c r="N986" t="s">
        <v>44</v>
      </c>
    </row>
    <row r="987" spans="1:14" ht="14.55" customHeight="1" x14ac:dyDescent="0.3">
      <c r="A987" s="1">
        <v>44881</v>
      </c>
      <c r="B987" t="s">
        <v>9</v>
      </c>
      <c r="C987" t="s">
        <v>10</v>
      </c>
      <c r="D987" t="s">
        <v>34</v>
      </c>
      <c r="E987">
        <v>38</v>
      </c>
      <c r="F987">
        <v>15792.22</v>
      </c>
      <c r="G987" t="s">
        <v>12</v>
      </c>
      <c r="H987">
        <v>4</v>
      </c>
      <c r="I987">
        <v>6138.79</v>
      </c>
      <c r="J987">
        <v>9653.43</v>
      </c>
      <c r="K987" t="str">
        <f t="shared" si="46"/>
        <v>November</v>
      </c>
      <c r="L987" t="str">
        <f t="shared" si="47"/>
        <v>Q4</v>
      </c>
      <c r="M987">
        <f t="shared" si="45"/>
        <v>2022</v>
      </c>
      <c r="N987" t="s">
        <v>46</v>
      </c>
    </row>
    <row r="988" spans="1:14" ht="14.55" customHeight="1" x14ac:dyDescent="0.3">
      <c r="A988" s="1">
        <v>45160</v>
      </c>
      <c r="B988" t="s">
        <v>18</v>
      </c>
      <c r="C988" t="s">
        <v>16</v>
      </c>
      <c r="D988" t="s">
        <v>24</v>
      </c>
      <c r="E988">
        <v>43</v>
      </c>
      <c r="F988">
        <v>9805.51</v>
      </c>
      <c r="G988" t="s">
        <v>20</v>
      </c>
      <c r="H988">
        <v>2</v>
      </c>
      <c r="I988">
        <v>4372.26</v>
      </c>
      <c r="J988">
        <v>5433.25</v>
      </c>
      <c r="K988" t="str">
        <f t="shared" si="46"/>
        <v>August</v>
      </c>
      <c r="L988" t="str">
        <f t="shared" si="47"/>
        <v>Q3</v>
      </c>
      <c r="M988">
        <f t="shared" si="45"/>
        <v>2023</v>
      </c>
      <c r="N988" t="s">
        <v>44</v>
      </c>
    </row>
    <row r="989" spans="1:14" ht="14.55" customHeight="1" x14ac:dyDescent="0.3">
      <c r="A989" s="1">
        <v>44979</v>
      </c>
      <c r="B989" t="s">
        <v>9</v>
      </c>
      <c r="C989" t="s">
        <v>16</v>
      </c>
      <c r="D989" t="s">
        <v>17</v>
      </c>
      <c r="E989">
        <v>5</v>
      </c>
      <c r="F989">
        <v>1089.02</v>
      </c>
      <c r="G989" t="s">
        <v>12</v>
      </c>
      <c r="H989">
        <v>5</v>
      </c>
      <c r="I989">
        <v>1249.1099999999999</v>
      </c>
      <c r="J989">
        <v>-160.09</v>
      </c>
      <c r="K989" t="str">
        <f t="shared" si="46"/>
        <v>February</v>
      </c>
      <c r="L989" t="str">
        <f t="shared" si="47"/>
        <v>Q1</v>
      </c>
      <c r="M989">
        <f t="shared" si="45"/>
        <v>2023</v>
      </c>
      <c r="N989" t="s">
        <v>44</v>
      </c>
    </row>
    <row r="990" spans="1:14" ht="14.55" customHeight="1" x14ac:dyDescent="0.3">
      <c r="A990" s="1">
        <v>44577</v>
      </c>
      <c r="B990" t="s">
        <v>15</v>
      </c>
      <c r="C990" t="s">
        <v>21</v>
      </c>
      <c r="D990" t="s">
        <v>32</v>
      </c>
      <c r="E990">
        <v>25</v>
      </c>
      <c r="F990">
        <v>5042.28</v>
      </c>
      <c r="G990" t="s">
        <v>20</v>
      </c>
      <c r="H990">
        <v>1</v>
      </c>
      <c r="I990">
        <v>5420.93</v>
      </c>
      <c r="J990">
        <v>-378.65</v>
      </c>
      <c r="K990" t="str">
        <f t="shared" si="46"/>
        <v>January</v>
      </c>
      <c r="L990" t="str">
        <f t="shared" si="47"/>
        <v>Q1</v>
      </c>
      <c r="M990">
        <f t="shared" si="45"/>
        <v>2022</v>
      </c>
      <c r="N990" t="s">
        <v>46</v>
      </c>
    </row>
    <row r="991" spans="1:14" ht="14.55" customHeight="1" x14ac:dyDescent="0.3">
      <c r="A991" s="1">
        <v>45169</v>
      </c>
      <c r="B991" t="s">
        <v>15</v>
      </c>
      <c r="C991" t="s">
        <v>10</v>
      </c>
      <c r="D991" t="s">
        <v>35</v>
      </c>
      <c r="E991">
        <v>23</v>
      </c>
      <c r="F991">
        <v>6883.35</v>
      </c>
      <c r="G991" t="s">
        <v>20</v>
      </c>
      <c r="H991">
        <v>3</v>
      </c>
      <c r="I991">
        <v>5510.43</v>
      </c>
      <c r="J991">
        <v>1372.92</v>
      </c>
      <c r="K991" t="str">
        <f t="shared" si="46"/>
        <v>August</v>
      </c>
      <c r="L991" t="str">
        <f t="shared" si="47"/>
        <v>Q3</v>
      </c>
      <c r="M991">
        <f t="shared" si="45"/>
        <v>2023</v>
      </c>
      <c r="N991" t="s">
        <v>44</v>
      </c>
    </row>
    <row r="992" spans="1:14" ht="14.55" customHeight="1" x14ac:dyDescent="0.3">
      <c r="A992" s="1">
        <v>44662</v>
      </c>
      <c r="B992" t="s">
        <v>9</v>
      </c>
      <c r="C992" t="s">
        <v>25</v>
      </c>
      <c r="D992" t="s">
        <v>39</v>
      </c>
      <c r="E992">
        <v>5</v>
      </c>
      <c r="F992">
        <v>1173.3399999999999</v>
      </c>
      <c r="G992" t="s">
        <v>20</v>
      </c>
      <c r="H992">
        <v>5</v>
      </c>
      <c r="I992">
        <v>306.41000000000003</v>
      </c>
      <c r="J992">
        <v>866.93</v>
      </c>
      <c r="K992" t="str">
        <f t="shared" si="46"/>
        <v>April</v>
      </c>
      <c r="L992" t="str">
        <f t="shared" si="47"/>
        <v>Q2</v>
      </c>
      <c r="M992">
        <f t="shared" si="45"/>
        <v>2022</v>
      </c>
      <c r="N992" t="s">
        <v>44</v>
      </c>
    </row>
    <row r="993" spans="1:14" ht="14.55" customHeight="1" x14ac:dyDescent="0.3">
      <c r="A993" s="1">
        <v>44722</v>
      </c>
      <c r="B993" t="s">
        <v>23</v>
      </c>
      <c r="C993" t="s">
        <v>25</v>
      </c>
      <c r="D993" t="s">
        <v>30</v>
      </c>
      <c r="E993">
        <v>2</v>
      </c>
      <c r="F993">
        <v>510.51</v>
      </c>
      <c r="G993" t="s">
        <v>20</v>
      </c>
      <c r="H993">
        <v>2</v>
      </c>
      <c r="I993">
        <v>487.66</v>
      </c>
      <c r="J993">
        <v>22.85</v>
      </c>
      <c r="K993" t="str">
        <f t="shared" si="46"/>
        <v>June</v>
      </c>
      <c r="L993" t="str">
        <f t="shared" si="47"/>
        <v>Q2</v>
      </c>
      <c r="M993">
        <f t="shared" si="45"/>
        <v>2022</v>
      </c>
      <c r="N993" t="s">
        <v>44</v>
      </c>
    </row>
    <row r="994" spans="1:14" ht="14.55" customHeight="1" x14ac:dyDescent="0.3">
      <c r="A994" s="1">
        <v>45204</v>
      </c>
      <c r="B994" t="s">
        <v>9</v>
      </c>
      <c r="C994" t="s">
        <v>25</v>
      </c>
      <c r="D994" t="s">
        <v>30</v>
      </c>
      <c r="E994">
        <v>33</v>
      </c>
      <c r="F994">
        <v>15609.57</v>
      </c>
      <c r="G994" t="s">
        <v>12</v>
      </c>
      <c r="H994">
        <v>4</v>
      </c>
      <c r="I994">
        <v>4223.3</v>
      </c>
      <c r="J994">
        <v>11386.27</v>
      </c>
      <c r="K994" t="str">
        <f t="shared" si="46"/>
        <v>October</v>
      </c>
      <c r="L994" t="str">
        <f t="shared" si="47"/>
        <v>Q4</v>
      </c>
      <c r="M994">
        <f t="shared" si="45"/>
        <v>2023</v>
      </c>
      <c r="N994" t="s">
        <v>44</v>
      </c>
    </row>
    <row r="995" spans="1:14" ht="14.55" customHeight="1" x14ac:dyDescent="0.3">
      <c r="A995" s="1">
        <v>45086</v>
      </c>
      <c r="B995" t="s">
        <v>9</v>
      </c>
      <c r="C995" t="s">
        <v>21</v>
      </c>
      <c r="D995" t="s">
        <v>22</v>
      </c>
      <c r="E995">
        <v>49</v>
      </c>
      <c r="F995">
        <v>11717.47</v>
      </c>
      <c r="G995" t="s">
        <v>12</v>
      </c>
      <c r="H995">
        <v>5</v>
      </c>
      <c r="I995">
        <v>7450.45</v>
      </c>
      <c r="J995">
        <v>4267.0200000000004</v>
      </c>
      <c r="K995" t="str">
        <f t="shared" si="46"/>
        <v>June</v>
      </c>
      <c r="L995" t="str">
        <f t="shared" si="47"/>
        <v>Q2</v>
      </c>
      <c r="M995">
        <f t="shared" si="45"/>
        <v>2023</v>
      </c>
      <c r="N995" t="s">
        <v>44</v>
      </c>
    </row>
    <row r="996" spans="1:14" ht="14.55" customHeight="1" x14ac:dyDescent="0.3">
      <c r="A996" s="1">
        <v>44832</v>
      </c>
      <c r="B996" t="s">
        <v>9</v>
      </c>
      <c r="C996" t="s">
        <v>10</v>
      </c>
      <c r="D996" t="s">
        <v>28</v>
      </c>
      <c r="E996">
        <v>20</v>
      </c>
      <c r="F996">
        <v>5477.62</v>
      </c>
      <c r="G996" t="s">
        <v>12</v>
      </c>
      <c r="H996">
        <v>1</v>
      </c>
      <c r="I996">
        <v>1564.07</v>
      </c>
      <c r="J996">
        <v>3913.55</v>
      </c>
      <c r="K996" t="str">
        <f t="shared" si="46"/>
        <v>September</v>
      </c>
      <c r="L996" t="str">
        <f t="shared" si="47"/>
        <v>Q3</v>
      </c>
      <c r="M996">
        <f t="shared" si="45"/>
        <v>2022</v>
      </c>
      <c r="N996" t="s">
        <v>44</v>
      </c>
    </row>
    <row r="997" spans="1:14" ht="14.55" customHeight="1" x14ac:dyDescent="0.3">
      <c r="A997" s="1">
        <v>44911</v>
      </c>
      <c r="B997" t="s">
        <v>31</v>
      </c>
      <c r="C997" t="s">
        <v>21</v>
      </c>
      <c r="D997" t="s">
        <v>22</v>
      </c>
      <c r="E997">
        <v>20</v>
      </c>
      <c r="F997">
        <v>7006.51</v>
      </c>
      <c r="G997" t="s">
        <v>12</v>
      </c>
      <c r="H997">
        <v>1</v>
      </c>
      <c r="I997">
        <v>1385.56</v>
      </c>
      <c r="J997">
        <v>5620.95</v>
      </c>
      <c r="K997" t="str">
        <f t="shared" si="46"/>
        <v>December</v>
      </c>
      <c r="L997" t="str">
        <f t="shared" si="47"/>
        <v>Q4</v>
      </c>
      <c r="M997">
        <f t="shared" si="45"/>
        <v>2022</v>
      </c>
      <c r="N997" t="s">
        <v>43</v>
      </c>
    </row>
    <row r="998" spans="1:14" ht="14.55" customHeight="1" x14ac:dyDescent="0.3">
      <c r="A998" s="1">
        <v>45204</v>
      </c>
      <c r="B998" t="s">
        <v>31</v>
      </c>
      <c r="C998" t="s">
        <v>10</v>
      </c>
      <c r="D998" t="s">
        <v>28</v>
      </c>
      <c r="E998">
        <v>31</v>
      </c>
      <c r="F998">
        <v>7045.2</v>
      </c>
      <c r="G998" t="s">
        <v>12</v>
      </c>
      <c r="H998">
        <v>2</v>
      </c>
      <c r="I998">
        <v>5083.8</v>
      </c>
      <c r="J998">
        <v>1961.4</v>
      </c>
      <c r="K998" t="str">
        <f t="shared" si="46"/>
        <v>October</v>
      </c>
      <c r="L998" t="str">
        <f t="shared" si="47"/>
        <v>Q4</v>
      </c>
      <c r="M998">
        <f t="shared" si="45"/>
        <v>2023</v>
      </c>
      <c r="N998" t="s">
        <v>43</v>
      </c>
    </row>
    <row r="999" spans="1:14" ht="14.55" customHeight="1" x14ac:dyDescent="0.3">
      <c r="A999" s="1">
        <v>44838</v>
      </c>
      <c r="B999" t="s">
        <v>31</v>
      </c>
      <c r="C999" t="s">
        <v>10</v>
      </c>
      <c r="D999" t="s">
        <v>28</v>
      </c>
      <c r="E999">
        <v>32</v>
      </c>
      <c r="F999">
        <v>14350.41</v>
      </c>
      <c r="G999" t="s">
        <v>20</v>
      </c>
      <c r="H999">
        <v>3</v>
      </c>
      <c r="I999">
        <v>1928.95</v>
      </c>
      <c r="J999">
        <v>12421.46</v>
      </c>
      <c r="K999" t="str">
        <f t="shared" si="46"/>
        <v>October</v>
      </c>
      <c r="L999" t="str">
        <f t="shared" si="47"/>
        <v>Q4</v>
      </c>
      <c r="M999">
        <f t="shared" si="45"/>
        <v>2022</v>
      </c>
      <c r="N999" t="s">
        <v>44</v>
      </c>
    </row>
    <row r="1000" spans="1:14" ht="14.55" customHeight="1" x14ac:dyDescent="0.3">
      <c r="A1000" s="1">
        <v>45082</v>
      </c>
      <c r="B1000" t="s">
        <v>18</v>
      </c>
      <c r="C1000" t="s">
        <v>13</v>
      </c>
      <c r="D1000" t="s">
        <v>19</v>
      </c>
      <c r="E1000">
        <v>7</v>
      </c>
      <c r="F1000">
        <v>1359.3</v>
      </c>
      <c r="G1000" t="s">
        <v>20</v>
      </c>
      <c r="H1000">
        <v>4</v>
      </c>
      <c r="I1000">
        <v>1462.27</v>
      </c>
      <c r="J1000">
        <v>-102.97</v>
      </c>
      <c r="K1000" t="str">
        <f t="shared" si="46"/>
        <v>June</v>
      </c>
      <c r="L1000" t="str">
        <f t="shared" si="47"/>
        <v>Q2</v>
      </c>
      <c r="M1000">
        <f t="shared" si="45"/>
        <v>2023</v>
      </c>
      <c r="N1000" t="s">
        <v>43</v>
      </c>
    </row>
    <row r="1001" spans="1:14" ht="14.55" customHeight="1" x14ac:dyDescent="0.3">
      <c r="A1001" s="1">
        <v>44583</v>
      </c>
      <c r="B1001" t="s">
        <v>15</v>
      </c>
      <c r="C1001" t="s">
        <v>13</v>
      </c>
      <c r="D1001" t="s">
        <v>19</v>
      </c>
      <c r="E1001">
        <v>10</v>
      </c>
      <c r="F1001">
        <v>4114.22</v>
      </c>
      <c r="G1001" t="s">
        <v>20</v>
      </c>
      <c r="H1001">
        <v>3</v>
      </c>
      <c r="I1001">
        <v>863.24</v>
      </c>
      <c r="J1001">
        <v>3250.98</v>
      </c>
      <c r="K1001" t="str">
        <f t="shared" si="46"/>
        <v>January</v>
      </c>
      <c r="L1001" t="str">
        <f t="shared" si="47"/>
        <v>Q1</v>
      </c>
      <c r="M1001">
        <f t="shared" si="45"/>
        <v>2022</v>
      </c>
      <c r="N1001" t="s">
        <v>44</v>
      </c>
    </row>
    <row r="1002" spans="1:14" ht="14.55" customHeight="1" x14ac:dyDescent="0.3">
      <c r="A1002" s="1">
        <v>45036</v>
      </c>
      <c r="B1002" t="s">
        <v>15</v>
      </c>
      <c r="C1002" t="s">
        <v>10</v>
      </c>
      <c r="D1002" t="s">
        <v>35</v>
      </c>
      <c r="E1002">
        <v>32</v>
      </c>
      <c r="F1002">
        <v>15402.72</v>
      </c>
      <c r="G1002" t="s">
        <v>20</v>
      </c>
      <c r="H1002">
        <v>5</v>
      </c>
      <c r="I1002">
        <v>3272.23</v>
      </c>
      <c r="J1002">
        <v>12130.49</v>
      </c>
      <c r="K1002" t="str">
        <f t="shared" si="46"/>
        <v>April</v>
      </c>
      <c r="L1002" t="str">
        <f t="shared" si="47"/>
        <v>Q2</v>
      </c>
      <c r="M1002">
        <f t="shared" si="45"/>
        <v>2023</v>
      </c>
      <c r="N1002" t="s">
        <v>43</v>
      </c>
    </row>
    <row r="1003" spans="1:14" ht="14.55" customHeight="1" x14ac:dyDescent="0.3">
      <c r="A1003" s="1">
        <v>45086</v>
      </c>
      <c r="B1003" t="s">
        <v>18</v>
      </c>
      <c r="C1003" t="s">
        <v>25</v>
      </c>
      <c r="D1003" t="s">
        <v>38</v>
      </c>
      <c r="E1003">
        <v>37</v>
      </c>
      <c r="F1003">
        <v>824.54</v>
      </c>
      <c r="G1003" t="s">
        <v>12</v>
      </c>
      <c r="H1003">
        <v>3</v>
      </c>
      <c r="I1003">
        <v>8656.7800000000007</v>
      </c>
      <c r="J1003">
        <v>-7832.24</v>
      </c>
      <c r="K1003" t="str">
        <f t="shared" si="46"/>
        <v>June</v>
      </c>
      <c r="L1003" t="str">
        <f t="shared" si="47"/>
        <v>Q2</v>
      </c>
      <c r="M1003">
        <f t="shared" si="45"/>
        <v>2023</v>
      </c>
      <c r="N1003" t="s">
        <v>44</v>
      </c>
    </row>
    <row r="1004" spans="1:14" ht="14.55" customHeight="1" x14ac:dyDescent="0.3">
      <c r="A1004" s="1">
        <v>44748</v>
      </c>
      <c r="B1004" t="s">
        <v>31</v>
      </c>
      <c r="C1004" t="s">
        <v>21</v>
      </c>
      <c r="D1004" t="s">
        <v>32</v>
      </c>
      <c r="E1004">
        <v>11</v>
      </c>
      <c r="F1004">
        <v>5087.3999999999996</v>
      </c>
      <c r="G1004" t="s">
        <v>12</v>
      </c>
      <c r="H1004">
        <v>4</v>
      </c>
      <c r="I1004">
        <v>368.14</v>
      </c>
      <c r="J1004">
        <v>4719.26</v>
      </c>
      <c r="K1004" t="str">
        <f t="shared" si="46"/>
        <v>July</v>
      </c>
      <c r="L1004" t="str">
        <f t="shared" si="47"/>
        <v>Q3</v>
      </c>
      <c r="M1004">
        <f t="shared" si="45"/>
        <v>2022</v>
      </c>
      <c r="N1004" t="s">
        <v>43</v>
      </c>
    </row>
    <row r="1005" spans="1:14" ht="14.55" customHeight="1" x14ac:dyDescent="0.3">
      <c r="A1005" s="1">
        <v>44591</v>
      </c>
      <c r="B1005" t="s">
        <v>15</v>
      </c>
      <c r="C1005" t="s">
        <v>21</v>
      </c>
      <c r="D1005" t="s">
        <v>33</v>
      </c>
      <c r="E1005">
        <v>34</v>
      </c>
      <c r="F1005">
        <v>7974.36</v>
      </c>
      <c r="G1005" t="s">
        <v>20</v>
      </c>
      <c r="H1005">
        <v>5</v>
      </c>
      <c r="I1005">
        <v>2404.7800000000002</v>
      </c>
      <c r="J1005">
        <v>5569.58</v>
      </c>
      <c r="K1005" t="str">
        <f t="shared" si="46"/>
        <v>January</v>
      </c>
      <c r="L1005" t="str">
        <f t="shared" si="47"/>
        <v>Q1</v>
      </c>
      <c r="M1005">
        <f t="shared" si="45"/>
        <v>2022</v>
      </c>
      <c r="N1005" t="s">
        <v>44</v>
      </c>
    </row>
    <row r="1006" spans="1:14" ht="14.55" customHeight="1" x14ac:dyDescent="0.3">
      <c r="A1006" s="1">
        <v>44840</v>
      </c>
      <c r="B1006" t="s">
        <v>15</v>
      </c>
      <c r="C1006" t="s">
        <v>16</v>
      </c>
      <c r="D1006" t="s">
        <v>37</v>
      </c>
      <c r="E1006">
        <v>34</v>
      </c>
      <c r="F1006">
        <v>7516.37</v>
      </c>
      <c r="G1006" t="s">
        <v>20</v>
      </c>
      <c r="H1006">
        <v>2</v>
      </c>
      <c r="I1006">
        <v>2204.7399999999998</v>
      </c>
      <c r="J1006">
        <v>5311.63</v>
      </c>
      <c r="K1006" t="str">
        <f t="shared" si="46"/>
        <v>October</v>
      </c>
      <c r="L1006" t="str">
        <f t="shared" si="47"/>
        <v>Q4</v>
      </c>
      <c r="M1006">
        <f t="shared" si="45"/>
        <v>2022</v>
      </c>
      <c r="N1006" t="s">
        <v>43</v>
      </c>
    </row>
    <row r="1007" spans="1:14" ht="14.55" customHeight="1" x14ac:dyDescent="0.3">
      <c r="A1007" s="1">
        <v>44743</v>
      </c>
      <c r="B1007" t="s">
        <v>18</v>
      </c>
      <c r="C1007" t="s">
        <v>25</v>
      </c>
      <c r="D1007" t="s">
        <v>30</v>
      </c>
      <c r="E1007">
        <v>2</v>
      </c>
      <c r="F1007">
        <v>454.83</v>
      </c>
      <c r="G1007" t="s">
        <v>12</v>
      </c>
      <c r="H1007">
        <v>1</v>
      </c>
      <c r="I1007">
        <v>82.76</v>
      </c>
      <c r="J1007">
        <v>372.07</v>
      </c>
      <c r="K1007" t="str">
        <f t="shared" si="46"/>
        <v>July</v>
      </c>
      <c r="L1007" t="str">
        <f t="shared" si="47"/>
        <v>Q3</v>
      </c>
      <c r="M1007">
        <f t="shared" si="45"/>
        <v>2022</v>
      </c>
      <c r="N1007" t="s">
        <v>43</v>
      </c>
    </row>
    <row r="1008" spans="1:14" ht="14.55" customHeight="1" x14ac:dyDescent="0.3">
      <c r="A1008" s="1">
        <v>44666</v>
      </c>
      <c r="B1008" t="s">
        <v>15</v>
      </c>
      <c r="C1008" t="s">
        <v>21</v>
      </c>
      <c r="D1008" t="s">
        <v>32</v>
      </c>
      <c r="E1008">
        <v>37</v>
      </c>
      <c r="F1008">
        <v>12987.09</v>
      </c>
      <c r="G1008" t="s">
        <v>12</v>
      </c>
      <c r="H1008">
        <v>1</v>
      </c>
      <c r="I1008">
        <v>8394.84</v>
      </c>
      <c r="J1008">
        <v>4592.25</v>
      </c>
      <c r="K1008" t="str">
        <f t="shared" si="46"/>
        <v>April</v>
      </c>
      <c r="L1008" t="str">
        <f t="shared" si="47"/>
        <v>Q2</v>
      </c>
      <c r="M1008">
        <f t="shared" si="45"/>
        <v>2022</v>
      </c>
      <c r="N1008" t="s">
        <v>43</v>
      </c>
    </row>
    <row r="1009" spans="1:14" ht="14.55" customHeight="1" x14ac:dyDescent="0.3">
      <c r="A1009" s="1">
        <v>44881</v>
      </c>
      <c r="B1009" t="s">
        <v>15</v>
      </c>
      <c r="C1009" t="s">
        <v>16</v>
      </c>
      <c r="D1009" t="s">
        <v>17</v>
      </c>
      <c r="E1009">
        <v>37</v>
      </c>
      <c r="F1009">
        <v>17920.830000000002</v>
      </c>
      <c r="G1009" t="s">
        <v>12</v>
      </c>
      <c r="H1009">
        <v>3</v>
      </c>
      <c r="I1009">
        <v>6236.66</v>
      </c>
      <c r="J1009">
        <v>11684.17</v>
      </c>
      <c r="K1009" t="str">
        <f t="shared" si="46"/>
        <v>November</v>
      </c>
      <c r="L1009" t="str">
        <f t="shared" si="47"/>
        <v>Q4</v>
      </c>
      <c r="M1009">
        <f t="shared" si="45"/>
        <v>2022</v>
      </c>
      <c r="N1009" t="s">
        <v>44</v>
      </c>
    </row>
    <row r="1010" spans="1:14" ht="14.55" customHeight="1" x14ac:dyDescent="0.3">
      <c r="A1010" s="1">
        <v>44706</v>
      </c>
      <c r="B1010" t="s">
        <v>9</v>
      </c>
      <c r="C1010" t="s">
        <v>16</v>
      </c>
      <c r="D1010" t="s">
        <v>24</v>
      </c>
      <c r="E1010">
        <v>42</v>
      </c>
      <c r="F1010">
        <v>12225.24</v>
      </c>
      <c r="G1010" t="s">
        <v>20</v>
      </c>
      <c r="H1010">
        <v>1</v>
      </c>
      <c r="I1010">
        <v>7869.39</v>
      </c>
      <c r="J1010">
        <v>4355.8500000000004</v>
      </c>
      <c r="K1010" t="str">
        <f t="shared" si="46"/>
        <v>May</v>
      </c>
      <c r="L1010" t="str">
        <f t="shared" si="47"/>
        <v>Q2</v>
      </c>
      <c r="M1010">
        <f t="shared" si="45"/>
        <v>2022</v>
      </c>
      <c r="N1010" t="s">
        <v>44</v>
      </c>
    </row>
    <row r="1011" spans="1:14" ht="14.55" customHeight="1" x14ac:dyDescent="0.3">
      <c r="A1011" s="1">
        <v>44640</v>
      </c>
      <c r="B1011" t="s">
        <v>31</v>
      </c>
      <c r="C1011" t="s">
        <v>13</v>
      </c>
      <c r="D1011" t="s">
        <v>19</v>
      </c>
      <c r="E1011">
        <v>30</v>
      </c>
      <c r="F1011">
        <v>6117.88</v>
      </c>
      <c r="G1011" t="s">
        <v>20</v>
      </c>
      <c r="H1011">
        <v>5</v>
      </c>
      <c r="I1011">
        <v>3612.15</v>
      </c>
      <c r="J1011">
        <v>2505.73</v>
      </c>
      <c r="K1011" t="str">
        <f t="shared" si="46"/>
        <v>March</v>
      </c>
      <c r="L1011" t="str">
        <f t="shared" si="47"/>
        <v>Q1</v>
      </c>
      <c r="M1011">
        <f t="shared" si="45"/>
        <v>2022</v>
      </c>
      <c r="N1011" t="s">
        <v>44</v>
      </c>
    </row>
    <row r="1012" spans="1:14" ht="14.55" customHeight="1" x14ac:dyDescent="0.3">
      <c r="A1012" s="1">
        <v>44619</v>
      </c>
      <c r="B1012" t="s">
        <v>31</v>
      </c>
      <c r="C1012" t="s">
        <v>25</v>
      </c>
      <c r="D1012" t="s">
        <v>30</v>
      </c>
      <c r="E1012">
        <v>16</v>
      </c>
      <c r="F1012">
        <v>3125.23</v>
      </c>
      <c r="G1012" t="s">
        <v>12</v>
      </c>
      <c r="H1012">
        <v>3</v>
      </c>
      <c r="I1012">
        <v>2414.69</v>
      </c>
      <c r="J1012">
        <v>710.54</v>
      </c>
      <c r="K1012" t="str">
        <f t="shared" si="46"/>
        <v>February</v>
      </c>
      <c r="L1012" t="str">
        <f t="shared" si="47"/>
        <v>Q1</v>
      </c>
      <c r="M1012">
        <f t="shared" si="45"/>
        <v>2022</v>
      </c>
      <c r="N1012" t="s">
        <v>44</v>
      </c>
    </row>
    <row r="1013" spans="1:14" ht="14.55" customHeight="1" x14ac:dyDescent="0.3">
      <c r="A1013" s="1">
        <v>44917</v>
      </c>
      <c r="B1013" t="s">
        <v>18</v>
      </c>
      <c r="C1013" t="s">
        <v>16</v>
      </c>
      <c r="D1013" t="s">
        <v>27</v>
      </c>
      <c r="E1013">
        <v>28</v>
      </c>
      <c r="F1013">
        <v>6188.69</v>
      </c>
      <c r="G1013" t="s">
        <v>12</v>
      </c>
      <c r="H1013">
        <v>4</v>
      </c>
      <c r="I1013">
        <v>1222.9000000000001</v>
      </c>
      <c r="J1013">
        <v>4965.79</v>
      </c>
      <c r="K1013" t="str">
        <f t="shared" si="46"/>
        <v>December</v>
      </c>
      <c r="L1013" t="str">
        <f t="shared" si="47"/>
        <v>Q4</v>
      </c>
      <c r="M1013">
        <f t="shared" si="45"/>
        <v>2022</v>
      </c>
      <c r="N1013" t="s">
        <v>44</v>
      </c>
    </row>
    <row r="1014" spans="1:14" ht="14.55" customHeight="1" x14ac:dyDescent="0.3">
      <c r="A1014" s="1">
        <v>45029</v>
      </c>
      <c r="B1014" t="s">
        <v>31</v>
      </c>
      <c r="C1014" t="s">
        <v>25</v>
      </c>
      <c r="D1014" t="s">
        <v>30</v>
      </c>
      <c r="E1014">
        <v>32</v>
      </c>
      <c r="F1014">
        <v>2850.4</v>
      </c>
      <c r="G1014" t="s">
        <v>20</v>
      </c>
      <c r="H1014">
        <v>1</v>
      </c>
      <c r="I1014">
        <v>4429.33</v>
      </c>
      <c r="J1014">
        <v>-1578.93</v>
      </c>
      <c r="K1014" t="str">
        <f t="shared" si="46"/>
        <v>April</v>
      </c>
      <c r="L1014" t="str">
        <f t="shared" si="47"/>
        <v>Q2</v>
      </c>
      <c r="M1014">
        <f t="shared" si="45"/>
        <v>2023</v>
      </c>
      <c r="N1014" t="s">
        <v>44</v>
      </c>
    </row>
    <row r="1015" spans="1:14" ht="14.55" customHeight="1" x14ac:dyDescent="0.3">
      <c r="A1015" s="1">
        <v>45012</v>
      </c>
      <c r="B1015" t="s">
        <v>9</v>
      </c>
      <c r="C1015" t="s">
        <v>16</v>
      </c>
      <c r="D1015" t="s">
        <v>27</v>
      </c>
      <c r="E1015">
        <v>20</v>
      </c>
      <c r="F1015">
        <v>531.72</v>
      </c>
      <c r="G1015" t="s">
        <v>12</v>
      </c>
      <c r="H1015">
        <v>4</v>
      </c>
      <c r="I1015">
        <v>911.58</v>
      </c>
      <c r="J1015">
        <v>-379.86</v>
      </c>
      <c r="K1015" t="str">
        <f t="shared" si="46"/>
        <v>March</v>
      </c>
      <c r="L1015" t="str">
        <f t="shared" si="47"/>
        <v>Q1</v>
      </c>
      <c r="M1015">
        <f t="shared" si="45"/>
        <v>2023</v>
      </c>
      <c r="N1015" t="s">
        <v>44</v>
      </c>
    </row>
    <row r="1016" spans="1:14" ht="14.55" customHeight="1" x14ac:dyDescent="0.3">
      <c r="A1016" s="1">
        <v>45106</v>
      </c>
      <c r="B1016" t="s">
        <v>31</v>
      </c>
      <c r="C1016" t="s">
        <v>13</v>
      </c>
      <c r="D1016" t="s">
        <v>29</v>
      </c>
      <c r="E1016">
        <v>3</v>
      </c>
      <c r="F1016">
        <v>1032.76</v>
      </c>
      <c r="G1016" t="s">
        <v>20</v>
      </c>
      <c r="H1016">
        <v>4</v>
      </c>
      <c r="I1016">
        <v>182.71</v>
      </c>
      <c r="J1016">
        <v>850.05</v>
      </c>
      <c r="K1016" t="str">
        <f t="shared" si="46"/>
        <v>June</v>
      </c>
      <c r="L1016" t="str">
        <f t="shared" si="47"/>
        <v>Q2</v>
      </c>
      <c r="M1016">
        <f t="shared" si="45"/>
        <v>2023</v>
      </c>
      <c r="N1016" t="s">
        <v>44</v>
      </c>
    </row>
    <row r="1017" spans="1:14" ht="14.55" customHeight="1" x14ac:dyDescent="0.3">
      <c r="A1017" s="1">
        <v>44650</v>
      </c>
      <c r="B1017" t="s">
        <v>23</v>
      </c>
      <c r="C1017" t="s">
        <v>16</v>
      </c>
      <c r="D1017" t="s">
        <v>24</v>
      </c>
      <c r="E1017">
        <v>32</v>
      </c>
      <c r="F1017">
        <v>11367.02</v>
      </c>
      <c r="G1017" t="s">
        <v>12</v>
      </c>
      <c r="H1017">
        <v>5</v>
      </c>
      <c r="I1017">
        <v>7586.18</v>
      </c>
      <c r="J1017">
        <v>3780.84</v>
      </c>
      <c r="K1017" t="str">
        <f t="shared" si="46"/>
        <v>March</v>
      </c>
      <c r="L1017" t="str">
        <f t="shared" si="47"/>
        <v>Q1</v>
      </c>
      <c r="M1017">
        <f t="shared" si="45"/>
        <v>2022</v>
      </c>
      <c r="N1017" t="s">
        <v>44</v>
      </c>
    </row>
    <row r="1018" spans="1:14" ht="14.55" customHeight="1" x14ac:dyDescent="0.3">
      <c r="A1018" s="1">
        <v>44737</v>
      </c>
      <c r="B1018" t="s">
        <v>9</v>
      </c>
      <c r="C1018" t="s">
        <v>13</v>
      </c>
      <c r="D1018" t="s">
        <v>29</v>
      </c>
      <c r="E1018">
        <v>40</v>
      </c>
      <c r="F1018">
        <v>11784.26</v>
      </c>
      <c r="G1018" t="s">
        <v>12</v>
      </c>
      <c r="H1018">
        <v>1</v>
      </c>
      <c r="I1018">
        <v>7292.79</v>
      </c>
      <c r="J1018">
        <v>4491.47</v>
      </c>
      <c r="K1018" t="str">
        <f t="shared" si="46"/>
        <v>June</v>
      </c>
      <c r="L1018" t="str">
        <f t="shared" si="47"/>
        <v>Q2</v>
      </c>
      <c r="M1018">
        <f t="shared" si="45"/>
        <v>2022</v>
      </c>
      <c r="N1018" t="s">
        <v>45</v>
      </c>
    </row>
    <row r="1019" spans="1:14" ht="14.55" customHeight="1" x14ac:dyDescent="0.3">
      <c r="A1019" s="1">
        <v>44969</v>
      </c>
      <c r="B1019" t="s">
        <v>31</v>
      </c>
      <c r="C1019" t="s">
        <v>16</v>
      </c>
      <c r="D1019" t="s">
        <v>37</v>
      </c>
      <c r="E1019">
        <v>21</v>
      </c>
      <c r="F1019">
        <v>5966.9</v>
      </c>
      <c r="G1019" t="s">
        <v>12</v>
      </c>
      <c r="H1019">
        <v>4</v>
      </c>
      <c r="I1019">
        <v>3965.33</v>
      </c>
      <c r="J1019">
        <v>2001.57</v>
      </c>
      <c r="K1019" t="str">
        <f t="shared" si="46"/>
        <v>February</v>
      </c>
      <c r="L1019" t="str">
        <f t="shared" si="47"/>
        <v>Q1</v>
      </c>
      <c r="M1019">
        <f t="shared" si="45"/>
        <v>2023</v>
      </c>
      <c r="N1019" t="s">
        <v>44</v>
      </c>
    </row>
    <row r="1020" spans="1:14" ht="14.55" customHeight="1" x14ac:dyDescent="0.3">
      <c r="A1020" s="1">
        <v>45264</v>
      </c>
      <c r="B1020" t="s">
        <v>23</v>
      </c>
      <c r="C1020" t="s">
        <v>21</v>
      </c>
      <c r="D1020" t="s">
        <v>36</v>
      </c>
      <c r="E1020">
        <v>15</v>
      </c>
      <c r="F1020">
        <v>2410.52</v>
      </c>
      <c r="G1020" t="s">
        <v>20</v>
      </c>
      <c r="H1020">
        <v>4</v>
      </c>
      <c r="I1020">
        <v>1688.78</v>
      </c>
      <c r="J1020">
        <v>721.74</v>
      </c>
      <c r="K1020" t="str">
        <f t="shared" si="46"/>
        <v>December</v>
      </c>
      <c r="L1020" t="str">
        <f t="shared" si="47"/>
        <v>Q4</v>
      </c>
      <c r="M1020">
        <f t="shared" si="45"/>
        <v>2023</v>
      </c>
      <c r="N1020" t="s">
        <v>44</v>
      </c>
    </row>
    <row r="1021" spans="1:14" ht="14.55" customHeight="1" x14ac:dyDescent="0.3">
      <c r="A1021" s="1">
        <v>44824</v>
      </c>
      <c r="B1021" t="s">
        <v>18</v>
      </c>
      <c r="C1021" t="s">
        <v>25</v>
      </c>
      <c r="D1021" t="s">
        <v>26</v>
      </c>
      <c r="E1021">
        <v>19</v>
      </c>
      <c r="F1021">
        <v>8774.7199999999993</v>
      </c>
      <c r="G1021" t="s">
        <v>12</v>
      </c>
      <c r="H1021">
        <v>3</v>
      </c>
      <c r="I1021">
        <v>4106.05</v>
      </c>
      <c r="J1021">
        <v>4668.67</v>
      </c>
      <c r="K1021" t="str">
        <f t="shared" si="46"/>
        <v>September</v>
      </c>
      <c r="L1021" t="str">
        <f t="shared" si="47"/>
        <v>Q3</v>
      </c>
      <c r="M1021">
        <f t="shared" si="45"/>
        <v>2022</v>
      </c>
      <c r="N1021" t="s">
        <v>44</v>
      </c>
    </row>
    <row r="1022" spans="1:14" ht="14.55" customHeight="1" x14ac:dyDescent="0.3">
      <c r="A1022" s="1">
        <v>44986</v>
      </c>
      <c r="B1022" t="s">
        <v>23</v>
      </c>
      <c r="C1022" t="s">
        <v>13</v>
      </c>
      <c r="D1022" t="s">
        <v>40</v>
      </c>
      <c r="E1022">
        <v>32</v>
      </c>
      <c r="F1022">
        <v>12943.02</v>
      </c>
      <c r="G1022" t="s">
        <v>12</v>
      </c>
      <c r="H1022">
        <v>1</v>
      </c>
      <c r="I1022">
        <v>7525.28</v>
      </c>
      <c r="J1022">
        <v>5417.74</v>
      </c>
      <c r="K1022" t="str">
        <f t="shared" si="46"/>
        <v>March</v>
      </c>
      <c r="L1022" t="str">
        <f t="shared" si="47"/>
        <v>Q1</v>
      </c>
      <c r="M1022">
        <f t="shared" si="45"/>
        <v>2023</v>
      </c>
      <c r="N1022" t="s">
        <v>43</v>
      </c>
    </row>
    <row r="1023" spans="1:14" ht="14.55" customHeight="1" x14ac:dyDescent="0.3">
      <c r="A1023" s="1">
        <v>44875</v>
      </c>
      <c r="B1023" t="s">
        <v>23</v>
      </c>
      <c r="C1023" t="s">
        <v>25</v>
      </c>
      <c r="D1023" t="s">
        <v>38</v>
      </c>
      <c r="E1023">
        <v>48</v>
      </c>
      <c r="F1023">
        <v>23632.07</v>
      </c>
      <c r="G1023" t="s">
        <v>20</v>
      </c>
      <c r="H1023">
        <v>2</v>
      </c>
      <c r="I1023">
        <v>6568.97</v>
      </c>
      <c r="J1023">
        <v>17063.099999999999</v>
      </c>
      <c r="K1023" t="str">
        <f t="shared" si="46"/>
        <v>November</v>
      </c>
      <c r="L1023" t="str">
        <f t="shared" si="47"/>
        <v>Q4</v>
      </c>
      <c r="M1023">
        <f t="shared" si="45"/>
        <v>2022</v>
      </c>
      <c r="N1023" t="s">
        <v>43</v>
      </c>
    </row>
    <row r="1024" spans="1:14" ht="14.55" customHeight="1" x14ac:dyDescent="0.3">
      <c r="A1024" s="1">
        <v>44658</v>
      </c>
      <c r="B1024" t="s">
        <v>18</v>
      </c>
      <c r="C1024" t="s">
        <v>16</v>
      </c>
      <c r="D1024" t="s">
        <v>27</v>
      </c>
      <c r="E1024">
        <v>2</v>
      </c>
      <c r="F1024">
        <v>358.99</v>
      </c>
      <c r="G1024" t="s">
        <v>12</v>
      </c>
      <c r="H1024">
        <v>5</v>
      </c>
      <c r="I1024">
        <v>354.5</v>
      </c>
      <c r="J1024">
        <v>4.49</v>
      </c>
      <c r="K1024" t="str">
        <f t="shared" si="46"/>
        <v>April</v>
      </c>
      <c r="L1024" t="str">
        <f t="shared" si="47"/>
        <v>Q2</v>
      </c>
      <c r="M1024">
        <f t="shared" si="45"/>
        <v>2022</v>
      </c>
      <c r="N1024" t="s">
        <v>43</v>
      </c>
    </row>
    <row r="1025" spans="1:14" ht="14.55" customHeight="1" x14ac:dyDescent="0.3">
      <c r="A1025" s="1">
        <v>44964</v>
      </c>
      <c r="B1025" t="s">
        <v>9</v>
      </c>
      <c r="C1025" t="s">
        <v>10</v>
      </c>
      <c r="D1025" t="s">
        <v>11</v>
      </c>
      <c r="E1025">
        <v>28</v>
      </c>
      <c r="F1025">
        <v>13776.56</v>
      </c>
      <c r="G1025" t="s">
        <v>12</v>
      </c>
      <c r="H1025">
        <v>4</v>
      </c>
      <c r="I1025">
        <v>1737.64</v>
      </c>
      <c r="J1025">
        <v>12038.92</v>
      </c>
      <c r="K1025" t="str">
        <f t="shared" si="46"/>
        <v>February</v>
      </c>
      <c r="L1025" t="str">
        <f t="shared" si="47"/>
        <v>Q1</v>
      </c>
      <c r="M1025">
        <f t="shared" si="45"/>
        <v>2023</v>
      </c>
      <c r="N1025" t="s">
        <v>46</v>
      </c>
    </row>
    <row r="1026" spans="1:14" ht="14.55" customHeight="1" x14ac:dyDescent="0.3">
      <c r="A1026" s="1">
        <v>45287</v>
      </c>
      <c r="B1026" t="s">
        <v>15</v>
      </c>
      <c r="C1026" t="s">
        <v>25</v>
      </c>
      <c r="D1026" t="s">
        <v>30</v>
      </c>
      <c r="E1026">
        <v>41</v>
      </c>
      <c r="F1026">
        <v>8695.9500000000007</v>
      </c>
      <c r="G1026" t="s">
        <v>12</v>
      </c>
      <c r="H1026">
        <v>1</v>
      </c>
      <c r="I1026">
        <v>3253.67</v>
      </c>
      <c r="J1026">
        <v>5442.28</v>
      </c>
      <c r="K1026" t="str">
        <f t="shared" si="46"/>
        <v>December</v>
      </c>
      <c r="L1026" t="str">
        <f t="shared" si="47"/>
        <v>Q4</v>
      </c>
      <c r="M1026">
        <f t="shared" ref="M1026:M1051" si="48">YEAR(A1026)</f>
        <v>2023</v>
      </c>
      <c r="N1026" t="s">
        <v>46</v>
      </c>
    </row>
    <row r="1027" spans="1:14" ht="14.55" customHeight="1" x14ac:dyDescent="0.3">
      <c r="A1027" s="1">
        <v>44633</v>
      </c>
      <c r="B1027" t="s">
        <v>31</v>
      </c>
      <c r="C1027" t="s">
        <v>16</v>
      </c>
      <c r="D1027" t="s">
        <v>24</v>
      </c>
      <c r="E1027">
        <v>21</v>
      </c>
      <c r="F1027">
        <v>8545.09</v>
      </c>
      <c r="G1027" t="s">
        <v>20</v>
      </c>
      <c r="H1027">
        <v>5</v>
      </c>
      <c r="I1027">
        <v>2839.67</v>
      </c>
      <c r="J1027">
        <v>5705.42</v>
      </c>
      <c r="K1027" t="str">
        <f t="shared" ref="K1027:K1051" si="49">TEXT(A1027,"mmmm")</f>
        <v>March</v>
      </c>
      <c r="L1027" t="str">
        <f t="shared" ref="L1027:L1051" si="50">"Q"&amp;INT((MONTH(A1027)-1)/3)+1</f>
        <v>Q1</v>
      </c>
      <c r="M1027">
        <f t="shared" si="48"/>
        <v>2022</v>
      </c>
      <c r="N1027" t="s">
        <v>46</v>
      </c>
    </row>
    <row r="1028" spans="1:14" ht="14.55" customHeight="1" x14ac:dyDescent="0.3">
      <c r="A1028" s="1">
        <v>44644</v>
      </c>
      <c r="B1028" t="s">
        <v>18</v>
      </c>
      <c r="C1028" t="s">
        <v>10</v>
      </c>
      <c r="D1028" t="s">
        <v>34</v>
      </c>
      <c r="E1028">
        <v>15</v>
      </c>
      <c r="F1028">
        <v>5853.05</v>
      </c>
      <c r="G1028" t="s">
        <v>12</v>
      </c>
      <c r="H1028">
        <v>2</v>
      </c>
      <c r="I1028">
        <v>1504.72</v>
      </c>
      <c r="J1028">
        <v>4348.33</v>
      </c>
      <c r="K1028" t="str">
        <f t="shared" si="49"/>
        <v>March</v>
      </c>
      <c r="L1028" t="str">
        <f t="shared" si="50"/>
        <v>Q1</v>
      </c>
      <c r="M1028">
        <f t="shared" si="48"/>
        <v>2022</v>
      </c>
      <c r="N1028" t="s">
        <v>44</v>
      </c>
    </row>
    <row r="1029" spans="1:14" ht="14.55" customHeight="1" x14ac:dyDescent="0.3">
      <c r="A1029" s="1">
        <v>44826</v>
      </c>
      <c r="B1029" t="s">
        <v>23</v>
      </c>
      <c r="C1029" t="s">
        <v>16</v>
      </c>
      <c r="D1029" t="s">
        <v>24</v>
      </c>
      <c r="E1029">
        <v>14</v>
      </c>
      <c r="F1029">
        <v>1663.47</v>
      </c>
      <c r="G1029" t="s">
        <v>12</v>
      </c>
      <c r="H1029">
        <v>2</v>
      </c>
      <c r="I1029">
        <v>2838.89</v>
      </c>
      <c r="J1029">
        <v>-1175.42</v>
      </c>
      <c r="K1029" t="str">
        <f t="shared" si="49"/>
        <v>September</v>
      </c>
      <c r="L1029" t="str">
        <f t="shared" si="50"/>
        <v>Q3</v>
      </c>
      <c r="M1029">
        <f t="shared" si="48"/>
        <v>2022</v>
      </c>
      <c r="N1029" t="s">
        <v>44</v>
      </c>
    </row>
    <row r="1030" spans="1:14" ht="14.55" customHeight="1" x14ac:dyDescent="0.3">
      <c r="A1030" s="1">
        <v>45120</v>
      </c>
      <c r="B1030" t="s">
        <v>18</v>
      </c>
      <c r="C1030" t="s">
        <v>13</v>
      </c>
      <c r="D1030" t="s">
        <v>29</v>
      </c>
      <c r="E1030">
        <v>5</v>
      </c>
      <c r="F1030">
        <v>1611.85</v>
      </c>
      <c r="G1030" t="s">
        <v>12</v>
      </c>
      <c r="H1030">
        <v>1</v>
      </c>
      <c r="I1030">
        <v>618.09</v>
      </c>
      <c r="J1030">
        <v>993.76</v>
      </c>
      <c r="K1030" t="str">
        <f t="shared" si="49"/>
        <v>July</v>
      </c>
      <c r="L1030" t="str">
        <f t="shared" si="50"/>
        <v>Q3</v>
      </c>
      <c r="M1030">
        <f t="shared" si="48"/>
        <v>2023</v>
      </c>
      <c r="N1030" t="s">
        <v>44</v>
      </c>
    </row>
    <row r="1031" spans="1:14" ht="14.55" customHeight="1" x14ac:dyDescent="0.3">
      <c r="A1031" s="1">
        <v>45165</v>
      </c>
      <c r="B1031" t="s">
        <v>18</v>
      </c>
      <c r="C1031" t="s">
        <v>21</v>
      </c>
      <c r="D1031" t="s">
        <v>22</v>
      </c>
      <c r="E1031">
        <v>3</v>
      </c>
      <c r="F1031">
        <v>1265.42</v>
      </c>
      <c r="G1031" t="s">
        <v>20</v>
      </c>
      <c r="H1031">
        <v>3</v>
      </c>
      <c r="I1031">
        <v>262.62</v>
      </c>
      <c r="J1031">
        <v>1002.8</v>
      </c>
      <c r="K1031" t="str">
        <f t="shared" si="49"/>
        <v>August</v>
      </c>
      <c r="L1031" t="str">
        <f t="shared" si="50"/>
        <v>Q3</v>
      </c>
      <c r="M1031">
        <f t="shared" si="48"/>
        <v>2023</v>
      </c>
      <c r="N1031" t="s">
        <v>44</v>
      </c>
    </row>
    <row r="1032" spans="1:14" ht="14.55" customHeight="1" x14ac:dyDescent="0.3">
      <c r="A1032" s="1">
        <v>44858</v>
      </c>
      <c r="B1032" t="s">
        <v>23</v>
      </c>
      <c r="C1032" t="s">
        <v>21</v>
      </c>
      <c r="D1032" t="s">
        <v>33</v>
      </c>
      <c r="E1032">
        <v>19</v>
      </c>
      <c r="F1032">
        <v>4571.01</v>
      </c>
      <c r="G1032" t="s">
        <v>20</v>
      </c>
      <c r="H1032">
        <v>4</v>
      </c>
      <c r="I1032">
        <v>867.14</v>
      </c>
      <c r="J1032">
        <v>3703.87</v>
      </c>
      <c r="K1032" t="str">
        <f t="shared" si="49"/>
        <v>October</v>
      </c>
      <c r="L1032" t="str">
        <f t="shared" si="50"/>
        <v>Q4</v>
      </c>
      <c r="M1032">
        <f t="shared" si="48"/>
        <v>2022</v>
      </c>
      <c r="N1032" t="s">
        <v>44</v>
      </c>
    </row>
    <row r="1033" spans="1:14" ht="14.55" customHeight="1" x14ac:dyDescent="0.3">
      <c r="A1033" s="1">
        <v>44562</v>
      </c>
      <c r="B1033" t="s">
        <v>23</v>
      </c>
      <c r="C1033" t="s">
        <v>21</v>
      </c>
      <c r="D1033" t="s">
        <v>22</v>
      </c>
      <c r="E1033">
        <v>39</v>
      </c>
      <c r="F1033">
        <v>16799.560000000001</v>
      </c>
      <c r="G1033" t="s">
        <v>12</v>
      </c>
      <c r="H1033">
        <v>1</v>
      </c>
      <c r="I1033">
        <v>5654.36</v>
      </c>
      <c r="J1033">
        <v>11145.2</v>
      </c>
      <c r="K1033" t="str">
        <f t="shared" si="49"/>
        <v>January</v>
      </c>
      <c r="L1033" t="str">
        <f t="shared" si="50"/>
        <v>Q1</v>
      </c>
      <c r="M1033">
        <f t="shared" si="48"/>
        <v>2022</v>
      </c>
      <c r="N1033" t="s">
        <v>44</v>
      </c>
    </row>
    <row r="1034" spans="1:14" ht="14.55" customHeight="1" x14ac:dyDescent="0.3">
      <c r="A1034" s="1">
        <v>44655</v>
      </c>
      <c r="B1034" t="s">
        <v>18</v>
      </c>
      <c r="C1034" t="s">
        <v>25</v>
      </c>
      <c r="D1034" t="s">
        <v>30</v>
      </c>
      <c r="E1034">
        <v>5</v>
      </c>
      <c r="F1034">
        <v>2276.17</v>
      </c>
      <c r="G1034" t="s">
        <v>20</v>
      </c>
      <c r="H1034">
        <v>1</v>
      </c>
      <c r="I1034">
        <v>954.9</v>
      </c>
      <c r="J1034">
        <v>1321.27</v>
      </c>
      <c r="K1034" t="str">
        <f t="shared" si="49"/>
        <v>April</v>
      </c>
      <c r="L1034" t="str">
        <f t="shared" si="50"/>
        <v>Q2</v>
      </c>
      <c r="M1034">
        <f t="shared" si="48"/>
        <v>2022</v>
      </c>
      <c r="N1034" t="s">
        <v>46</v>
      </c>
    </row>
    <row r="1035" spans="1:14" ht="14.55" customHeight="1" x14ac:dyDescent="0.3">
      <c r="A1035" s="1">
        <v>44606</v>
      </c>
      <c r="B1035" t="s">
        <v>15</v>
      </c>
      <c r="C1035" t="s">
        <v>16</v>
      </c>
      <c r="D1035" t="s">
        <v>37</v>
      </c>
      <c r="E1035">
        <v>17</v>
      </c>
      <c r="F1035">
        <v>6605.61</v>
      </c>
      <c r="G1035" t="s">
        <v>12</v>
      </c>
      <c r="H1035">
        <v>4</v>
      </c>
      <c r="I1035">
        <v>905.45</v>
      </c>
      <c r="J1035">
        <v>5700.16</v>
      </c>
      <c r="K1035" t="str">
        <f t="shared" si="49"/>
        <v>February</v>
      </c>
      <c r="L1035" t="str">
        <f t="shared" si="50"/>
        <v>Q1</v>
      </c>
      <c r="M1035">
        <f t="shared" si="48"/>
        <v>2022</v>
      </c>
      <c r="N1035" t="s">
        <v>46</v>
      </c>
    </row>
    <row r="1036" spans="1:14" ht="14.55" customHeight="1" x14ac:dyDescent="0.3">
      <c r="A1036" s="1">
        <v>45065</v>
      </c>
      <c r="B1036" t="s">
        <v>9</v>
      </c>
      <c r="C1036" t="s">
        <v>25</v>
      </c>
      <c r="D1036" t="s">
        <v>39</v>
      </c>
      <c r="E1036">
        <v>40</v>
      </c>
      <c r="F1036">
        <v>13180.49</v>
      </c>
      <c r="G1036" t="s">
        <v>12</v>
      </c>
      <c r="H1036">
        <v>4</v>
      </c>
      <c r="I1036">
        <v>1661.44</v>
      </c>
      <c r="J1036">
        <v>11519.05</v>
      </c>
      <c r="K1036" t="str">
        <f t="shared" si="49"/>
        <v>May</v>
      </c>
      <c r="L1036" t="str">
        <f t="shared" si="50"/>
        <v>Q2</v>
      </c>
      <c r="M1036">
        <f t="shared" si="48"/>
        <v>2023</v>
      </c>
      <c r="N1036" t="s">
        <v>46</v>
      </c>
    </row>
    <row r="1037" spans="1:14" ht="14.55" customHeight="1" x14ac:dyDescent="0.3">
      <c r="A1037" s="1">
        <v>44990</v>
      </c>
      <c r="B1037" t="s">
        <v>9</v>
      </c>
      <c r="C1037" t="s">
        <v>21</v>
      </c>
      <c r="D1037" t="s">
        <v>32</v>
      </c>
      <c r="E1037">
        <v>46</v>
      </c>
      <c r="F1037">
        <v>20641.73</v>
      </c>
      <c r="G1037" t="s">
        <v>20</v>
      </c>
      <c r="H1037">
        <v>5</v>
      </c>
      <c r="I1037">
        <v>10354.959999999999</v>
      </c>
      <c r="J1037">
        <v>10286.77</v>
      </c>
      <c r="K1037" t="str">
        <f t="shared" si="49"/>
        <v>March</v>
      </c>
      <c r="L1037" t="str">
        <f t="shared" si="50"/>
        <v>Q1</v>
      </c>
      <c r="M1037">
        <f t="shared" si="48"/>
        <v>2023</v>
      </c>
      <c r="N1037" t="s">
        <v>44</v>
      </c>
    </row>
    <row r="1038" spans="1:14" ht="14.55" customHeight="1" x14ac:dyDescent="0.3">
      <c r="A1038" s="1">
        <v>44618</v>
      </c>
      <c r="B1038" t="s">
        <v>23</v>
      </c>
      <c r="C1038" t="s">
        <v>21</v>
      </c>
      <c r="D1038" t="s">
        <v>36</v>
      </c>
      <c r="E1038">
        <v>8</v>
      </c>
      <c r="F1038">
        <v>1414.24</v>
      </c>
      <c r="G1038" t="s">
        <v>20</v>
      </c>
      <c r="H1038">
        <v>2</v>
      </c>
      <c r="I1038">
        <v>780.04</v>
      </c>
      <c r="J1038">
        <v>634.20000000000005</v>
      </c>
      <c r="K1038" t="str">
        <f t="shared" si="49"/>
        <v>February</v>
      </c>
      <c r="L1038" t="str">
        <f t="shared" si="50"/>
        <v>Q1</v>
      </c>
      <c r="M1038">
        <f t="shared" si="48"/>
        <v>2022</v>
      </c>
      <c r="N1038" t="s">
        <v>46</v>
      </c>
    </row>
    <row r="1039" spans="1:14" ht="14.55" customHeight="1" x14ac:dyDescent="0.3">
      <c r="A1039" s="1">
        <v>44990</v>
      </c>
      <c r="B1039" t="s">
        <v>18</v>
      </c>
      <c r="C1039" t="s">
        <v>16</v>
      </c>
      <c r="D1039" t="s">
        <v>37</v>
      </c>
      <c r="E1039">
        <v>45</v>
      </c>
      <c r="F1039">
        <v>17441.099999999999</v>
      </c>
      <c r="G1039" t="s">
        <v>12</v>
      </c>
      <c r="H1039">
        <v>1</v>
      </c>
      <c r="I1039">
        <v>3149.94</v>
      </c>
      <c r="J1039">
        <v>14291.16</v>
      </c>
      <c r="K1039" t="str">
        <f t="shared" si="49"/>
        <v>March</v>
      </c>
      <c r="L1039" t="str">
        <f t="shared" si="50"/>
        <v>Q1</v>
      </c>
      <c r="M1039">
        <f t="shared" si="48"/>
        <v>2023</v>
      </c>
      <c r="N1039" t="s">
        <v>44</v>
      </c>
    </row>
    <row r="1040" spans="1:14" ht="14.55" customHeight="1" x14ac:dyDescent="0.3">
      <c r="A1040" s="1">
        <v>45151</v>
      </c>
      <c r="B1040" t="s">
        <v>18</v>
      </c>
      <c r="C1040" t="s">
        <v>25</v>
      </c>
      <c r="D1040" t="s">
        <v>39</v>
      </c>
      <c r="E1040">
        <v>15</v>
      </c>
      <c r="F1040">
        <v>2848.03</v>
      </c>
      <c r="G1040" t="s">
        <v>12</v>
      </c>
      <c r="H1040">
        <v>5</v>
      </c>
      <c r="I1040">
        <v>1832.47</v>
      </c>
      <c r="J1040">
        <v>1015.56</v>
      </c>
      <c r="K1040" t="str">
        <f t="shared" si="49"/>
        <v>August</v>
      </c>
      <c r="L1040" t="str">
        <f t="shared" si="50"/>
        <v>Q3</v>
      </c>
      <c r="M1040">
        <f t="shared" si="48"/>
        <v>2023</v>
      </c>
      <c r="N1040" t="s">
        <v>44</v>
      </c>
    </row>
    <row r="1041" spans="1:14" ht="14.55" customHeight="1" x14ac:dyDescent="0.3">
      <c r="A1041" s="1">
        <v>44755</v>
      </c>
      <c r="B1041" t="s">
        <v>23</v>
      </c>
      <c r="C1041" t="s">
        <v>25</v>
      </c>
      <c r="D1041" t="s">
        <v>26</v>
      </c>
      <c r="E1041">
        <v>14</v>
      </c>
      <c r="F1041">
        <v>5464.82</v>
      </c>
      <c r="G1041" t="s">
        <v>12</v>
      </c>
      <c r="H1041">
        <v>1</v>
      </c>
      <c r="I1041">
        <v>1665.62</v>
      </c>
      <c r="J1041">
        <v>3799.2</v>
      </c>
      <c r="K1041" t="str">
        <f t="shared" si="49"/>
        <v>July</v>
      </c>
      <c r="L1041" t="str">
        <f t="shared" si="50"/>
        <v>Q3</v>
      </c>
      <c r="M1041">
        <f t="shared" si="48"/>
        <v>2022</v>
      </c>
      <c r="N1041" t="s">
        <v>45</v>
      </c>
    </row>
    <row r="1042" spans="1:14" ht="14.55" customHeight="1" x14ac:dyDescent="0.3">
      <c r="A1042" s="1">
        <v>44663</v>
      </c>
      <c r="B1042" t="s">
        <v>31</v>
      </c>
      <c r="C1042" t="s">
        <v>13</v>
      </c>
      <c r="D1042" t="s">
        <v>29</v>
      </c>
      <c r="E1042">
        <v>30</v>
      </c>
      <c r="F1042">
        <v>13184.63</v>
      </c>
      <c r="G1042" t="s">
        <v>12</v>
      </c>
      <c r="H1042">
        <v>1</v>
      </c>
      <c r="I1042">
        <v>4568.04</v>
      </c>
      <c r="J1042">
        <v>8616.59</v>
      </c>
      <c r="K1042" t="str">
        <f t="shared" si="49"/>
        <v>April</v>
      </c>
      <c r="L1042" t="str">
        <f t="shared" si="50"/>
        <v>Q2</v>
      </c>
      <c r="M1042">
        <f t="shared" si="48"/>
        <v>2022</v>
      </c>
      <c r="N1042" t="s">
        <v>43</v>
      </c>
    </row>
    <row r="1043" spans="1:14" ht="14.55" customHeight="1" x14ac:dyDescent="0.3">
      <c r="A1043" s="1">
        <v>45141</v>
      </c>
      <c r="B1043" t="s">
        <v>15</v>
      </c>
      <c r="C1043" t="s">
        <v>21</v>
      </c>
      <c r="D1043" t="s">
        <v>32</v>
      </c>
      <c r="E1043">
        <v>18</v>
      </c>
      <c r="F1043">
        <v>4005.76</v>
      </c>
      <c r="G1043" t="s">
        <v>20</v>
      </c>
      <c r="H1043">
        <v>1</v>
      </c>
      <c r="I1043">
        <v>3064.66</v>
      </c>
      <c r="J1043">
        <v>941.1</v>
      </c>
      <c r="K1043" t="str">
        <f t="shared" si="49"/>
        <v>August</v>
      </c>
      <c r="L1043" t="str">
        <f t="shared" si="50"/>
        <v>Q3</v>
      </c>
      <c r="M1043">
        <f t="shared" si="48"/>
        <v>2023</v>
      </c>
      <c r="N1043" t="s">
        <v>44</v>
      </c>
    </row>
    <row r="1044" spans="1:14" ht="14.55" customHeight="1" x14ac:dyDescent="0.3">
      <c r="A1044" s="1">
        <v>45103</v>
      </c>
      <c r="B1044" t="s">
        <v>18</v>
      </c>
      <c r="C1044" t="s">
        <v>21</v>
      </c>
      <c r="D1044" t="s">
        <v>22</v>
      </c>
      <c r="E1044">
        <v>48</v>
      </c>
      <c r="F1044">
        <v>933.79</v>
      </c>
      <c r="G1044" t="s">
        <v>20</v>
      </c>
      <c r="H1044">
        <v>2</v>
      </c>
      <c r="I1044">
        <v>1245.8900000000001</v>
      </c>
      <c r="J1044">
        <v>-312.10000000000002</v>
      </c>
      <c r="K1044" t="str">
        <f t="shared" si="49"/>
        <v>June</v>
      </c>
      <c r="L1044" t="str">
        <f t="shared" si="50"/>
        <v>Q2</v>
      </c>
      <c r="M1044">
        <f t="shared" si="48"/>
        <v>2023</v>
      </c>
      <c r="N1044" t="s">
        <v>44</v>
      </c>
    </row>
    <row r="1045" spans="1:14" ht="14.55" customHeight="1" x14ac:dyDescent="0.3">
      <c r="A1045" s="1">
        <v>44997</v>
      </c>
      <c r="B1045" t="s">
        <v>23</v>
      </c>
      <c r="C1045" t="s">
        <v>10</v>
      </c>
      <c r="D1045" t="s">
        <v>35</v>
      </c>
      <c r="E1045">
        <v>36</v>
      </c>
      <c r="F1045">
        <v>3427.33</v>
      </c>
      <c r="G1045" t="s">
        <v>20</v>
      </c>
      <c r="H1045">
        <v>1</v>
      </c>
      <c r="I1045">
        <v>7811.09</v>
      </c>
      <c r="J1045">
        <v>-4383.76</v>
      </c>
      <c r="K1045" t="str">
        <f t="shared" si="49"/>
        <v>March</v>
      </c>
      <c r="L1045" t="str">
        <f t="shared" si="50"/>
        <v>Q1</v>
      </c>
      <c r="M1045">
        <f t="shared" si="48"/>
        <v>2023</v>
      </c>
      <c r="N1045" t="s">
        <v>44</v>
      </c>
    </row>
    <row r="1046" spans="1:14" ht="14.55" customHeight="1" x14ac:dyDescent="0.3">
      <c r="A1046" s="1">
        <v>45279</v>
      </c>
      <c r="B1046" t="s">
        <v>18</v>
      </c>
      <c r="C1046" t="s">
        <v>13</v>
      </c>
      <c r="D1046" t="s">
        <v>29</v>
      </c>
      <c r="E1046">
        <v>26</v>
      </c>
      <c r="F1046">
        <v>4982.3500000000004</v>
      </c>
      <c r="G1046" t="s">
        <v>12</v>
      </c>
      <c r="H1046">
        <v>4</v>
      </c>
      <c r="I1046">
        <v>1170.18</v>
      </c>
      <c r="J1046">
        <v>3812.17</v>
      </c>
      <c r="K1046" t="str">
        <f t="shared" si="49"/>
        <v>December</v>
      </c>
      <c r="L1046" t="str">
        <f t="shared" si="50"/>
        <v>Q4</v>
      </c>
      <c r="M1046">
        <f t="shared" si="48"/>
        <v>2023</v>
      </c>
      <c r="N1046" t="s">
        <v>44</v>
      </c>
    </row>
    <row r="1047" spans="1:14" ht="14.55" customHeight="1" x14ac:dyDescent="0.3">
      <c r="A1047" s="1">
        <v>44687</v>
      </c>
      <c r="B1047" t="s">
        <v>9</v>
      </c>
      <c r="C1047" t="s">
        <v>25</v>
      </c>
      <c r="D1047" t="s">
        <v>30</v>
      </c>
      <c r="E1047">
        <v>22</v>
      </c>
      <c r="F1047">
        <v>2061.34</v>
      </c>
      <c r="G1047" t="s">
        <v>12</v>
      </c>
      <c r="H1047">
        <v>1</v>
      </c>
      <c r="I1047">
        <v>3391.68</v>
      </c>
      <c r="J1047">
        <v>-1330.34</v>
      </c>
      <c r="K1047" t="str">
        <f t="shared" si="49"/>
        <v>May</v>
      </c>
      <c r="L1047" t="str">
        <f t="shared" si="50"/>
        <v>Q2</v>
      </c>
      <c r="M1047">
        <f t="shared" si="48"/>
        <v>2022</v>
      </c>
      <c r="N1047" t="s">
        <v>44</v>
      </c>
    </row>
    <row r="1048" spans="1:14" ht="14.55" customHeight="1" x14ac:dyDescent="0.3">
      <c r="A1048" s="1">
        <v>45075</v>
      </c>
      <c r="B1048" t="s">
        <v>18</v>
      </c>
      <c r="C1048" t="s">
        <v>13</v>
      </c>
      <c r="D1048" t="s">
        <v>40</v>
      </c>
      <c r="E1048">
        <v>16</v>
      </c>
      <c r="F1048">
        <v>6691.56</v>
      </c>
      <c r="G1048" t="s">
        <v>12</v>
      </c>
      <c r="H1048">
        <v>2</v>
      </c>
      <c r="I1048">
        <v>3770.46</v>
      </c>
      <c r="J1048">
        <v>2921.1</v>
      </c>
      <c r="K1048" t="str">
        <f t="shared" si="49"/>
        <v>May</v>
      </c>
      <c r="L1048" t="str">
        <f t="shared" si="50"/>
        <v>Q2</v>
      </c>
      <c r="M1048">
        <f t="shared" si="48"/>
        <v>2023</v>
      </c>
      <c r="N1048" t="s">
        <v>44</v>
      </c>
    </row>
    <row r="1049" spans="1:14" ht="14.55" customHeight="1" x14ac:dyDescent="0.3">
      <c r="A1049" s="1">
        <v>44808</v>
      </c>
      <c r="B1049" t="s">
        <v>31</v>
      </c>
      <c r="C1049" t="s">
        <v>21</v>
      </c>
      <c r="D1049" t="s">
        <v>36</v>
      </c>
      <c r="E1049">
        <v>8</v>
      </c>
      <c r="F1049">
        <v>2000.91</v>
      </c>
      <c r="G1049" t="s">
        <v>12</v>
      </c>
      <c r="H1049">
        <v>1</v>
      </c>
      <c r="I1049">
        <v>460.82</v>
      </c>
      <c r="J1049">
        <v>1540.09</v>
      </c>
      <c r="K1049" t="str">
        <f t="shared" si="49"/>
        <v>September</v>
      </c>
      <c r="L1049" t="str">
        <f t="shared" si="50"/>
        <v>Q3</v>
      </c>
      <c r="M1049">
        <f t="shared" si="48"/>
        <v>2022</v>
      </c>
      <c r="N1049" t="s">
        <v>44</v>
      </c>
    </row>
    <row r="1050" spans="1:14" ht="14.55" customHeight="1" x14ac:dyDescent="0.3">
      <c r="A1050" s="1">
        <v>44720</v>
      </c>
      <c r="B1050" t="s">
        <v>15</v>
      </c>
      <c r="C1050" t="s">
        <v>13</v>
      </c>
      <c r="D1050" t="s">
        <v>14</v>
      </c>
      <c r="E1050">
        <v>7</v>
      </c>
      <c r="F1050">
        <v>2655.51</v>
      </c>
      <c r="G1050" t="s">
        <v>12</v>
      </c>
      <c r="H1050">
        <v>5</v>
      </c>
      <c r="I1050">
        <v>1070.6400000000001</v>
      </c>
      <c r="J1050">
        <v>1584.87</v>
      </c>
      <c r="K1050" t="str">
        <f t="shared" si="49"/>
        <v>June</v>
      </c>
      <c r="L1050" t="str">
        <f t="shared" si="50"/>
        <v>Q2</v>
      </c>
      <c r="M1050">
        <f t="shared" si="48"/>
        <v>2022</v>
      </c>
      <c r="N1050" t="s">
        <v>44</v>
      </c>
    </row>
    <row r="1051" spans="1:14" ht="14.55" customHeight="1" x14ac:dyDescent="0.3">
      <c r="A1051" s="1">
        <v>45273</v>
      </c>
      <c r="B1051" t="s">
        <v>31</v>
      </c>
      <c r="C1051" t="s">
        <v>13</v>
      </c>
      <c r="D1051" t="s">
        <v>29</v>
      </c>
      <c r="E1051">
        <v>14</v>
      </c>
      <c r="F1051">
        <v>2802.45</v>
      </c>
      <c r="G1051" t="s">
        <v>12</v>
      </c>
      <c r="H1051">
        <v>4</v>
      </c>
      <c r="I1051">
        <v>618.48</v>
      </c>
      <c r="J1051">
        <v>2183.9699999999998</v>
      </c>
      <c r="K1051" t="str">
        <f t="shared" si="49"/>
        <v>December</v>
      </c>
      <c r="L1051" t="str">
        <f t="shared" si="50"/>
        <v>Q4</v>
      </c>
      <c r="M1051">
        <f t="shared" si="48"/>
        <v>2023</v>
      </c>
      <c r="N1051" t="s">
        <v>45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BC3D3-3952-4F33-8D91-CCCF8C6A6716}">
  <dimension ref="A1:N1051"/>
  <sheetViews>
    <sheetView zoomScale="99" workbookViewId="0">
      <selection activeCell="N1" activeCellId="13" sqref="N1"/>
    </sheetView>
  </sheetViews>
  <sheetFormatPr defaultRowHeight="14.4" x14ac:dyDescent="0.3"/>
  <cols>
    <col min="1" max="1" width="10.109375" bestFit="1" customWidth="1"/>
    <col min="3" max="3" width="17.77734375" bestFit="1" customWidth="1"/>
    <col min="4" max="4" width="15.21875" bestFit="1" customWidth="1"/>
    <col min="5" max="5" width="11.44140625" bestFit="1" customWidth="1"/>
    <col min="6" max="6" width="10.21875" bestFit="1" customWidth="1"/>
    <col min="7" max="7" width="14.77734375" bestFit="1" customWidth="1"/>
    <col min="8" max="8" width="18" bestFit="1" customWidth="1"/>
    <col min="9" max="9" width="21.6640625" bestFit="1" customWidth="1"/>
    <col min="10" max="10" width="13.88671875" bestFit="1" customWidth="1"/>
    <col min="11" max="11" width="8.77734375" bestFit="1" customWidth="1"/>
    <col min="12" max="12" width="9.88671875" bestFit="1" customWidth="1"/>
    <col min="13" max="13" width="9.77734375" bestFit="1" customWidth="1"/>
    <col min="14" max="14" width="6.77734375" bestFit="1" customWidth="1"/>
    <col min="15" max="15" width="15.5546875" bestFit="1" customWidth="1"/>
  </cols>
  <sheetData>
    <row r="1" spans="1:14" x14ac:dyDescent="0.3">
      <c r="A1" t="s">
        <v>0</v>
      </c>
      <c r="B1" t="s">
        <v>1</v>
      </c>
      <c r="C1" t="s">
        <v>2</v>
      </c>
      <c r="D1" t="s">
        <v>3</v>
      </c>
      <c r="E1" t="s">
        <v>4</v>
      </c>
      <c r="F1" t="s">
        <v>70</v>
      </c>
      <c r="G1" t="s">
        <v>5</v>
      </c>
      <c r="H1" t="s">
        <v>6</v>
      </c>
      <c r="I1" t="s">
        <v>7</v>
      </c>
      <c r="J1" t="s">
        <v>8</v>
      </c>
      <c r="K1" t="s">
        <v>48</v>
      </c>
      <c r="L1" t="s">
        <v>49</v>
      </c>
      <c r="M1" t="s">
        <v>41</v>
      </c>
      <c r="N1" t="s">
        <v>42</v>
      </c>
    </row>
    <row r="2" spans="1:14" x14ac:dyDescent="0.3">
      <c r="A2" s="1">
        <v>44738</v>
      </c>
      <c r="B2" t="s">
        <v>9</v>
      </c>
      <c r="C2" t="s">
        <v>10</v>
      </c>
      <c r="D2" t="s">
        <v>11</v>
      </c>
      <c r="E2">
        <v>2</v>
      </c>
      <c r="F2">
        <v>303.77</v>
      </c>
      <c r="G2" t="s">
        <v>12</v>
      </c>
      <c r="H2">
        <v>5</v>
      </c>
      <c r="I2">
        <v>258.87</v>
      </c>
      <c r="J2">
        <v>44.9</v>
      </c>
      <c r="K2" t="s">
        <v>50</v>
      </c>
      <c r="L2" t="s">
        <v>51</v>
      </c>
      <c r="M2">
        <v>2022</v>
      </c>
      <c r="N2" t="s">
        <v>43</v>
      </c>
    </row>
    <row r="3" spans="1:14" x14ac:dyDescent="0.3">
      <c r="A3" s="1">
        <v>45096</v>
      </c>
      <c r="B3" t="s">
        <v>9</v>
      </c>
      <c r="C3" t="s">
        <v>13</v>
      </c>
      <c r="D3" t="s">
        <v>14</v>
      </c>
      <c r="E3">
        <v>20</v>
      </c>
      <c r="F3">
        <v>6013.09</v>
      </c>
      <c r="G3" t="s">
        <v>12</v>
      </c>
      <c r="H3">
        <v>1</v>
      </c>
      <c r="I3">
        <v>4456.6899999999996</v>
      </c>
      <c r="J3">
        <v>1556.4</v>
      </c>
      <c r="K3" t="s">
        <v>50</v>
      </c>
      <c r="L3" t="s">
        <v>51</v>
      </c>
      <c r="M3">
        <v>2023</v>
      </c>
      <c r="N3" t="s">
        <v>44</v>
      </c>
    </row>
    <row r="4" spans="1:14" x14ac:dyDescent="0.3">
      <c r="A4" s="1">
        <v>44621</v>
      </c>
      <c r="B4" t="s">
        <v>15</v>
      </c>
      <c r="C4" t="s">
        <v>16</v>
      </c>
      <c r="D4" t="s">
        <v>17</v>
      </c>
      <c r="E4">
        <v>22</v>
      </c>
      <c r="F4">
        <v>6624.07</v>
      </c>
      <c r="G4" t="s">
        <v>12</v>
      </c>
      <c r="H4">
        <v>5</v>
      </c>
      <c r="I4">
        <v>3322.6</v>
      </c>
      <c r="J4">
        <v>3301.47</v>
      </c>
      <c r="K4" t="s">
        <v>52</v>
      </c>
      <c r="L4" t="s">
        <v>53</v>
      </c>
      <c r="M4">
        <v>2022</v>
      </c>
      <c r="N4" t="s">
        <v>45</v>
      </c>
    </row>
    <row r="5" spans="1:14" x14ac:dyDescent="0.3">
      <c r="A5" s="1">
        <v>44982</v>
      </c>
      <c r="B5" t="s">
        <v>18</v>
      </c>
      <c r="C5" t="s">
        <v>13</v>
      </c>
      <c r="D5" t="s">
        <v>19</v>
      </c>
      <c r="E5">
        <v>23</v>
      </c>
      <c r="F5">
        <v>5070.9399999999996</v>
      </c>
      <c r="G5" t="s">
        <v>20</v>
      </c>
      <c r="H5">
        <v>2</v>
      </c>
      <c r="I5">
        <v>2206.17</v>
      </c>
      <c r="J5">
        <v>2864.77</v>
      </c>
      <c r="K5" t="s">
        <v>54</v>
      </c>
      <c r="L5" t="s">
        <v>53</v>
      </c>
      <c r="M5">
        <v>2023</v>
      </c>
      <c r="N5" t="s">
        <v>45</v>
      </c>
    </row>
    <row r="6" spans="1:14" x14ac:dyDescent="0.3">
      <c r="A6" s="1">
        <v>44672</v>
      </c>
      <c r="B6" t="s">
        <v>15</v>
      </c>
      <c r="C6" t="s">
        <v>21</v>
      </c>
      <c r="D6" t="s">
        <v>22</v>
      </c>
      <c r="E6">
        <v>2</v>
      </c>
      <c r="F6">
        <v>636.66</v>
      </c>
      <c r="G6" t="s">
        <v>12</v>
      </c>
      <c r="H6">
        <v>2</v>
      </c>
      <c r="I6">
        <v>292.81</v>
      </c>
      <c r="J6">
        <v>343.85</v>
      </c>
      <c r="K6" t="s">
        <v>55</v>
      </c>
      <c r="L6" t="s">
        <v>51</v>
      </c>
      <c r="M6">
        <v>2022</v>
      </c>
      <c r="N6" t="s">
        <v>44</v>
      </c>
    </row>
    <row r="7" spans="1:14" x14ac:dyDescent="0.3">
      <c r="A7" s="1">
        <v>45062</v>
      </c>
      <c r="B7" t="s">
        <v>9</v>
      </c>
      <c r="C7" t="s">
        <v>13</v>
      </c>
      <c r="D7" t="s">
        <v>14</v>
      </c>
      <c r="E7">
        <v>28</v>
      </c>
      <c r="F7">
        <v>1580.15</v>
      </c>
      <c r="G7" t="s">
        <v>20</v>
      </c>
      <c r="H7">
        <v>3</v>
      </c>
      <c r="I7">
        <v>1578.07</v>
      </c>
      <c r="J7">
        <v>2.08</v>
      </c>
      <c r="K7" t="s">
        <v>56</v>
      </c>
      <c r="L7" t="s">
        <v>51</v>
      </c>
      <c r="M7">
        <v>2023</v>
      </c>
      <c r="N7" t="s">
        <v>44</v>
      </c>
    </row>
    <row r="8" spans="1:14" x14ac:dyDescent="0.3">
      <c r="A8" s="1">
        <v>44642</v>
      </c>
      <c r="B8" t="s">
        <v>23</v>
      </c>
      <c r="C8" t="s">
        <v>16</v>
      </c>
      <c r="D8" t="s">
        <v>24</v>
      </c>
      <c r="E8">
        <v>33</v>
      </c>
      <c r="F8">
        <v>15209.62</v>
      </c>
      <c r="G8" t="s">
        <v>12</v>
      </c>
      <c r="H8">
        <v>3</v>
      </c>
      <c r="I8">
        <v>5544.03</v>
      </c>
      <c r="J8">
        <v>9665.59</v>
      </c>
      <c r="K8" t="s">
        <v>52</v>
      </c>
      <c r="L8" t="s">
        <v>53</v>
      </c>
      <c r="M8">
        <v>2022</v>
      </c>
      <c r="N8" t="s">
        <v>45</v>
      </c>
    </row>
    <row r="9" spans="1:14" x14ac:dyDescent="0.3">
      <c r="A9" s="1">
        <v>44704</v>
      </c>
      <c r="B9" t="s">
        <v>15</v>
      </c>
      <c r="C9" t="s">
        <v>16</v>
      </c>
      <c r="D9" t="s">
        <v>17</v>
      </c>
      <c r="E9">
        <v>49</v>
      </c>
      <c r="F9">
        <v>13193.63</v>
      </c>
      <c r="G9" t="s">
        <v>20</v>
      </c>
      <c r="H9">
        <v>2</v>
      </c>
      <c r="I9">
        <v>11734.47</v>
      </c>
      <c r="J9">
        <v>1459.16</v>
      </c>
      <c r="K9" t="s">
        <v>56</v>
      </c>
      <c r="L9" t="s">
        <v>51</v>
      </c>
      <c r="M9">
        <v>2022</v>
      </c>
      <c r="N9" t="s">
        <v>45</v>
      </c>
    </row>
    <row r="10" spans="1:14" x14ac:dyDescent="0.3">
      <c r="A10" s="1">
        <v>44928</v>
      </c>
      <c r="B10" t="s">
        <v>18</v>
      </c>
      <c r="C10" t="s">
        <v>13</v>
      </c>
      <c r="D10" t="s">
        <v>14</v>
      </c>
      <c r="E10">
        <v>2</v>
      </c>
      <c r="F10">
        <v>110.13</v>
      </c>
      <c r="G10" t="s">
        <v>12</v>
      </c>
      <c r="H10">
        <v>5</v>
      </c>
      <c r="I10">
        <v>249.36</v>
      </c>
      <c r="J10">
        <v>-139.22999999999999</v>
      </c>
      <c r="K10" t="s">
        <v>57</v>
      </c>
      <c r="L10" t="s">
        <v>53</v>
      </c>
      <c r="M10">
        <v>2023</v>
      </c>
      <c r="N10" t="s">
        <v>45</v>
      </c>
    </row>
    <row r="11" spans="1:14" x14ac:dyDescent="0.3">
      <c r="A11" s="1">
        <v>45262</v>
      </c>
      <c r="B11" t="s">
        <v>18</v>
      </c>
      <c r="C11" t="s">
        <v>10</v>
      </c>
      <c r="D11" t="s">
        <v>11</v>
      </c>
      <c r="E11">
        <v>45</v>
      </c>
      <c r="F11">
        <v>6864.39</v>
      </c>
      <c r="G11" t="s">
        <v>20</v>
      </c>
      <c r="H11">
        <v>5</v>
      </c>
      <c r="I11">
        <v>896.22</v>
      </c>
      <c r="J11">
        <v>5968.17</v>
      </c>
      <c r="K11" t="s">
        <v>58</v>
      </c>
      <c r="L11" t="s">
        <v>59</v>
      </c>
      <c r="M11">
        <v>2023</v>
      </c>
      <c r="N11" t="s">
        <v>44</v>
      </c>
    </row>
    <row r="12" spans="1:14" x14ac:dyDescent="0.3">
      <c r="A12" s="1">
        <v>44720</v>
      </c>
      <c r="B12" t="s">
        <v>23</v>
      </c>
      <c r="C12" t="s">
        <v>25</v>
      </c>
      <c r="D12" t="s">
        <v>26</v>
      </c>
      <c r="E12">
        <v>4</v>
      </c>
      <c r="F12">
        <v>1569.33</v>
      </c>
      <c r="G12" t="s">
        <v>12</v>
      </c>
      <c r="H12">
        <v>1</v>
      </c>
      <c r="I12">
        <v>603.4</v>
      </c>
      <c r="J12">
        <v>965.93</v>
      </c>
      <c r="K12" t="s">
        <v>50</v>
      </c>
      <c r="L12" t="s">
        <v>51</v>
      </c>
      <c r="M12">
        <v>2022</v>
      </c>
      <c r="N12" t="s">
        <v>45</v>
      </c>
    </row>
    <row r="13" spans="1:14" x14ac:dyDescent="0.3">
      <c r="A13" s="1">
        <v>45055</v>
      </c>
      <c r="B13" t="s">
        <v>15</v>
      </c>
      <c r="C13" t="s">
        <v>16</v>
      </c>
      <c r="D13" t="s">
        <v>27</v>
      </c>
      <c r="E13">
        <v>25</v>
      </c>
      <c r="F13">
        <v>8359.64</v>
      </c>
      <c r="G13" t="s">
        <v>20</v>
      </c>
      <c r="H13">
        <v>3</v>
      </c>
      <c r="I13">
        <v>4354.87</v>
      </c>
      <c r="J13">
        <v>4004.77</v>
      </c>
      <c r="K13" t="s">
        <v>56</v>
      </c>
      <c r="L13" t="s">
        <v>51</v>
      </c>
      <c r="M13">
        <v>2023</v>
      </c>
      <c r="N13" t="s">
        <v>45</v>
      </c>
    </row>
    <row r="14" spans="1:14" x14ac:dyDescent="0.3">
      <c r="A14" s="1">
        <v>45058</v>
      </c>
      <c r="B14" t="s">
        <v>18</v>
      </c>
      <c r="C14" t="s">
        <v>10</v>
      </c>
      <c r="D14" t="s">
        <v>28</v>
      </c>
      <c r="E14">
        <v>38</v>
      </c>
      <c r="F14">
        <v>14714.79</v>
      </c>
      <c r="G14" t="s">
        <v>20</v>
      </c>
      <c r="H14">
        <v>4</v>
      </c>
      <c r="I14">
        <v>5831.62</v>
      </c>
      <c r="J14">
        <v>8883.17</v>
      </c>
      <c r="K14" t="s">
        <v>56</v>
      </c>
      <c r="L14" t="s">
        <v>51</v>
      </c>
      <c r="M14">
        <v>2023</v>
      </c>
      <c r="N14" t="s">
        <v>44</v>
      </c>
    </row>
    <row r="15" spans="1:14" x14ac:dyDescent="0.3">
      <c r="A15" s="1">
        <v>45186</v>
      </c>
      <c r="B15" t="s">
        <v>9</v>
      </c>
      <c r="C15" t="s">
        <v>13</v>
      </c>
      <c r="D15" t="s">
        <v>29</v>
      </c>
      <c r="E15">
        <v>3</v>
      </c>
      <c r="F15">
        <v>1461.73</v>
      </c>
      <c r="G15" t="s">
        <v>20</v>
      </c>
      <c r="H15">
        <v>2</v>
      </c>
      <c r="I15">
        <v>359.07</v>
      </c>
      <c r="J15">
        <v>1102.6600000000001</v>
      </c>
      <c r="K15" t="s">
        <v>60</v>
      </c>
      <c r="L15" t="s">
        <v>61</v>
      </c>
      <c r="M15">
        <v>2023</v>
      </c>
      <c r="N15" t="s">
        <v>45</v>
      </c>
    </row>
    <row r="16" spans="1:14" x14ac:dyDescent="0.3">
      <c r="A16" s="1">
        <v>44995</v>
      </c>
      <c r="B16" t="s">
        <v>23</v>
      </c>
      <c r="C16" t="s">
        <v>25</v>
      </c>
      <c r="D16" t="s">
        <v>30</v>
      </c>
      <c r="E16">
        <v>7</v>
      </c>
      <c r="F16">
        <v>1329.49</v>
      </c>
      <c r="G16" t="s">
        <v>12</v>
      </c>
      <c r="H16">
        <v>3</v>
      </c>
      <c r="I16">
        <v>1720.14</v>
      </c>
      <c r="J16">
        <v>-390.65</v>
      </c>
      <c r="K16" t="s">
        <v>52</v>
      </c>
      <c r="L16" t="s">
        <v>53</v>
      </c>
      <c r="M16">
        <v>2023</v>
      </c>
      <c r="N16" t="s">
        <v>45</v>
      </c>
    </row>
    <row r="17" spans="1:14" x14ac:dyDescent="0.3">
      <c r="A17" s="1">
        <v>45291</v>
      </c>
      <c r="B17" t="s">
        <v>31</v>
      </c>
      <c r="C17" t="s">
        <v>21</v>
      </c>
      <c r="D17" t="s">
        <v>32</v>
      </c>
      <c r="E17">
        <v>43</v>
      </c>
      <c r="F17">
        <v>21247.65</v>
      </c>
      <c r="G17" t="s">
        <v>20</v>
      </c>
      <c r="H17">
        <v>4</v>
      </c>
      <c r="I17">
        <v>8307.14</v>
      </c>
      <c r="J17">
        <v>12940.51</v>
      </c>
      <c r="K17" t="s">
        <v>58</v>
      </c>
      <c r="L17" t="s">
        <v>59</v>
      </c>
      <c r="M17">
        <v>2023</v>
      </c>
      <c r="N17" t="s">
        <v>45</v>
      </c>
    </row>
    <row r="18" spans="1:14" x14ac:dyDescent="0.3">
      <c r="A18" s="1">
        <v>45045</v>
      </c>
      <c r="B18" t="s">
        <v>23</v>
      </c>
      <c r="C18" t="s">
        <v>21</v>
      </c>
      <c r="D18" t="s">
        <v>33</v>
      </c>
      <c r="E18">
        <v>12</v>
      </c>
      <c r="F18">
        <v>4456.75</v>
      </c>
      <c r="G18" t="s">
        <v>12</v>
      </c>
      <c r="H18">
        <v>1</v>
      </c>
      <c r="I18">
        <v>106.89</v>
      </c>
      <c r="J18">
        <v>4349.8599999999997</v>
      </c>
      <c r="K18" t="s">
        <v>55</v>
      </c>
      <c r="L18" t="s">
        <v>51</v>
      </c>
      <c r="M18">
        <v>2023</v>
      </c>
      <c r="N18" t="s">
        <v>45</v>
      </c>
    </row>
    <row r="19" spans="1:14" x14ac:dyDescent="0.3">
      <c r="A19" s="1">
        <v>45266</v>
      </c>
      <c r="B19" t="s">
        <v>18</v>
      </c>
      <c r="C19" t="s">
        <v>10</v>
      </c>
      <c r="D19" t="s">
        <v>34</v>
      </c>
      <c r="E19">
        <v>40</v>
      </c>
      <c r="F19">
        <v>16676.78</v>
      </c>
      <c r="G19" t="s">
        <v>20</v>
      </c>
      <c r="H19">
        <v>4</v>
      </c>
      <c r="I19">
        <v>4955.55</v>
      </c>
      <c r="J19">
        <v>11721.23</v>
      </c>
      <c r="K19" t="s">
        <v>58</v>
      </c>
      <c r="L19" t="s">
        <v>59</v>
      </c>
      <c r="M19">
        <v>2023</v>
      </c>
      <c r="N19" t="s">
        <v>43</v>
      </c>
    </row>
    <row r="20" spans="1:14" x14ac:dyDescent="0.3">
      <c r="A20" s="1">
        <v>44812</v>
      </c>
      <c r="B20" t="s">
        <v>9</v>
      </c>
      <c r="C20" t="s">
        <v>21</v>
      </c>
      <c r="D20" t="s">
        <v>32</v>
      </c>
      <c r="E20">
        <v>3</v>
      </c>
      <c r="F20">
        <v>402.01</v>
      </c>
      <c r="G20" t="s">
        <v>12</v>
      </c>
      <c r="H20">
        <v>1</v>
      </c>
      <c r="I20">
        <v>115.82</v>
      </c>
      <c r="J20">
        <v>286.19</v>
      </c>
      <c r="K20" t="s">
        <v>60</v>
      </c>
      <c r="L20" t="s">
        <v>61</v>
      </c>
      <c r="M20">
        <v>2022</v>
      </c>
      <c r="N20" t="s">
        <v>45</v>
      </c>
    </row>
    <row r="21" spans="1:14" x14ac:dyDescent="0.3">
      <c r="A21" s="1">
        <v>45014</v>
      </c>
      <c r="B21" t="s">
        <v>23</v>
      </c>
      <c r="C21" t="s">
        <v>16</v>
      </c>
      <c r="D21" t="s">
        <v>24</v>
      </c>
      <c r="E21">
        <v>29</v>
      </c>
      <c r="F21">
        <v>13263.6</v>
      </c>
      <c r="G21" t="s">
        <v>20</v>
      </c>
      <c r="H21">
        <v>3</v>
      </c>
      <c r="I21">
        <v>1758.14</v>
      </c>
      <c r="J21">
        <v>11505.46</v>
      </c>
      <c r="K21" t="s">
        <v>52</v>
      </c>
      <c r="L21" t="s">
        <v>53</v>
      </c>
      <c r="M21">
        <v>2023</v>
      </c>
      <c r="N21" t="s">
        <v>45</v>
      </c>
    </row>
    <row r="22" spans="1:14" x14ac:dyDescent="0.3">
      <c r="A22" s="1">
        <v>44684</v>
      </c>
      <c r="B22" t="s">
        <v>23</v>
      </c>
      <c r="C22" t="s">
        <v>25</v>
      </c>
      <c r="D22" t="s">
        <v>30</v>
      </c>
      <c r="E22">
        <v>47</v>
      </c>
      <c r="F22">
        <v>17553.77</v>
      </c>
      <c r="G22" t="s">
        <v>20</v>
      </c>
      <c r="H22">
        <v>2</v>
      </c>
      <c r="I22">
        <v>8127.15</v>
      </c>
      <c r="J22">
        <v>9426.6200000000008</v>
      </c>
      <c r="K22" t="s">
        <v>56</v>
      </c>
      <c r="L22" t="s">
        <v>51</v>
      </c>
      <c r="M22">
        <v>2022</v>
      </c>
      <c r="N22" t="s">
        <v>43</v>
      </c>
    </row>
    <row r="23" spans="1:14" x14ac:dyDescent="0.3">
      <c r="A23" s="1">
        <v>45106</v>
      </c>
      <c r="B23" t="s">
        <v>9</v>
      </c>
      <c r="C23" t="s">
        <v>16</v>
      </c>
      <c r="D23" t="s">
        <v>24</v>
      </c>
      <c r="E23">
        <v>11</v>
      </c>
      <c r="F23">
        <v>4062.79</v>
      </c>
      <c r="G23" t="s">
        <v>12</v>
      </c>
      <c r="H23">
        <v>5</v>
      </c>
      <c r="I23">
        <v>1047.74</v>
      </c>
      <c r="J23">
        <v>3015.05</v>
      </c>
      <c r="K23" t="s">
        <v>50</v>
      </c>
      <c r="L23" t="s">
        <v>51</v>
      </c>
      <c r="M23">
        <v>2023</v>
      </c>
      <c r="N23" t="s">
        <v>45</v>
      </c>
    </row>
    <row r="24" spans="1:14" x14ac:dyDescent="0.3">
      <c r="A24" s="1">
        <v>45078</v>
      </c>
      <c r="B24" t="s">
        <v>18</v>
      </c>
      <c r="C24" t="s">
        <v>13</v>
      </c>
      <c r="D24" t="s">
        <v>14</v>
      </c>
      <c r="E24">
        <v>29</v>
      </c>
      <c r="F24">
        <v>6341.06</v>
      </c>
      <c r="G24" t="s">
        <v>20</v>
      </c>
      <c r="H24">
        <v>5</v>
      </c>
      <c r="I24">
        <v>1671.65</v>
      </c>
      <c r="J24">
        <v>4669.41</v>
      </c>
      <c r="K24" t="s">
        <v>50</v>
      </c>
      <c r="L24" t="s">
        <v>51</v>
      </c>
      <c r="M24">
        <v>2023</v>
      </c>
      <c r="N24" t="s">
        <v>43</v>
      </c>
    </row>
    <row r="25" spans="1:14" x14ac:dyDescent="0.3">
      <c r="A25" s="1">
        <v>44839</v>
      </c>
      <c r="B25" t="s">
        <v>18</v>
      </c>
      <c r="C25" t="s">
        <v>13</v>
      </c>
      <c r="D25" t="s">
        <v>19</v>
      </c>
      <c r="E25">
        <v>24</v>
      </c>
      <c r="F25">
        <v>4856.2700000000004</v>
      </c>
      <c r="G25" t="s">
        <v>20</v>
      </c>
      <c r="H25">
        <v>4</v>
      </c>
      <c r="I25">
        <v>4002.4</v>
      </c>
      <c r="J25">
        <v>853.87</v>
      </c>
      <c r="K25" t="s">
        <v>62</v>
      </c>
      <c r="L25" t="s">
        <v>59</v>
      </c>
      <c r="M25">
        <v>2022</v>
      </c>
      <c r="N25" t="s">
        <v>46</v>
      </c>
    </row>
    <row r="26" spans="1:14" x14ac:dyDescent="0.3">
      <c r="A26" s="1">
        <v>44856</v>
      </c>
      <c r="B26" t="s">
        <v>15</v>
      </c>
      <c r="C26" t="s">
        <v>25</v>
      </c>
      <c r="D26" t="s">
        <v>26</v>
      </c>
      <c r="E26">
        <v>37</v>
      </c>
      <c r="F26">
        <v>1105.44</v>
      </c>
      <c r="G26" t="s">
        <v>12</v>
      </c>
      <c r="H26">
        <v>2</v>
      </c>
      <c r="I26">
        <v>6360.58</v>
      </c>
      <c r="J26">
        <v>-5255.14</v>
      </c>
      <c r="K26" t="s">
        <v>62</v>
      </c>
      <c r="L26" t="s">
        <v>59</v>
      </c>
      <c r="M26">
        <v>2022</v>
      </c>
      <c r="N26" t="s">
        <v>47</v>
      </c>
    </row>
    <row r="27" spans="1:14" x14ac:dyDescent="0.3">
      <c r="A27" s="1">
        <v>44654</v>
      </c>
      <c r="B27" t="s">
        <v>9</v>
      </c>
      <c r="C27" t="s">
        <v>25</v>
      </c>
      <c r="D27" t="s">
        <v>26</v>
      </c>
      <c r="E27">
        <v>47</v>
      </c>
      <c r="F27">
        <v>16956.189999999999</v>
      </c>
      <c r="G27" t="s">
        <v>12</v>
      </c>
      <c r="H27">
        <v>3</v>
      </c>
      <c r="I27">
        <v>3435.81</v>
      </c>
      <c r="J27">
        <v>13520.38</v>
      </c>
      <c r="K27" t="s">
        <v>55</v>
      </c>
      <c r="L27" t="s">
        <v>51</v>
      </c>
      <c r="M27">
        <v>2022</v>
      </c>
      <c r="N27" t="s">
        <v>43</v>
      </c>
    </row>
    <row r="28" spans="1:14" x14ac:dyDescent="0.3">
      <c r="A28" s="1">
        <v>44748</v>
      </c>
      <c r="B28" t="s">
        <v>15</v>
      </c>
      <c r="C28" t="s">
        <v>10</v>
      </c>
      <c r="D28" t="s">
        <v>35</v>
      </c>
      <c r="E28">
        <v>30</v>
      </c>
      <c r="F28">
        <v>2172.36</v>
      </c>
      <c r="G28" t="s">
        <v>20</v>
      </c>
      <c r="H28">
        <v>3</v>
      </c>
      <c r="I28">
        <v>3869.73</v>
      </c>
      <c r="J28">
        <v>-1697.37</v>
      </c>
      <c r="K28" t="s">
        <v>63</v>
      </c>
      <c r="L28" t="s">
        <v>61</v>
      </c>
      <c r="M28">
        <v>2022</v>
      </c>
      <c r="N28" t="s">
        <v>44</v>
      </c>
    </row>
    <row r="29" spans="1:14" x14ac:dyDescent="0.3">
      <c r="A29" s="1">
        <v>45267</v>
      </c>
      <c r="B29" t="s">
        <v>15</v>
      </c>
      <c r="C29" t="s">
        <v>21</v>
      </c>
      <c r="D29" t="s">
        <v>36</v>
      </c>
      <c r="E29">
        <v>5</v>
      </c>
      <c r="F29">
        <v>2151.14</v>
      </c>
      <c r="G29" t="s">
        <v>12</v>
      </c>
      <c r="H29">
        <v>4</v>
      </c>
      <c r="I29">
        <v>381.93</v>
      </c>
      <c r="J29">
        <v>1769.21</v>
      </c>
      <c r="K29" t="s">
        <v>58</v>
      </c>
      <c r="L29" t="s">
        <v>59</v>
      </c>
      <c r="M29">
        <v>2023</v>
      </c>
      <c r="N29" t="s">
        <v>47</v>
      </c>
    </row>
    <row r="30" spans="1:14" x14ac:dyDescent="0.3">
      <c r="A30" s="1">
        <v>44783</v>
      </c>
      <c r="B30" t="s">
        <v>31</v>
      </c>
      <c r="C30" t="s">
        <v>16</v>
      </c>
      <c r="D30" t="s">
        <v>37</v>
      </c>
      <c r="E30">
        <v>28</v>
      </c>
      <c r="F30">
        <v>13374.57</v>
      </c>
      <c r="G30" t="s">
        <v>20</v>
      </c>
      <c r="H30">
        <v>2</v>
      </c>
      <c r="I30">
        <v>5060.17</v>
      </c>
      <c r="J30">
        <v>8314.4</v>
      </c>
      <c r="K30" t="s">
        <v>64</v>
      </c>
      <c r="L30" t="s">
        <v>61</v>
      </c>
      <c r="M30">
        <v>2022</v>
      </c>
      <c r="N30" t="s">
        <v>47</v>
      </c>
    </row>
    <row r="31" spans="1:14" x14ac:dyDescent="0.3">
      <c r="A31" s="1">
        <v>45120</v>
      </c>
      <c r="B31" t="s">
        <v>9</v>
      </c>
      <c r="C31" t="s">
        <v>10</v>
      </c>
      <c r="D31" t="s">
        <v>35</v>
      </c>
      <c r="E31">
        <v>29</v>
      </c>
      <c r="F31">
        <v>3195.52</v>
      </c>
      <c r="G31" t="s">
        <v>20</v>
      </c>
      <c r="H31">
        <v>1</v>
      </c>
      <c r="I31">
        <v>2720.56</v>
      </c>
      <c r="J31">
        <v>474.96</v>
      </c>
      <c r="K31" t="s">
        <v>63</v>
      </c>
      <c r="L31" t="s">
        <v>61</v>
      </c>
      <c r="M31">
        <v>2023</v>
      </c>
      <c r="N31" t="s">
        <v>47</v>
      </c>
    </row>
    <row r="32" spans="1:14" x14ac:dyDescent="0.3">
      <c r="A32" s="1">
        <v>45057</v>
      </c>
      <c r="B32" t="s">
        <v>15</v>
      </c>
      <c r="C32" t="s">
        <v>16</v>
      </c>
      <c r="D32" t="s">
        <v>17</v>
      </c>
      <c r="E32">
        <v>18</v>
      </c>
      <c r="F32">
        <v>4798.42</v>
      </c>
      <c r="G32" t="s">
        <v>20</v>
      </c>
      <c r="H32">
        <v>1</v>
      </c>
      <c r="I32">
        <v>3494.61</v>
      </c>
      <c r="J32">
        <v>1303.81</v>
      </c>
      <c r="K32" t="s">
        <v>56</v>
      </c>
      <c r="L32" t="s">
        <v>51</v>
      </c>
      <c r="M32">
        <v>2023</v>
      </c>
      <c r="N32" t="s">
        <v>47</v>
      </c>
    </row>
    <row r="33" spans="1:14" x14ac:dyDescent="0.3">
      <c r="A33" s="1">
        <v>45206</v>
      </c>
      <c r="B33" t="s">
        <v>18</v>
      </c>
      <c r="C33" t="s">
        <v>13</v>
      </c>
      <c r="D33" t="s">
        <v>19</v>
      </c>
      <c r="E33">
        <v>25</v>
      </c>
      <c r="F33">
        <v>7018.52</v>
      </c>
      <c r="G33" t="s">
        <v>20</v>
      </c>
      <c r="H33">
        <v>1</v>
      </c>
      <c r="I33">
        <v>746.43</v>
      </c>
      <c r="J33">
        <v>6272.09</v>
      </c>
      <c r="K33" t="s">
        <v>62</v>
      </c>
      <c r="L33" t="s">
        <v>59</v>
      </c>
      <c r="M33">
        <v>2023</v>
      </c>
      <c r="N33" t="s">
        <v>47</v>
      </c>
    </row>
    <row r="34" spans="1:14" x14ac:dyDescent="0.3">
      <c r="A34" s="1">
        <v>45049</v>
      </c>
      <c r="B34" t="s">
        <v>23</v>
      </c>
      <c r="C34" t="s">
        <v>16</v>
      </c>
      <c r="D34" t="s">
        <v>17</v>
      </c>
      <c r="E34">
        <v>6</v>
      </c>
      <c r="F34">
        <v>2960.56</v>
      </c>
      <c r="G34" t="s">
        <v>20</v>
      </c>
      <c r="H34">
        <v>5</v>
      </c>
      <c r="I34">
        <v>1428.96</v>
      </c>
      <c r="J34">
        <v>1531.6</v>
      </c>
      <c r="K34" t="s">
        <v>56</v>
      </c>
      <c r="L34" t="s">
        <v>51</v>
      </c>
      <c r="M34">
        <v>2023</v>
      </c>
      <c r="N34" t="s">
        <v>44</v>
      </c>
    </row>
    <row r="35" spans="1:14" x14ac:dyDescent="0.3">
      <c r="A35" s="1">
        <v>45276</v>
      </c>
      <c r="B35" t="s">
        <v>23</v>
      </c>
      <c r="C35" t="s">
        <v>10</v>
      </c>
      <c r="D35" t="s">
        <v>11</v>
      </c>
      <c r="E35">
        <v>42</v>
      </c>
      <c r="F35">
        <v>2678.87</v>
      </c>
      <c r="G35" t="s">
        <v>20</v>
      </c>
      <c r="H35">
        <v>1</v>
      </c>
      <c r="I35">
        <v>2538.6</v>
      </c>
      <c r="J35">
        <v>140.27000000000001</v>
      </c>
      <c r="K35" t="s">
        <v>58</v>
      </c>
      <c r="L35" t="s">
        <v>59</v>
      </c>
      <c r="M35">
        <v>2023</v>
      </c>
      <c r="N35" t="s">
        <v>45</v>
      </c>
    </row>
    <row r="36" spans="1:14" x14ac:dyDescent="0.3">
      <c r="A36" s="1">
        <v>44783</v>
      </c>
      <c r="B36" t="s">
        <v>31</v>
      </c>
      <c r="C36" t="s">
        <v>25</v>
      </c>
      <c r="D36" t="s">
        <v>38</v>
      </c>
      <c r="E36">
        <v>17</v>
      </c>
      <c r="F36">
        <v>5467.02</v>
      </c>
      <c r="G36" t="s">
        <v>20</v>
      </c>
      <c r="H36">
        <v>5</v>
      </c>
      <c r="I36">
        <v>2807.67</v>
      </c>
      <c r="J36">
        <v>2659.35</v>
      </c>
      <c r="K36" t="s">
        <v>64</v>
      </c>
      <c r="L36" t="s">
        <v>61</v>
      </c>
      <c r="M36">
        <v>2022</v>
      </c>
      <c r="N36" t="s">
        <v>47</v>
      </c>
    </row>
    <row r="37" spans="1:14" x14ac:dyDescent="0.3">
      <c r="A37" s="1">
        <v>44802</v>
      </c>
      <c r="B37" t="s">
        <v>18</v>
      </c>
      <c r="C37" t="s">
        <v>21</v>
      </c>
      <c r="D37" t="s">
        <v>33</v>
      </c>
      <c r="E37">
        <v>8</v>
      </c>
      <c r="F37">
        <v>1473.79</v>
      </c>
      <c r="G37" t="s">
        <v>20</v>
      </c>
      <c r="H37">
        <v>3</v>
      </c>
      <c r="I37">
        <v>1345.72</v>
      </c>
      <c r="J37">
        <v>128.07</v>
      </c>
      <c r="K37" t="s">
        <v>64</v>
      </c>
      <c r="L37" t="s">
        <v>61</v>
      </c>
      <c r="M37">
        <v>2022</v>
      </c>
      <c r="N37" t="s">
        <v>44</v>
      </c>
    </row>
    <row r="38" spans="1:14" x14ac:dyDescent="0.3">
      <c r="A38" s="1">
        <v>44940</v>
      </c>
      <c r="B38" t="s">
        <v>9</v>
      </c>
      <c r="C38" t="s">
        <v>25</v>
      </c>
      <c r="D38" t="s">
        <v>39</v>
      </c>
      <c r="E38">
        <v>50</v>
      </c>
      <c r="F38">
        <v>5963.14</v>
      </c>
      <c r="G38" t="s">
        <v>20</v>
      </c>
      <c r="H38">
        <v>3</v>
      </c>
      <c r="I38">
        <v>8750.08</v>
      </c>
      <c r="J38">
        <v>-2786.94</v>
      </c>
      <c r="K38" t="s">
        <v>57</v>
      </c>
      <c r="L38" t="s">
        <v>53</v>
      </c>
      <c r="M38">
        <v>2023</v>
      </c>
      <c r="N38" t="s">
        <v>44</v>
      </c>
    </row>
    <row r="39" spans="1:14" x14ac:dyDescent="0.3">
      <c r="A39" s="1">
        <v>45133</v>
      </c>
      <c r="B39" t="s">
        <v>31</v>
      </c>
      <c r="C39" t="s">
        <v>25</v>
      </c>
      <c r="D39" t="s">
        <v>26</v>
      </c>
      <c r="E39">
        <v>35</v>
      </c>
      <c r="F39">
        <v>16212.42</v>
      </c>
      <c r="G39" t="s">
        <v>12</v>
      </c>
      <c r="H39">
        <v>5</v>
      </c>
      <c r="I39">
        <v>1293.7</v>
      </c>
      <c r="J39">
        <v>14918.72</v>
      </c>
      <c r="K39" t="s">
        <v>63</v>
      </c>
      <c r="L39" t="s">
        <v>61</v>
      </c>
      <c r="M39">
        <v>2023</v>
      </c>
      <c r="N39" t="s">
        <v>45</v>
      </c>
    </row>
    <row r="40" spans="1:14" x14ac:dyDescent="0.3">
      <c r="A40" s="1">
        <v>44763</v>
      </c>
      <c r="B40" t="s">
        <v>15</v>
      </c>
      <c r="C40" t="s">
        <v>13</v>
      </c>
      <c r="D40" t="s">
        <v>29</v>
      </c>
      <c r="E40">
        <v>46</v>
      </c>
      <c r="F40">
        <v>3452.74</v>
      </c>
      <c r="G40" t="s">
        <v>12</v>
      </c>
      <c r="H40">
        <v>1</v>
      </c>
      <c r="I40">
        <v>2568.4299999999998</v>
      </c>
      <c r="J40">
        <v>884.31</v>
      </c>
      <c r="K40" t="s">
        <v>63</v>
      </c>
      <c r="L40" t="s">
        <v>61</v>
      </c>
      <c r="M40">
        <v>2022</v>
      </c>
      <c r="N40" t="s">
        <v>44</v>
      </c>
    </row>
    <row r="41" spans="1:14" x14ac:dyDescent="0.3">
      <c r="A41" s="1">
        <v>44824</v>
      </c>
      <c r="B41" t="s">
        <v>18</v>
      </c>
      <c r="C41" t="s">
        <v>10</v>
      </c>
      <c r="D41" t="s">
        <v>34</v>
      </c>
      <c r="E41">
        <v>41</v>
      </c>
      <c r="F41">
        <v>9765.86</v>
      </c>
      <c r="G41" t="s">
        <v>20</v>
      </c>
      <c r="H41">
        <v>1</v>
      </c>
      <c r="I41">
        <v>4640.7299999999996</v>
      </c>
      <c r="J41">
        <v>5125.13</v>
      </c>
      <c r="K41" t="s">
        <v>60</v>
      </c>
      <c r="L41" t="s">
        <v>61</v>
      </c>
      <c r="M41">
        <v>2022</v>
      </c>
      <c r="N41" t="s">
        <v>47</v>
      </c>
    </row>
    <row r="42" spans="1:14" x14ac:dyDescent="0.3">
      <c r="A42" s="1">
        <v>44805</v>
      </c>
      <c r="B42" t="s">
        <v>9</v>
      </c>
      <c r="C42" t="s">
        <v>16</v>
      </c>
      <c r="D42" t="s">
        <v>27</v>
      </c>
      <c r="E42">
        <v>12</v>
      </c>
      <c r="F42">
        <v>254.37</v>
      </c>
      <c r="G42" t="s">
        <v>12</v>
      </c>
      <c r="H42">
        <v>4</v>
      </c>
      <c r="I42">
        <v>2704.17</v>
      </c>
      <c r="J42">
        <v>-2449.8000000000002</v>
      </c>
      <c r="K42" t="s">
        <v>60</v>
      </c>
      <c r="L42" t="s">
        <v>61</v>
      </c>
      <c r="M42">
        <v>2022</v>
      </c>
      <c r="N42" t="s">
        <v>44</v>
      </c>
    </row>
    <row r="43" spans="1:14" x14ac:dyDescent="0.3">
      <c r="A43" s="1">
        <v>45258</v>
      </c>
      <c r="B43" t="s">
        <v>23</v>
      </c>
      <c r="C43" t="s">
        <v>21</v>
      </c>
      <c r="D43" t="s">
        <v>36</v>
      </c>
      <c r="E43">
        <v>13</v>
      </c>
      <c r="F43">
        <v>823.88</v>
      </c>
      <c r="G43" t="s">
        <v>12</v>
      </c>
      <c r="H43">
        <v>5</v>
      </c>
      <c r="I43">
        <v>1158.3800000000001</v>
      </c>
      <c r="J43">
        <v>-334.5</v>
      </c>
      <c r="K43" t="s">
        <v>65</v>
      </c>
      <c r="L43" t="s">
        <v>59</v>
      </c>
      <c r="M43">
        <v>2023</v>
      </c>
      <c r="N43" t="s">
        <v>44</v>
      </c>
    </row>
    <row r="44" spans="1:14" x14ac:dyDescent="0.3">
      <c r="A44" s="1">
        <v>44744</v>
      </c>
      <c r="B44" t="s">
        <v>31</v>
      </c>
      <c r="C44" t="s">
        <v>10</v>
      </c>
      <c r="D44" t="s">
        <v>28</v>
      </c>
      <c r="E44">
        <v>21</v>
      </c>
      <c r="F44">
        <v>8375.6</v>
      </c>
      <c r="G44" t="s">
        <v>20</v>
      </c>
      <c r="H44">
        <v>4</v>
      </c>
      <c r="I44">
        <v>2127.09</v>
      </c>
      <c r="J44">
        <v>6248.51</v>
      </c>
      <c r="K44" t="s">
        <v>63</v>
      </c>
      <c r="L44" t="s">
        <v>61</v>
      </c>
      <c r="M44">
        <v>2022</v>
      </c>
      <c r="N44" t="s">
        <v>45</v>
      </c>
    </row>
    <row r="45" spans="1:14" x14ac:dyDescent="0.3">
      <c r="A45" s="1">
        <v>44721</v>
      </c>
      <c r="B45" t="s">
        <v>9</v>
      </c>
      <c r="C45" t="s">
        <v>25</v>
      </c>
      <c r="D45" t="s">
        <v>39</v>
      </c>
      <c r="E45">
        <v>27</v>
      </c>
      <c r="F45">
        <v>6601.03</v>
      </c>
      <c r="G45" t="s">
        <v>12</v>
      </c>
      <c r="H45">
        <v>1</v>
      </c>
      <c r="I45">
        <v>6107.2</v>
      </c>
      <c r="J45">
        <v>493.83</v>
      </c>
      <c r="K45" t="s">
        <v>50</v>
      </c>
      <c r="L45" t="s">
        <v>51</v>
      </c>
      <c r="M45">
        <v>2022</v>
      </c>
      <c r="N45" t="s">
        <v>46</v>
      </c>
    </row>
    <row r="46" spans="1:14" x14ac:dyDescent="0.3">
      <c r="A46" s="1">
        <v>44771</v>
      </c>
      <c r="B46" t="s">
        <v>31</v>
      </c>
      <c r="C46" t="s">
        <v>21</v>
      </c>
      <c r="D46" t="s">
        <v>32</v>
      </c>
      <c r="E46">
        <v>11</v>
      </c>
      <c r="F46">
        <v>2383.04</v>
      </c>
      <c r="G46" t="s">
        <v>12</v>
      </c>
      <c r="H46">
        <v>2</v>
      </c>
      <c r="I46">
        <v>773.3</v>
      </c>
      <c r="J46">
        <v>1609.74</v>
      </c>
      <c r="K46" t="s">
        <v>63</v>
      </c>
      <c r="L46" t="s">
        <v>61</v>
      </c>
      <c r="M46">
        <v>2022</v>
      </c>
      <c r="N46" t="s">
        <v>44</v>
      </c>
    </row>
    <row r="47" spans="1:14" x14ac:dyDescent="0.3">
      <c r="A47" s="1">
        <v>44823</v>
      </c>
      <c r="B47" t="s">
        <v>23</v>
      </c>
      <c r="C47" t="s">
        <v>13</v>
      </c>
      <c r="D47" t="s">
        <v>19</v>
      </c>
      <c r="E47">
        <v>30</v>
      </c>
      <c r="F47">
        <v>4321.34</v>
      </c>
      <c r="G47" t="s">
        <v>20</v>
      </c>
      <c r="H47">
        <v>1</v>
      </c>
      <c r="I47">
        <v>4530.51</v>
      </c>
      <c r="J47">
        <v>-209.17</v>
      </c>
      <c r="K47" t="s">
        <v>60</v>
      </c>
      <c r="L47" t="s">
        <v>61</v>
      </c>
      <c r="M47">
        <v>2022</v>
      </c>
      <c r="N47" t="s">
        <v>44</v>
      </c>
    </row>
    <row r="48" spans="1:14" x14ac:dyDescent="0.3">
      <c r="A48" s="1">
        <v>45142</v>
      </c>
      <c r="B48" t="s">
        <v>18</v>
      </c>
      <c r="C48" t="s">
        <v>21</v>
      </c>
      <c r="D48" t="s">
        <v>22</v>
      </c>
      <c r="E48">
        <v>17</v>
      </c>
      <c r="F48">
        <v>2877.76</v>
      </c>
      <c r="G48" t="s">
        <v>12</v>
      </c>
      <c r="H48">
        <v>1</v>
      </c>
      <c r="I48">
        <v>1652.86</v>
      </c>
      <c r="J48">
        <v>1224.9000000000001</v>
      </c>
      <c r="K48" t="s">
        <v>64</v>
      </c>
      <c r="L48" t="s">
        <v>61</v>
      </c>
      <c r="M48">
        <v>2023</v>
      </c>
      <c r="N48" t="s">
        <v>45</v>
      </c>
    </row>
    <row r="49" spans="1:14" x14ac:dyDescent="0.3">
      <c r="A49" s="1">
        <v>45142</v>
      </c>
      <c r="B49" t="s">
        <v>23</v>
      </c>
      <c r="C49" t="s">
        <v>25</v>
      </c>
      <c r="D49" t="s">
        <v>38</v>
      </c>
      <c r="E49">
        <v>18</v>
      </c>
      <c r="F49">
        <v>4279.21</v>
      </c>
      <c r="G49" t="s">
        <v>12</v>
      </c>
      <c r="H49">
        <v>3</v>
      </c>
      <c r="I49">
        <v>2423.65</v>
      </c>
      <c r="J49">
        <v>1855.56</v>
      </c>
      <c r="K49" t="s">
        <v>64</v>
      </c>
      <c r="L49" t="s">
        <v>61</v>
      </c>
      <c r="M49">
        <v>2023</v>
      </c>
      <c r="N49" t="s">
        <v>47</v>
      </c>
    </row>
    <row r="50" spans="1:14" x14ac:dyDescent="0.3">
      <c r="A50" s="1">
        <v>44963</v>
      </c>
      <c r="B50" t="s">
        <v>31</v>
      </c>
      <c r="C50" t="s">
        <v>25</v>
      </c>
      <c r="D50" t="s">
        <v>38</v>
      </c>
      <c r="E50">
        <v>18</v>
      </c>
      <c r="F50">
        <v>2685.04</v>
      </c>
      <c r="G50" t="s">
        <v>20</v>
      </c>
      <c r="H50">
        <v>4</v>
      </c>
      <c r="I50">
        <v>1326.23</v>
      </c>
      <c r="J50">
        <v>1358.81</v>
      </c>
      <c r="K50" t="s">
        <v>54</v>
      </c>
      <c r="L50" t="s">
        <v>53</v>
      </c>
      <c r="M50">
        <v>2023</v>
      </c>
      <c r="N50" t="s">
        <v>46</v>
      </c>
    </row>
    <row r="51" spans="1:14" x14ac:dyDescent="0.3">
      <c r="A51" s="1">
        <v>45006</v>
      </c>
      <c r="B51" t="s">
        <v>31</v>
      </c>
      <c r="C51" t="s">
        <v>21</v>
      </c>
      <c r="D51" t="s">
        <v>32</v>
      </c>
      <c r="E51">
        <v>9</v>
      </c>
      <c r="F51">
        <v>3552.51</v>
      </c>
      <c r="G51" t="s">
        <v>20</v>
      </c>
      <c r="H51">
        <v>5</v>
      </c>
      <c r="I51">
        <v>2233.06</v>
      </c>
      <c r="J51">
        <v>1319.45</v>
      </c>
      <c r="K51" t="s">
        <v>52</v>
      </c>
      <c r="L51" t="s">
        <v>53</v>
      </c>
      <c r="M51">
        <v>2023</v>
      </c>
      <c r="N51" t="s">
        <v>45</v>
      </c>
    </row>
    <row r="52" spans="1:14" x14ac:dyDescent="0.3">
      <c r="A52" s="1">
        <v>45217</v>
      </c>
      <c r="B52" t="s">
        <v>23</v>
      </c>
      <c r="C52" t="s">
        <v>10</v>
      </c>
      <c r="D52" t="s">
        <v>35</v>
      </c>
      <c r="E52">
        <v>39</v>
      </c>
      <c r="F52">
        <v>17358.37</v>
      </c>
      <c r="G52" t="s">
        <v>12</v>
      </c>
      <c r="H52">
        <v>5</v>
      </c>
      <c r="I52">
        <v>3162.14</v>
      </c>
      <c r="J52">
        <v>14196.23</v>
      </c>
      <c r="K52" t="s">
        <v>62</v>
      </c>
      <c r="L52" t="s">
        <v>59</v>
      </c>
      <c r="M52">
        <v>2023</v>
      </c>
      <c r="N52" t="s">
        <v>47</v>
      </c>
    </row>
    <row r="53" spans="1:14" x14ac:dyDescent="0.3">
      <c r="A53" s="1">
        <v>45153</v>
      </c>
      <c r="B53" t="s">
        <v>9</v>
      </c>
      <c r="C53" t="s">
        <v>10</v>
      </c>
      <c r="D53" t="s">
        <v>11</v>
      </c>
      <c r="E53">
        <v>2</v>
      </c>
      <c r="F53">
        <v>882.83</v>
      </c>
      <c r="G53" t="s">
        <v>20</v>
      </c>
      <c r="H53">
        <v>3</v>
      </c>
      <c r="I53">
        <v>64.959999999999994</v>
      </c>
      <c r="J53">
        <v>817.87</v>
      </c>
      <c r="K53" t="s">
        <v>64</v>
      </c>
      <c r="L53" t="s">
        <v>61</v>
      </c>
      <c r="M53">
        <v>2023</v>
      </c>
      <c r="N53" t="s">
        <v>44</v>
      </c>
    </row>
    <row r="54" spans="1:14" x14ac:dyDescent="0.3">
      <c r="A54" s="1">
        <v>44633</v>
      </c>
      <c r="B54" t="s">
        <v>23</v>
      </c>
      <c r="C54" t="s">
        <v>13</v>
      </c>
      <c r="D54" t="s">
        <v>19</v>
      </c>
      <c r="E54">
        <v>39</v>
      </c>
      <c r="F54">
        <v>18468.5</v>
      </c>
      <c r="G54" t="s">
        <v>12</v>
      </c>
      <c r="H54">
        <v>5</v>
      </c>
      <c r="I54">
        <v>7027.61</v>
      </c>
      <c r="J54">
        <v>11440.89</v>
      </c>
      <c r="K54" t="s">
        <v>52</v>
      </c>
      <c r="L54" t="s">
        <v>53</v>
      </c>
      <c r="M54">
        <v>2022</v>
      </c>
      <c r="N54" t="s">
        <v>44</v>
      </c>
    </row>
    <row r="55" spans="1:14" x14ac:dyDescent="0.3">
      <c r="A55" s="1">
        <v>44724</v>
      </c>
      <c r="B55" t="s">
        <v>23</v>
      </c>
      <c r="C55" t="s">
        <v>16</v>
      </c>
      <c r="D55" t="s">
        <v>37</v>
      </c>
      <c r="E55">
        <v>28</v>
      </c>
      <c r="F55">
        <v>13953.83</v>
      </c>
      <c r="G55" t="s">
        <v>20</v>
      </c>
      <c r="H55">
        <v>1</v>
      </c>
      <c r="I55">
        <v>4942.6400000000003</v>
      </c>
      <c r="J55">
        <v>9011.19</v>
      </c>
      <c r="K55" t="s">
        <v>50</v>
      </c>
      <c r="L55" t="s">
        <v>51</v>
      </c>
      <c r="M55">
        <v>2022</v>
      </c>
      <c r="N55" t="s">
        <v>47</v>
      </c>
    </row>
    <row r="56" spans="1:14" x14ac:dyDescent="0.3">
      <c r="A56" s="1">
        <v>45282</v>
      </c>
      <c r="B56" t="s">
        <v>15</v>
      </c>
      <c r="C56" t="s">
        <v>16</v>
      </c>
      <c r="D56" t="s">
        <v>27</v>
      </c>
      <c r="E56">
        <v>11</v>
      </c>
      <c r="F56">
        <v>2541.92</v>
      </c>
      <c r="G56" t="s">
        <v>20</v>
      </c>
      <c r="H56">
        <v>3</v>
      </c>
      <c r="I56">
        <v>1282.07</v>
      </c>
      <c r="J56">
        <v>1259.8499999999999</v>
      </c>
      <c r="K56" t="s">
        <v>58</v>
      </c>
      <c r="L56" t="s">
        <v>59</v>
      </c>
      <c r="M56">
        <v>2023</v>
      </c>
      <c r="N56" t="s">
        <v>44</v>
      </c>
    </row>
    <row r="57" spans="1:14" x14ac:dyDescent="0.3">
      <c r="A57" s="1">
        <v>44831</v>
      </c>
      <c r="B57" t="s">
        <v>23</v>
      </c>
      <c r="C57" t="s">
        <v>25</v>
      </c>
      <c r="D57" t="s">
        <v>30</v>
      </c>
      <c r="E57">
        <v>1</v>
      </c>
      <c r="F57">
        <v>372.52</v>
      </c>
      <c r="G57" t="s">
        <v>12</v>
      </c>
      <c r="H57">
        <v>1</v>
      </c>
      <c r="I57">
        <v>156.54</v>
      </c>
      <c r="J57">
        <v>215.98</v>
      </c>
      <c r="K57" t="s">
        <v>60</v>
      </c>
      <c r="L57" t="s">
        <v>61</v>
      </c>
      <c r="M57">
        <v>2022</v>
      </c>
      <c r="N57" t="s">
        <v>47</v>
      </c>
    </row>
    <row r="58" spans="1:14" x14ac:dyDescent="0.3">
      <c r="A58" s="1">
        <v>45078</v>
      </c>
      <c r="B58" t="s">
        <v>31</v>
      </c>
      <c r="C58" t="s">
        <v>16</v>
      </c>
      <c r="D58" t="s">
        <v>17</v>
      </c>
      <c r="E58">
        <v>33</v>
      </c>
      <c r="F58">
        <v>9687.4</v>
      </c>
      <c r="G58" t="s">
        <v>20</v>
      </c>
      <c r="H58">
        <v>4</v>
      </c>
      <c r="I58">
        <v>4854.75</v>
      </c>
      <c r="J58">
        <v>4832.6499999999996</v>
      </c>
      <c r="K58" t="s">
        <v>50</v>
      </c>
      <c r="L58" t="s">
        <v>51</v>
      </c>
      <c r="M58">
        <v>2023</v>
      </c>
      <c r="N58" t="s">
        <v>44</v>
      </c>
    </row>
    <row r="59" spans="1:14" x14ac:dyDescent="0.3">
      <c r="A59" s="1">
        <v>44772</v>
      </c>
      <c r="B59" t="s">
        <v>15</v>
      </c>
      <c r="C59" t="s">
        <v>25</v>
      </c>
      <c r="D59" t="s">
        <v>30</v>
      </c>
      <c r="E59">
        <v>48</v>
      </c>
      <c r="F59">
        <v>4457.95</v>
      </c>
      <c r="G59" t="s">
        <v>20</v>
      </c>
      <c r="H59">
        <v>5</v>
      </c>
      <c r="I59">
        <v>6541.78</v>
      </c>
      <c r="J59">
        <v>-2083.83</v>
      </c>
      <c r="K59" t="s">
        <v>63</v>
      </c>
      <c r="L59" t="s">
        <v>61</v>
      </c>
      <c r="M59">
        <v>2022</v>
      </c>
      <c r="N59" t="s">
        <v>44</v>
      </c>
    </row>
    <row r="60" spans="1:14" x14ac:dyDescent="0.3">
      <c r="A60" s="1">
        <v>44941</v>
      </c>
      <c r="B60" t="s">
        <v>15</v>
      </c>
      <c r="C60" t="s">
        <v>16</v>
      </c>
      <c r="D60" t="s">
        <v>27</v>
      </c>
      <c r="E60">
        <v>40</v>
      </c>
      <c r="F60">
        <v>1296.2</v>
      </c>
      <c r="G60" t="s">
        <v>20</v>
      </c>
      <c r="H60">
        <v>3</v>
      </c>
      <c r="I60">
        <v>246.28</v>
      </c>
      <c r="J60">
        <v>1049.92</v>
      </c>
      <c r="K60" t="s">
        <v>57</v>
      </c>
      <c r="L60" t="s">
        <v>53</v>
      </c>
      <c r="M60">
        <v>2023</v>
      </c>
      <c r="N60" t="s">
        <v>43</v>
      </c>
    </row>
    <row r="61" spans="1:14" x14ac:dyDescent="0.3">
      <c r="A61" s="1">
        <v>44823</v>
      </c>
      <c r="B61" t="s">
        <v>9</v>
      </c>
      <c r="C61" t="s">
        <v>21</v>
      </c>
      <c r="D61" t="s">
        <v>32</v>
      </c>
      <c r="E61">
        <v>48</v>
      </c>
      <c r="F61">
        <v>21116.34</v>
      </c>
      <c r="G61" t="s">
        <v>12</v>
      </c>
      <c r="H61">
        <v>4</v>
      </c>
      <c r="I61">
        <v>7595.67</v>
      </c>
      <c r="J61">
        <v>13520.67</v>
      </c>
      <c r="K61" t="s">
        <v>60</v>
      </c>
      <c r="L61" t="s">
        <v>61</v>
      </c>
      <c r="M61">
        <v>2022</v>
      </c>
      <c r="N61" t="s">
        <v>47</v>
      </c>
    </row>
    <row r="62" spans="1:14" x14ac:dyDescent="0.3">
      <c r="A62" s="1">
        <v>44830</v>
      </c>
      <c r="B62" t="s">
        <v>18</v>
      </c>
      <c r="C62" t="s">
        <v>10</v>
      </c>
      <c r="D62" t="s">
        <v>11</v>
      </c>
      <c r="E62">
        <v>31</v>
      </c>
      <c r="F62">
        <v>5236.74</v>
      </c>
      <c r="G62" t="s">
        <v>20</v>
      </c>
      <c r="H62">
        <v>5</v>
      </c>
      <c r="I62">
        <v>7402.97</v>
      </c>
      <c r="J62">
        <v>-2166.23</v>
      </c>
      <c r="K62" t="s">
        <v>60</v>
      </c>
      <c r="L62" t="s">
        <v>61</v>
      </c>
      <c r="M62">
        <v>2022</v>
      </c>
      <c r="N62" t="s">
        <v>44</v>
      </c>
    </row>
    <row r="63" spans="1:14" x14ac:dyDescent="0.3">
      <c r="A63" s="1">
        <v>44984</v>
      </c>
      <c r="B63" t="s">
        <v>18</v>
      </c>
      <c r="C63" t="s">
        <v>25</v>
      </c>
      <c r="D63" t="s">
        <v>38</v>
      </c>
      <c r="E63">
        <v>18</v>
      </c>
      <c r="F63">
        <v>4295.16</v>
      </c>
      <c r="G63" t="s">
        <v>12</v>
      </c>
      <c r="H63">
        <v>2</v>
      </c>
      <c r="I63">
        <v>3938.62</v>
      </c>
      <c r="J63">
        <v>356.54</v>
      </c>
      <c r="K63" t="s">
        <v>54</v>
      </c>
      <c r="L63" t="s">
        <v>53</v>
      </c>
      <c r="M63">
        <v>2023</v>
      </c>
      <c r="N63" t="s">
        <v>44</v>
      </c>
    </row>
    <row r="64" spans="1:14" x14ac:dyDescent="0.3">
      <c r="A64" s="1">
        <v>45256</v>
      </c>
      <c r="B64" t="s">
        <v>31</v>
      </c>
      <c r="C64" t="s">
        <v>13</v>
      </c>
      <c r="D64" t="s">
        <v>19</v>
      </c>
      <c r="E64">
        <v>38</v>
      </c>
      <c r="F64">
        <v>2603.2399999999998</v>
      </c>
      <c r="G64" t="s">
        <v>20</v>
      </c>
      <c r="H64">
        <v>4</v>
      </c>
      <c r="I64">
        <v>8658.3799999999992</v>
      </c>
      <c r="J64">
        <v>-6055.14</v>
      </c>
      <c r="K64" t="s">
        <v>65</v>
      </c>
      <c r="L64" t="s">
        <v>59</v>
      </c>
      <c r="M64">
        <v>2023</v>
      </c>
      <c r="N64" t="s">
        <v>44</v>
      </c>
    </row>
    <row r="65" spans="1:14" x14ac:dyDescent="0.3">
      <c r="A65" s="1">
        <v>45171</v>
      </c>
      <c r="B65" t="s">
        <v>9</v>
      </c>
      <c r="C65" t="s">
        <v>13</v>
      </c>
      <c r="D65" t="s">
        <v>19</v>
      </c>
      <c r="E65">
        <v>38</v>
      </c>
      <c r="F65">
        <v>11852.59</v>
      </c>
      <c r="G65" t="s">
        <v>12</v>
      </c>
      <c r="H65">
        <v>3</v>
      </c>
      <c r="I65">
        <v>7891.88</v>
      </c>
      <c r="J65">
        <v>3960.71</v>
      </c>
      <c r="K65" t="s">
        <v>60</v>
      </c>
      <c r="L65" t="s">
        <v>61</v>
      </c>
      <c r="M65">
        <v>2023</v>
      </c>
      <c r="N65" t="s">
        <v>47</v>
      </c>
    </row>
    <row r="66" spans="1:14" x14ac:dyDescent="0.3">
      <c r="A66" s="1">
        <v>44667</v>
      </c>
      <c r="B66" t="s">
        <v>9</v>
      </c>
      <c r="C66" t="s">
        <v>25</v>
      </c>
      <c r="D66" t="s">
        <v>26</v>
      </c>
      <c r="E66">
        <v>20</v>
      </c>
      <c r="F66">
        <v>8416.1</v>
      </c>
      <c r="G66" t="s">
        <v>12</v>
      </c>
      <c r="H66">
        <v>3</v>
      </c>
      <c r="I66">
        <v>2279.83</v>
      </c>
      <c r="J66">
        <v>6136.27</v>
      </c>
      <c r="K66" t="s">
        <v>55</v>
      </c>
      <c r="L66" t="s">
        <v>51</v>
      </c>
      <c r="M66">
        <v>2022</v>
      </c>
      <c r="N66" t="s">
        <v>44</v>
      </c>
    </row>
    <row r="67" spans="1:14" x14ac:dyDescent="0.3">
      <c r="A67" s="1">
        <v>45171</v>
      </c>
      <c r="B67" t="s">
        <v>18</v>
      </c>
      <c r="C67" t="s">
        <v>21</v>
      </c>
      <c r="D67" t="s">
        <v>32</v>
      </c>
      <c r="E67">
        <v>39</v>
      </c>
      <c r="F67">
        <v>3154</v>
      </c>
      <c r="G67" t="s">
        <v>12</v>
      </c>
      <c r="H67">
        <v>1</v>
      </c>
      <c r="I67">
        <v>5257.31</v>
      </c>
      <c r="J67">
        <v>-2103.31</v>
      </c>
      <c r="K67" t="s">
        <v>60</v>
      </c>
      <c r="L67" t="s">
        <v>61</v>
      </c>
      <c r="M67">
        <v>2023</v>
      </c>
      <c r="N67" t="s">
        <v>44</v>
      </c>
    </row>
    <row r="68" spans="1:14" x14ac:dyDescent="0.3">
      <c r="A68" s="1">
        <v>44722</v>
      </c>
      <c r="B68" t="s">
        <v>15</v>
      </c>
      <c r="C68" t="s">
        <v>16</v>
      </c>
      <c r="D68" t="s">
        <v>24</v>
      </c>
      <c r="E68">
        <v>14</v>
      </c>
      <c r="F68">
        <v>5683.65</v>
      </c>
      <c r="G68" t="s">
        <v>12</v>
      </c>
      <c r="H68">
        <v>1</v>
      </c>
      <c r="I68">
        <v>1320.14</v>
      </c>
      <c r="J68">
        <v>4363.51</v>
      </c>
      <c r="K68" t="s">
        <v>50</v>
      </c>
      <c r="L68" t="s">
        <v>51</v>
      </c>
      <c r="M68">
        <v>2022</v>
      </c>
      <c r="N68" t="s">
        <v>45</v>
      </c>
    </row>
    <row r="69" spans="1:14" x14ac:dyDescent="0.3">
      <c r="A69" s="1">
        <v>44780</v>
      </c>
      <c r="B69" t="s">
        <v>23</v>
      </c>
      <c r="C69" t="s">
        <v>16</v>
      </c>
      <c r="D69" t="s">
        <v>17</v>
      </c>
      <c r="E69">
        <v>7</v>
      </c>
      <c r="F69">
        <v>1629.56</v>
      </c>
      <c r="G69" t="s">
        <v>20</v>
      </c>
      <c r="H69">
        <v>1</v>
      </c>
      <c r="I69">
        <v>267.11</v>
      </c>
      <c r="J69">
        <v>1362.45</v>
      </c>
      <c r="K69" t="s">
        <v>64</v>
      </c>
      <c r="L69" t="s">
        <v>61</v>
      </c>
      <c r="M69">
        <v>2022</v>
      </c>
      <c r="N69" t="s">
        <v>44</v>
      </c>
    </row>
    <row r="70" spans="1:14" x14ac:dyDescent="0.3">
      <c r="A70" s="1">
        <v>45151</v>
      </c>
      <c r="B70" t="s">
        <v>23</v>
      </c>
      <c r="C70" t="s">
        <v>21</v>
      </c>
      <c r="D70" t="s">
        <v>22</v>
      </c>
      <c r="E70">
        <v>33</v>
      </c>
      <c r="F70">
        <v>3616.95</v>
      </c>
      <c r="G70" t="s">
        <v>12</v>
      </c>
      <c r="H70">
        <v>5</v>
      </c>
      <c r="I70">
        <v>1191.25</v>
      </c>
      <c r="J70">
        <v>2425.6999999999998</v>
      </c>
      <c r="K70" t="s">
        <v>64</v>
      </c>
      <c r="L70" t="s">
        <v>61</v>
      </c>
      <c r="M70">
        <v>2023</v>
      </c>
      <c r="N70" t="s">
        <v>47</v>
      </c>
    </row>
    <row r="71" spans="1:14" x14ac:dyDescent="0.3">
      <c r="A71" s="1">
        <v>44699</v>
      </c>
      <c r="B71" t="s">
        <v>15</v>
      </c>
      <c r="C71" t="s">
        <v>16</v>
      </c>
      <c r="D71" t="s">
        <v>17</v>
      </c>
      <c r="E71">
        <v>35</v>
      </c>
      <c r="F71">
        <v>5038.96</v>
      </c>
      <c r="G71" t="s">
        <v>12</v>
      </c>
      <c r="H71">
        <v>4</v>
      </c>
      <c r="I71">
        <v>8240.83</v>
      </c>
      <c r="J71">
        <v>-3201.87</v>
      </c>
      <c r="K71" t="s">
        <v>56</v>
      </c>
      <c r="L71" t="s">
        <v>51</v>
      </c>
      <c r="M71">
        <v>2022</v>
      </c>
      <c r="N71" t="s">
        <v>44</v>
      </c>
    </row>
    <row r="72" spans="1:14" x14ac:dyDescent="0.3">
      <c r="A72" s="1">
        <v>45045</v>
      </c>
      <c r="B72" t="s">
        <v>31</v>
      </c>
      <c r="C72" t="s">
        <v>25</v>
      </c>
      <c r="D72" t="s">
        <v>30</v>
      </c>
      <c r="E72">
        <v>7</v>
      </c>
      <c r="F72">
        <v>1820.46</v>
      </c>
      <c r="G72" t="s">
        <v>12</v>
      </c>
      <c r="H72">
        <v>5</v>
      </c>
      <c r="I72">
        <v>1345.23</v>
      </c>
      <c r="J72">
        <v>475.23</v>
      </c>
      <c r="K72" t="s">
        <v>55</v>
      </c>
      <c r="L72" t="s">
        <v>51</v>
      </c>
      <c r="M72">
        <v>2023</v>
      </c>
      <c r="N72" t="s">
        <v>44</v>
      </c>
    </row>
    <row r="73" spans="1:14" x14ac:dyDescent="0.3">
      <c r="A73" s="1">
        <v>44870</v>
      </c>
      <c r="B73" t="s">
        <v>15</v>
      </c>
      <c r="C73" t="s">
        <v>16</v>
      </c>
      <c r="D73" t="s">
        <v>17</v>
      </c>
      <c r="E73">
        <v>2</v>
      </c>
      <c r="F73">
        <v>302.02</v>
      </c>
      <c r="G73" t="s">
        <v>12</v>
      </c>
      <c r="H73">
        <v>3</v>
      </c>
      <c r="I73">
        <v>456.57</v>
      </c>
      <c r="J73">
        <v>-154.55000000000001</v>
      </c>
      <c r="K73" t="s">
        <v>65</v>
      </c>
      <c r="L73" t="s">
        <v>59</v>
      </c>
      <c r="M73">
        <v>2022</v>
      </c>
      <c r="N73" t="s">
        <v>44</v>
      </c>
    </row>
    <row r="74" spans="1:14" x14ac:dyDescent="0.3">
      <c r="A74" s="1">
        <v>45137</v>
      </c>
      <c r="B74" t="s">
        <v>9</v>
      </c>
      <c r="C74" t="s">
        <v>21</v>
      </c>
      <c r="D74" t="s">
        <v>22</v>
      </c>
      <c r="E74">
        <v>29</v>
      </c>
      <c r="F74">
        <v>4863.6400000000003</v>
      </c>
      <c r="G74" t="s">
        <v>20</v>
      </c>
      <c r="H74">
        <v>5</v>
      </c>
      <c r="I74">
        <v>3678.13</v>
      </c>
      <c r="J74">
        <v>1185.51</v>
      </c>
      <c r="K74" t="s">
        <v>63</v>
      </c>
      <c r="L74" t="s">
        <v>61</v>
      </c>
      <c r="M74">
        <v>2023</v>
      </c>
      <c r="N74" t="s">
        <v>44</v>
      </c>
    </row>
    <row r="75" spans="1:14" x14ac:dyDescent="0.3">
      <c r="A75" s="1">
        <v>44836</v>
      </c>
      <c r="B75" t="s">
        <v>15</v>
      </c>
      <c r="C75" t="s">
        <v>16</v>
      </c>
      <c r="D75" t="s">
        <v>17</v>
      </c>
      <c r="E75">
        <v>8</v>
      </c>
      <c r="F75">
        <v>3297.56</v>
      </c>
      <c r="G75" t="s">
        <v>20</v>
      </c>
      <c r="H75">
        <v>5</v>
      </c>
      <c r="I75">
        <v>1010</v>
      </c>
      <c r="J75">
        <v>2287.56</v>
      </c>
      <c r="K75" t="s">
        <v>62</v>
      </c>
      <c r="L75" t="s">
        <v>59</v>
      </c>
      <c r="M75">
        <v>2022</v>
      </c>
      <c r="N75" t="s">
        <v>45</v>
      </c>
    </row>
    <row r="76" spans="1:14" x14ac:dyDescent="0.3">
      <c r="A76" s="1">
        <v>45111</v>
      </c>
      <c r="B76" t="s">
        <v>23</v>
      </c>
      <c r="C76" t="s">
        <v>25</v>
      </c>
      <c r="D76" t="s">
        <v>39</v>
      </c>
      <c r="E76">
        <v>4</v>
      </c>
      <c r="F76">
        <v>1947</v>
      </c>
      <c r="G76" t="s">
        <v>12</v>
      </c>
      <c r="H76">
        <v>4</v>
      </c>
      <c r="I76">
        <v>993.24</v>
      </c>
      <c r="J76">
        <v>953.76</v>
      </c>
      <c r="K76" t="s">
        <v>63</v>
      </c>
      <c r="L76" t="s">
        <v>61</v>
      </c>
      <c r="M76">
        <v>2023</v>
      </c>
      <c r="N76" t="s">
        <v>44</v>
      </c>
    </row>
    <row r="77" spans="1:14" x14ac:dyDescent="0.3">
      <c r="A77" s="1">
        <v>45025</v>
      </c>
      <c r="B77" t="s">
        <v>15</v>
      </c>
      <c r="C77" t="s">
        <v>16</v>
      </c>
      <c r="D77" t="s">
        <v>27</v>
      </c>
      <c r="E77">
        <v>33</v>
      </c>
      <c r="F77">
        <v>14895.16</v>
      </c>
      <c r="G77" t="s">
        <v>20</v>
      </c>
      <c r="H77">
        <v>1</v>
      </c>
      <c r="I77">
        <v>4642.05</v>
      </c>
      <c r="J77">
        <v>10253.11</v>
      </c>
      <c r="K77" t="s">
        <v>55</v>
      </c>
      <c r="L77" t="s">
        <v>51</v>
      </c>
      <c r="M77">
        <v>2023</v>
      </c>
      <c r="N77" t="s">
        <v>44</v>
      </c>
    </row>
    <row r="78" spans="1:14" x14ac:dyDescent="0.3">
      <c r="A78" s="1">
        <v>45285</v>
      </c>
      <c r="B78" t="s">
        <v>31</v>
      </c>
      <c r="C78" t="s">
        <v>13</v>
      </c>
      <c r="D78" t="s">
        <v>29</v>
      </c>
      <c r="E78">
        <v>36</v>
      </c>
      <c r="F78">
        <v>3347.8</v>
      </c>
      <c r="G78" t="s">
        <v>12</v>
      </c>
      <c r="H78">
        <v>5</v>
      </c>
      <c r="I78">
        <v>5776.16</v>
      </c>
      <c r="J78">
        <v>-2428.36</v>
      </c>
      <c r="K78" t="s">
        <v>58</v>
      </c>
      <c r="L78" t="s">
        <v>59</v>
      </c>
      <c r="M78">
        <v>2023</v>
      </c>
      <c r="N78" t="s">
        <v>43</v>
      </c>
    </row>
    <row r="79" spans="1:14" x14ac:dyDescent="0.3">
      <c r="A79" s="1">
        <v>44781</v>
      </c>
      <c r="B79" t="s">
        <v>23</v>
      </c>
      <c r="C79" t="s">
        <v>21</v>
      </c>
      <c r="D79" t="s">
        <v>22</v>
      </c>
      <c r="E79">
        <v>33</v>
      </c>
      <c r="F79">
        <v>12722.38</v>
      </c>
      <c r="G79" t="s">
        <v>12</v>
      </c>
      <c r="H79">
        <v>5</v>
      </c>
      <c r="I79">
        <v>2354.31</v>
      </c>
      <c r="J79">
        <v>10368.07</v>
      </c>
      <c r="K79" t="s">
        <v>64</v>
      </c>
      <c r="L79" t="s">
        <v>61</v>
      </c>
      <c r="M79">
        <v>2022</v>
      </c>
      <c r="N79" t="s">
        <v>44</v>
      </c>
    </row>
    <row r="80" spans="1:14" x14ac:dyDescent="0.3">
      <c r="A80" s="1">
        <v>44629</v>
      </c>
      <c r="B80" t="s">
        <v>9</v>
      </c>
      <c r="C80" t="s">
        <v>13</v>
      </c>
      <c r="D80" t="s">
        <v>14</v>
      </c>
      <c r="E80">
        <v>22</v>
      </c>
      <c r="F80">
        <v>1700.5</v>
      </c>
      <c r="G80" t="s">
        <v>12</v>
      </c>
      <c r="H80">
        <v>1</v>
      </c>
      <c r="I80">
        <v>5308.2</v>
      </c>
      <c r="J80">
        <v>-3607.7</v>
      </c>
      <c r="K80" t="s">
        <v>52</v>
      </c>
      <c r="L80" t="s">
        <v>53</v>
      </c>
      <c r="M80">
        <v>2022</v>
      </c>
      <c r="N80" t="s">
        <v>46</v>
      </c>
    </row>
    <row r="81" spans="1:14" x14ac:dyDescent="0.3">
      <c r="A81" s="1">
        <v>45032</v>
      </c>
      <c r="B81" t="s">
        <v>31</v>
      </c>
      <c r="C81" t="s">
        <v>21</v>
      </c>
      <c r="D81" t="s">
        <v>32</v>
      </c>
      <c r="E81">
        <v>45</v>
      </c>
      <c r="F81">
        <v>2852.92</v>
      </c>
      <c r="G81" t="s">
        <v>12</v>
      </c>
      <c r="H81">
        <v>1</v>
      </c>
      <c r="I81">
        <v>10089.08</v>
      </c>
      <c r="J81">
        <v>-7236.16</v>
      </c>
      <c r="K81" t="s">
        <v>55</v>
      </c>
      <c r="L81" t="s">
        <v>51</v>
      </c>
      <c r="M81">
        <v>2023</v>
      </c>
      <c r="N81" t="s">
        <v>44</v>
      </c>
    </row>
    <row r="82" spans="1:14" x14ac:dyDescent="0.3">
      <c r="A82" s="1">
        <v>44751</v>
      </c>
      <c r="B82" t="s">
        <v>23</v>
      </c>
      <c r="C82" t="s">
        <v>10</v>
      </c>
      <c r="D82" t="s">
        <v>34</v>
      </c>
      <c r="E82">
        <v>13</v>
      </c>
      <c r="F82">
        <v>5228.1899999999996</v>
      </c>
      <c r="G82" t="s">
        <v>12</v>
      </c>
      <c r="H82">
        <v>3</v>
      </c>
      <c r="I82">
        <v>2042.42</v>
      </c>
      <c r="J82">
        <v>3185.77</v>
      </c>
      <c r="K82" t="s">
        <v>63</v>
      </c>
      <c r="L82" t="s">
        <v>61</v>
      </c>
      <c r="M82">
        <v>2022</v>
      </c>
      <c r="N82" t="s">
        <v>47</v>
      </c>
    </row>
    <row r="83" spans="1:14" x14ac:dyDescent="0.3">
      <c r="A83" s="1">
        <v>45049</v>
      </c>
      <c r="B83" t="s">
        <v>18</v>
      </c>
      <c r="C83" t="s">
        <v>16</v>
      </c>
      <c r="D83" t="s">
        <v>17</v>
      </c>
      <c r="E83">
        <v>25</v>
      </c>
      <c r="F83">
        <v>4499.3</v>
      </c>
      <c r="G83" t="s">
        <v>20</v>
      </c>
      <c r="H83">
        <v>5</v>
      </c>
      <c r="I83">
        <v>4048.89</v>
      </c>
      <c r="J83">
        <v>450.41</v>
      </c>
      <c r="K83" t="s">
        <v>56</v>
      </c>
      <c r="L83" t="s">
        <v>51</v>
      </c>
      <c r="M83">
        <v>2023</v>
      </c>
      <c r="N83" t="s">
        <v>44</v>
      </c>
    </row>
    <row r="84" spans="1:14" x14ac:dyDescent="0.3">
      <c r="A84" s="1">
        <v>45202</v>
      </c>
      <c r="B84" t="s">
        <v>15</v>
      </c>
      <c r="C84" t="s">
        <v>25</v>
      </c>
      <c r="D84" t="s">
        <v>38</v>
      </c>
      <c r="E84">
        <v>35</v>
      </c>
      <c r="F84">
        <v>4340.41</v>
      </c>
      <c r="G84" t="s">
        <v>20</v>
      </c>
      <c r="H84">
        <v>1</v>
      </c>
      <c r="I84">
        <v>1082.1400000000001</v>
      </c>
      <c r="J84">
        <v>3258.27</v>
      </c>
      <c r="K84" t="s">
        <v>62</v>
      </c>
      <c r="L84" t="s">
        <v>59</v>
      </c>
      <c r="M84">
        <v>2023</v>
      </c>
      <c r="N84" t="s">
        <v>44</v>
      </c>
    </row>
    <row r="85" spans="1:14" x14ac:dyDescent="0.3">
      <c r="A85" s="1">
        <v>44708</v>
      </c>
      <c r="B85" t="s">
        <v>23</v>
      </c>
      <c r="C85" t="s">
        <v>21</v>
      </c>
      <c r="D85" t="s">
        <v>22</v>
      </c>
      <c r="E85">
        <v>11</v>
      </c>
      <c r="F85">
        <v>2776.21</v>
      </c>
      <c r="G85" t="s">
        <v>12</v>
      </c>
      <c r="H85">
        <v>4</v>
      </c>
      <c r="I85">
        <v>2562.0300000000002</v>
      </c>
      <c r="J85">
        <v>214.18</v>
      </c>
      <c r="K85" t="s">
        <v>56</v>
      </c>
      <c r="L85" t="s">
        <v>51</v>
      </c>
      <c r="M85">
        <v>2022</v>
      </c>
      <c r="N85" t="s">
        <v>44</v>
      </c>
    </row>
    <row r="86" spans="1:14" x14ac:dyDescent="0.3">
      <c r="A86" s="1">
        <v>45004</v>
      </c>
      <c r="B86" t="s">
        <v>15</v>
      </c>
      <c r="C86" t="s">
        <v>25</v>
      </c>
      <c r="D86" t="s">
        <v>26</v>
      </c>
      <c r="E86">
        <v>36</v>
      </c>
      <c r="F86">
        <v>4676.42</v>
      </c>
      <c r="G86" t="s">
        <v>12</v>
      </c>
      <c r="H86">
        <v>1</v>
      </c>
      <c r="I86">
        <v>8295.56</v>
      </c>
      <c r="J86">
        <v>-3619.14</v>
      </c>
      <c r="K86" t="s">
        <v>52</v>
      </c>
      <c r="L86" t="s">
        <v>53</v>
      </c>
      <c r="M86">
        <v>2023</v>
      </c>
      <c r="N86" t="s">
        <v>44</v>
      </c>
    </row>
    <row r="87" spans="1:14" x14ac:dyDescent="0.3">
      <c r="A87" s="1">
        <v>44679</v>
      </c>
      <c r="B87" t="s">
        <v>31</v>
      </c>
      <c r="C87" t="s">
        <v>10</v>
      </c>
      <c r="D87" t="s">
        <v>34</v>
      </c>
      <c r="E87">
        <v>13</v>
      </c>
      <c r="F87">
        <v>6035.57</v>
      </c>
      <c r="G87" t="s">
        <v>20</v>
      </c>
      <c r="H87">
        <v>4</v>
      </c>
      <c r="I87">
        <v>103.42</v>
      </c>
      <c r="J87">
        <v>5932.15</v>
      </c>
      <c r="K87" t="s">
        <v>55</v>
      </c>
      <c r="L87" t="s">
        <v>51</v>
      </c>
      <c r="M87">
        <v>2022</v>
      </c>
      <c r="N87" t="s">
        <v>45</v>
      </c>
    </row>
    <row r="88" spans="1:14" x14ac:dyDescent="0.3">
      <c r="A88" s="1">
        <v>44743</v>
      </c>
      <c r="B88" t="s">
        <v>15</v>
      </c>
      <c r="C88" t="s">
        <v>13</v>
      </c>
      <c r="D88" t="s">
        <v>14</v>
      </c>
      <c r="E88">
        <v>26</v>
      </c>
      <c r="F88">
        <v>4967.71</v>
      </c>
      <c r="G88" t="s">
        <v>12</v>
      </c>
      <c r="H88">
        <v>1</v>
      </c>
      <c r="I88">
        <v>572.62</v>
      </c>
      <c r="J88">
        <v>4395.09</v>
      </c>
      <c r="K88" t="s">
        <v>63</v>
      </c>
      <c r="L88" t="s">
        <v>61</v>
      </c>
      <c r="M88">
        <v>2022</v>
      </c>
      <c r="N88" t="s">
        <v>44</v>
      </c>
    </row>
    <row r="89" spans="1:14" x14ac:dyDescent="0.3">
      <c r="A89" s="1">
        <v>45063</v>
      </c>
      <c r="B89" t="s">
        <v>9</v>
      </c>
      <c r="C89" t="s">
        <v>25</v>
      </c>
      <c r="D89" t="s">
        <v>39</v>
      </c>
      <c r="E89">
        <v>30</v>
      </c>
      <c r="F89">
        <v>664.14</v>
      </c>
      <c r="G89" t="s">
        <v>12</v>
      </c>
      <c r="H89">
        <v>4</v>
      </c>
      <c r="I89">
        <v>6412.26</v>
      </c>
      <c r="J89">
        <v>-5748.12</v>
      </c>
      <c r="K89" t="s">
        <v>56</v>
      </c>
      <c r="L89" t="s">
        <v>51</v>
      </c>
      <c r="M89">
        <v>2023</v>
      </c>
      <c r="N89" t="s">
        <v>44</v>
      </c>
    </row>
    <row r="90" spans="1:14" x14ac:dyDescent="0.3">
      <c r="A90" s="1">
        <v>44802</v>
      </c>
      <c r="B90" t="s">
        <v>9</v>
      </c>
      <c r="C90" t="s">
        <v>25</v>
      </c>
      <c r="D90" t="s">
        <v>26</v>
      </c>
      <c r="E90">
        <v>8</v>
      </c>
      <c r="F90">
        <v>2078.04</v>
      </c>
      <c r="G90" t="s">
        <v>12</v>
      </c>
      <c r="H90">
        <v>3</v>
      </c>
      <c r="I90">
        <v>1412.83</v>
      </c>
      <c r="J90">
        <v>665.21</v>
      </c>
      <c r="K90" t="s">
        <v>64</v>
      </c>
      <c r="L90" t="s">
        <v>61</v>
      </c>
      <c r="M90">
        <v>2022</v>
      </c>
      <c r="N90" t="s">
        <v>45</v>
      </c>
    </row>
    <row r="91" spans="1:14" x14ac:dyDescent="0.3">
      <c r="A91" s="1">
        <v>45027</v>
      </c>
      <c r="B91" t="s">
        <v>15</v>
      </c>
      <c r="C91" t="s">
        <v>13</v>
      </c>
      <c r="D91" t="s">
        <v>14</v>
      </c>
      <c r="E91">
        <v>32</v>
      </c>
      <c r="F91">
        <v>13017.37</v>
      </c>
      <c r="G91" t="s">
        <v>12</v>
      </c>
      <c r="H91">
        <v>2</v>
      </c>
      <c r="I91">
        <v>4166.3900000000003</v>
      </c>
      <c r="J91">
        <v>8850.98</v>
      </c>
      <c r="K91" t="s">
        <v>55</v>
      </c>
      <c r="L91" t="s">
        <v>51</v>
      </c>
      <c r="M91">
        <v>2023</v>
      </c>
      <c r="N91" t="s">
        <v>44</v>
      </c>
    </row>
    <row r="92" spans="1:14" x14ac:dyDescent="0.3">
      <c r="A92" s="1">
        <v>44849</v>
      </c>
      <c r="B92" t="s">
        <v>23</v>
      </c>
      <c r="C92" t="s">
        <v>13</v>
      </c>
      <c r="D92" t="s">
        <v>14</v>
      </c>
      <c r="E92">
        <v>40</v>
      </c>
      <c r="F92">
        <v>11185.72</v>
      </c>
      <c r="G92" t="s">
        <v>20</v>
      </c>
      <c r="H92">
        <v>1</v>
      </c>
      <c r="I92">
        <v>9967.66</v>
      </c>
      <c r="J92">
        <v>1218.06</v>
      </c>
      <c r="K92" t="s">
        <v>62</v>
      </c>
      <c r="L92" t="s">
        <v>59</v>
      </c>
      <c r="M92">
        <v>2022</v>
      </c>
      <c r="N92" t="s">
        <v>45</v>
      </c>
    </row>
    <row r="93" spans="1:14" x14ac:dyDescent="0.3">
      <c r="A93" s="1">
        <v>45124</v>
      </c>
      <c r="B93" t="s">
        <v>31</v>
      </c>
      <c r="C93" t="s">
        <v>25</v>
      </c>
      <c r="D93" t="s">
        <v>26</v>
      </c>
      <c r="E93">
        <v>42</v>
      </c>
      <c r="F93">
        <v>12086.68</v>
      </c>
      <c r="G93" t="s">
        <v>20</v>
      </c>
      <c r="H93">
        <v>2</v>
      </c>
      <c r="I93">
        <v>1732.1</v>
      </c>
      <c r="J93">
        <v>10354.58</v>
      </c>
      <c r="K93" t="s">
        <v>63</v>
      </c>
      <c r="L93" t="s">
        <v>61</v>
      </c>
      <c r="M93">
        <v>2023</v>
      </c>
      <c r="N93" t="s">
        <v>47</v>
      </c>
    </row>
    <row r="94" spans="1:14" x14ac:dyDescent="0.3">
      <c r="A94" s="1">
        <v>44863</v>
      </c>
      <c r="B94" t="s">
        <v>23</v>
      </c>
      <c r="C94" t="s">
        <v>10</v>
      </c>
      <c r="D94" t="s">
        <v>35</v>
      </c>
      <c r="E94">
        <v>35</v>
      </c>
      <c r="F94">
        <v>4546.1499999999996</v>
      </c>
      <c r="G94" t="s">
        <v>12</v>
      </c>
      <c r="H94">
        <v>5</v>
      </c>
      <c r="I94">
        <v>6783.6</v>
      </c>
      <c r="J94">
        <v>-2237.4499999999998</v>
      </c>
      <c r="K94" t="s">
        <v>62</v>
      </c>
      <c r="L94" t="s">
        <v>59</v>
      </c>
      <c r="M94">
        <v>2022</v>
      </c>
      <c r="N94" t="s">
        <v>44</v>
      </c>
    </row>
    <row r="95" spans="1:14" x14ac:dyDescent="0.3">
      <c r="A95" s="1">
        <v>44596</v>
      </c>
      <c r="B95" t="s">
        <v>23</v>
      </c>
      <c r="C95" t="s">
        <v>16</v>
      </c>
      <c r="D95" t="s">
        <v>24</v>
      </c>
      <c r="E95">
        <v>45</v>
      </c>
      <c r="F95">
        <v>2193.4299999999998</v>
      </c>
      <c r="G95" t="s">
        <v>12</v>
      </c>
      <c r="H95">
        <v>4</v>
      </c>
      <c r="I95">
        <v>7785.38</v>
      </c>
      <c r="J95">
        <v>-5591.95</v>
      </c>
      <c r="K95" t="s">
        <v>54</v>
      </c>
      <c r="L95" t="s">
        <v>53</v>
      </c>
      <c r="M95">
        <v>2022</v>
      </c>
      <c r="N95" t="s">
        <v>44</v>
      </c>
    </row>
    <row r="96" spans="1:14" x14ac:dyDescent="0.3">
      <c r="A96" s="1">
        <v>44820</v>
      </c>
      <c r="B96" t="s">
        <v>15</v>
      </c>
      <c r="C96" t="s">
        <v>25</v>
      </c>
      <c r="D96" t="s">
        <v>30</v>
      </c>
      <c r="E96">
        <v>16</v>
      </c>
      <c r="F96">
        <v>7218.59</v>
      </c>
      <c r="G96" t="s">
        <v>12</v>
      </c>
      <c r="H96">
        <v>3</v>
      </c>
      <c r="I96">
        <v>2278.4</v>
      </c>
      <c r="J96">
        <v>4940.1899999999996</v>
      </c>
      <c r="K96" t="s">
        <v>60</v>
      </c>
      <c r="L96" t="s">
        <v>61</v>
      </c>
      <c r="M96">
        <v>2022</v>
      </c>
      <c r="N96" t="s">
        <v>44</v>
      </c>
    </row>
    <row r="97" spans="1:14" x14ac:dyDescent="0.3">
      <c r="A97" s="1">
        <v>45119</v>
      </c>
      <c r="B97" t="s">
        <v>23</v>
      </c>
      <c r="C97" t="s">
        <v>10</v>
      </c>
      <c r="D97" t="s">
        <v>35</v>
      </c>
      <c r="E97">
        <v>41</v>
      </c>
      <c r="F97">
        <v>14038.37</v>
      </c>
      <c r="G97" t="s">
        <v>12</v>
      </c>
      <c r="H97">
        <v>3</v>
      </c>
      <c r="I97">
        <v>303.29000000000002</v>
      </c>
      <c r="J97">
        <v>13735.08</v>
      </c>
      <c r="K97" t="s">
        <v>63</v>
      </c>
      <c r="L97" t="s">
        <v>61</v>
      </c>
      <c r="M97">
        <v>2023</v>
      </c>
      <c r="N97" t="s">
        <v>45</v>
      </c>
    </row>
    <row r="98" spans="1:14" x14ac:dyDescent="0.3">
      <c r="A98" s="1">
        <v>44766</v>
      </c>
      <c r="B98" t="s">
        <v>15</v>
      </c>
      <c r="C98" t="s">
        <v>16</v>
      </c>
      <c r="D98" t="s">
        <v>24</v>
      </c>
      <c r="E98">
        <v>5</v>
      </c>
      <c r="F98">
        <v>492.57</v>
      </c>
      <c r="G98" t="s">
        <v>20</v>
      </c>
      <c r="H98">
        <v>1</v>
      </c>
      <c r="I98">
        <v>765.64</v>
      </c>
      <c r="J98">
        <v>-273.07</v>
      </c>
      <c r="K98" t="s">
        <v>63</v>
      </c>
      <c r="L98" t="s">
        <v>61</v>
      </c>
      <c r="M98">
        <v>2022</v>
      </c>
      <c r="N98" t="s">
        <v>47</v>
      </c>
    </row>
    <row r="99" spans="1:14" x14ac:dyDescent="0.3">
      <c r="A99" s="1">
        <v>45285</v>
      </c>
      <c r="B99" t="s">
        <v>31</v>
      </c>
      <c r="C99" t="s">
        <v>21</v>
      </c>
      <c r="D99" t="s">
        <v>33</v>
      </c>
      <c r="E99">
        <v>10</v>
      </c>
      <c r="F99">
        <v>2571.37</v>
      </c>
      <c r="G99" t="s">
        <v>20</v>
      </c>
      <c r="H99">
        <v>3</v>
      </c>
      <c r="I99">
        <v>1574.32</v>
      </c>
      <c r="J99">
        <v>997.05</v>
      </c>
      <c r="K99" t="s">
        <v>58</v>
      </c>
      <c r="L99" t="s">
        <v>59</v>
      </c>
      <c r="M99">
        <v>2023</v>
      </c>
      <c r="N99" t="s">
        <v>47</v>
      </c>
    </row>
    <row r="100" spans="1:14" x14ac:dyDescent="0.3">
      <c r="A100" s="1">
        <v>44864</v>
      </c>
      <c r="B100" t="s">
        <v>23</v>
      </c>
      <c r="C100" t="s">
        <v>25</v>
      </c>
      <c r="D100" t="s">
        <v>30</v>
      </c>
      <c r="E100">
        <v>46</v>
      </c>
      <c r="F100">
        <v>14916.13</v>
      </c>
      <c r="G100" t="s">
        <v>12</v>
      </c>
      <c r="H100">
        <v>2</v>
      </c>
      <c r="I100">
        <v>7054.92</v>
      </c>
      <c r="J100">
        <v>7861.21</v>
      </c>
      <c r="K100" t="s">
        <v>62</v>
      </c>
      <c r="L100" t="s">
        <v>59</v>
      </c>
      <c r="M100">
        <v>2022</v>
      </c>
      <c r="N100" t="s">
        <v>44</v>
      </c>
    </row>
    <row r="101" spans="1:14" x14ac:dyDescent="0.3">
      <c r="A101" s="1">
        <v>45018</v>
      </c>
      <c r="B101" t="s">
        <v>15</v>
      </c>
      <c r="C101" t="s">
        <v>16</v>
      </c>
      <c r="D101" t="s">
        <v>27</v>
      </c>
      <c r="E101">
        <v>3</v>
      </c>
      <c r="F101">
        <v>1266.51</v>
      </c>
      <c r="G101" t="s">
        <v>12</v>
      </c>
      <c r="H101">
        <v>5</v>
      </c>
      <c r="I101">
        <v>743.74</v>
      </c>
      <c r="J101">
        <v>522.77</v>
      </c>
      <c r="K101" t="s">
        <v>55</v>
      </c>
      <c r="L101" t="s">
        <v>51</v>
      </c>
      <c r="M101">
        <v>2023</v>
      </c>
      <c r="N101" t="s">
        <v>45</v>
      </c>
    </row>
    <row r="102" spans="1:14" x14ac:dyDescent="0.3">
      <c r="A102" s="1">
        <v>44861</v>
      </c>
      <c r="B102" t="s">
        <v>15</v>
      </c>
      <c r="C102" t="s">
        <v>25</v>
      </c>
      <c r="D102" t="s">
        <v>26</v>
      </c>
      <c r="E102">
        <v>18</v>
      </c>
      <c r="F102">
        <v>5602.64</v>
      </c>
      <c r="G102" t="s">
        <v>20</v>
      </c>
      <c r="H102">
        <v>5</v>
      </c>
      <c r="I102">
        <v>2537.84</v>
      </c>
      <c r="J102">
        <v>3064.8</v>
      </c>
      <c r="K102" t="s">
        <v>62</v>
      </c>
      <c r="L102" t="s">
        <v>59</v>
      </c>
      <c r="M102">
        <v>2022</v>
      </c>
      <c r="N102" t="s">
        <v>45</v>
      </c>
    </row>
    <row r="103" spans="1:14" x14ac:dyDescent="0.3">
      <c r="A103" s="1">
        <v>44815</v>
      </c>
      <c r="B103" t="s">
        <v>9</v>
      </c>
      <c r="C103" t="s">
        <v>25</v>
      </c>
      <c r="D103" t="s">
        <v>38</v>
      </c>
      <c r="E103">
        <v>15</v>
      </c>
      <c r="F103">
        <v>2818.14</v>
      </c>
      <c r="G103" t="s">
        <v>20</v>
      </c>
      <c r="H103">
        <v>5</v>
      </c>
      <c r="I103">
        <v>1975.24</v>
      </c>
      <c r="J103">
        <v>842.9</v>
      </c>
      <c r="K103" t="s">
        <v>60</v>
      </c>
      <c r="L103" t="s">
        <v>61</v>
      </c>
      <c r="M103">
        <v>2022</v>
      </c>
      <c r="N103" t="s">
        <v>44</v>
      </c>
    </row>
    <row r="104" spans="1:14" x14ac:dyDescent="0.3">
      <c r="A104" s="1">
        <v>45171</v>
      </c>
      <c r="B104" t="s">
        <v>23</v>
      </c>
      <c r="C104" t="s">
        <v>13</v>
      </c>
      <c r="D104" t="s">
        <v>14</v>
      </c>
      <c r="E104">
        <v>9</v>
      </c>
      <c r="F104">
        <v>1668.03</v>
      </c>
      <c r="G104" t="s">
        <v>20</v>
      </c>
      <c r="H104">
        <v>4</v>
      </c>
      <c r="I104">
        <v>1000.61</v>
      </c>
      <c r="J104">
        <v>667.42</v>
      </c>
      <c r="K104" t="s">
        <v>60</v>
      </c>
      <c r="L104" t="s">
        <v>61</v>
      </c>
      <c r="M104">
        <v>2023</v>
      </c>
      <c r="N104" t="s">
        <v>47</v>
      </c>
    </row>
    <row r="105" spans="1:14" x14ac:dyDescent="0.3">
      <c r="A105" s="1">
        <v>44920</v>
      </c>
      <c r="B105" t="s">
        <v>23</v>
      </c>
      <c r="C105" t="s">
        <v>13</v>
      </c>
      <c r="D105" t="s">
        <v>40</v>
      </c>
      <c r="E105">
        <v>3</v>
      </c>
      <c r="F105">
        <v>1205.75</v>
      </c>
      <c r="G105" t="s">
        <v>12</v>
      </c>
      <c r="H105">
        <v>1</v>
      </c>
      <c r="I105">
        <v>294.70999999999998</v>
      </c>
      <c r="J105">
        <v>911.04</v>
      </c>
      <c r="K105" t="s">
        <v>58</v>
      </c>
      <c r="L105" t="s">
        <v>59</v>
      </c>
      <c r="M105">
        <v>2022</v>
      </c>
      <c r="N105" t="s">
        <v>44</v>
      </c>
    </row>
    <row r="106" spans="1:14" x14ac:dyDescent="0.3">
      <c r="A106" s="1">
        <v>44928</v>
      </c>
      <c r="B106" t="s">
        <v>23</v>
      </c>
      <c r="C106" t="s">
        <v>21</v>
      </c>
      <c r="D106" t="s">
        <v>32</v>
      </c>
      <c r="E106">
        <v>1</v>
      </c>
      <c r="F106">
        <v>90.8</v>
      </c>
      <c r="G106" t="s">
        <v>20</v>
      </c>
      <c r="H106">
        <v>3</v>
      </c>
      <c r="I106">
        <v>160.22999999999999</v>
      </c>
      <c r="J106">
        <v>-69.430000000000007</v>
      </c>
      <c r="K106" t="s">
        <v>57</v>
      </c>
      <c r="L106" t="s">
        <v>53</v>
      </c>
      <c r="M106">
        <v>2023</v>
      </c>
      <c r="N106" t="s">
        <v>44</v>
      </c>
    </row>
    <row r="107" spans="1:14" x14ac:dyDescent="0.3">
      <c r="A107" s="1">
        <v>45254</v>
      </c>
      <c r="B107" t="s">
        <v>9</v>
      </c>
      <c r="C107" t="s">
        <v>21</v>
      </c>
      <c r="D107" t="s">
        <v>22</v>
      </c>
      <c r="E107">
        <v>40</v>
      </c>
      <c r="F107">
        <v>14151.28</v>
      </c>
      <c r="G107" t="s">
        <v>12</v>
      </c>
      <c r="H107">
        <v>1</v>
      </c>
      <c r="I107">
        <v>3635.8</v>
      </c>
      <c r="J107">
        <v>10515.48</v>
      </c>
      <c r="K107" t="s">
        <v>65</v>
      </c>
      <c r="L107" t="s">
        <v>59</v>
      </c>
      <c r="M107">
        <v>2023</v>
      </c>
      <c r="N107" t="s">
        <v>47</v>
      </c>
    </row>
    <row r="108" spans="1:14" x14ac:dyDescent="0.3">
      <c r="A108" s="1">
        <v>44705</v>
      </c>
      <c r="B108" t="s">
        <v>23</v>
      </c>
      <c r="C108" t="s">
        <v>21</v>
      </c>
      <c r="D108" t="s">
        <v>32</v>
      </c>
      <c r="E108">
        <v>46</v>
      </c>
      <c r="F108">
        <v>2921.32</v>
      </c>
      <c r="G108" t="s">
        <v>12</v>
      </c>
      <c r="H108">
        <v>3</v>
      </c>
      <c r="I108">
        <v>11363.45</v>
      </c>
      <c r="J108">
        <v>-8442.1299999999992</v>
      </c>
      <c r="K108" t="s">
        <v>56</v>
      </c>
      <c r="L108" t="s">
        <v>51</v>
      </c>
      <c r="M108">
        <v>2022</v>
      </c>
      <c r="N108" t="s">
        <v>44</v>
      </c>
    </row>
    <row r="109" spans="1:14" x14ac:dyDescent="0.3">
      <c r="A109" s="1">
        <v>45253</v>
      </c>
      <c r="B109" t="s">
        <v>9</v>
      </c>
      <c r="C109" t="s">
        <v>10</v>
      </c>
      <c r="D109" t="s">
        <v>11</v>
      </c>
      <c r="E109">
        <v>19</v>
      </c>
      <c r="F109">
        <v>7240.05</v>
      </c>
      <c r="G109" t="s">
        <v>12</v>
      </c>
      <c r="H109">
        <v>5</v>
      </c>
      <c r="I109">
        <v>111.12</v>
      </c>
      <c r="J109">
        <v>7128.93</v>
      </c>
      <c r="K109" t="s">
        <v>65</v>
      </c>
      <c r="L109" t="s">
        <v>59</v>
      </c>
      <c r="M109">
        <v>2023</v>
      </c>
      <c r="N109" t="s">
        <v>47</v>
      </c>
    </row>
    <row r="110" spans="1:14" x14ac:dyDescent="0.3">
      <c r="A110" s="1">
        <v>45094</v>
      </c>
      <c r="B110" t="s">
        <v>15</v>
      </c>
      <c r="C110" t="s">
        <v>13</v>
      </c>
      <c r="D110" t="s">
        <v>14</v>
      </c>
      <c r="E110">
        <v>42</v>
      </c>
      <c r="F110">
        <v>8301.52</v>
      </c>
      <c r="G110" t="s">
        <v>12</v>
      </c>
      <c r="H110">
        <v>1</v>
      </c>
      <c r="I110">
        <v>2013.62</v>
      </c>
      <c r="J110">
        <v>6287.9</v>
      </c>
      <c r="K110" t="s">
        <v>50</v>
      </c>
      <c r="L110" t="s">
        <v>51</v>
      </c>
      <c r="M110">
        <v>2023</v>
      </c>
      <c r="N110" t="s">
        <v>44</v>
      </c>
    </row>
    <row r="111" spans="1:14" x14ac:dyDescent="0.3">
      <c r="A111" s="1">
        <v>44845</v>
      </c>
      <c r="B111" t="s">
        <v>18</v>
      </c>
      <c r="C111" t="s">
        <v>16</v>
      </c>
      <c r="D111" t="s">
        <v>37</v>
      </c>
      <c r="E111">
        <v>36</v>
      </c>
      <c r="F111">
        <v>7159.67</v>
      </c>
      <c r="G111" t="s">
        <v>20</v>
      </c>
      <c r="H111">
        <v>1</v>
      </c>
      <c r="I111">
        <v>1057.54</v>
      </c>
      <c r="J111">
        <v>6102.13</v>
      </c>
      <c r="K111" t="s">
        <v>62</v>
      </c>
      <c r="L111" t="s">
        <v>59</v>
      </c>
      <c r="M111">
        <v>2022</v>
      </c>
      <c r="N111" t="s">
        <v>44</v>
      </c>
    </row>
    <row r="112" spans="1:14" x14ac:dyDescent="0.3">
      <c r="A112" s="1">
        <v>44833</v>
      </c>
      <c r="B112" t="s">
        <v>15</v>
      </c>
      <c r="C112" t="s">
        <v>25</v>
      </c>
      <c r="D112" t="s">
        <v>38</v>
      </c>
      <c r="E112">
        <v>5</v>
      </c>
      <c r="F112">
        <v>1174.32</v>
      </c>
      <c r="G112" t="s">
        <v>12</v>
      </c>
      <c r="H112">
        <v>3</v>
      </c>
      <c r="I112">
        <v>1236.5899999999999</v>
      </c>
      <c r="J112">
        <v>-62.27</v>
      </c>
      <c r="K112" t="s">
        <v>60</v>
      </c>
      <c r="L112" t="s">
        <v>61</v>
      </c>
      <c r="M112">
        <v>2022</v>
      </c>
      <c r="N112" t="s">
        <v>47</v>
      </c>
    </row>
    <row r="113" spans="1:14" x14ac:dyDescent="0.3">
      <c r="A113" s="1">
        <v>45062</v>
      </c>
      <c r="B113" t="s">
        <v>18</v>
      </c>
      <c r="C113" t="s">
        <v>25</v>
      </c>
      <c r="D113" t="s">
        <v>38</v>
      </c>
      <c r="E113">
        <v>36</v>
      </c>
      <c r="F113">
        <v>1759.75</v>
      </c>
      <c r="G113" t="s">
        <v>12</v>
      </c>
      <c r="H113">
        <v>5</v>
      </c>
      <c r="I113">
        <v>7261.15</v>
      </c>
      <c r="J113">
        <v>-5501.4</v>
      </c>
      <c r="K113" t="s">
        <v>56</v>
      </c>
      <c r="L113" t="s">
        <v>51</v>
      </c>
      <c r="M113">
        <v>2023</v>
      </c>
      <c r="N113" t="s">
        <v>44</v>
      </c>
    </row>
    <row r="114" spans="1:14" x14ac:dyDescent="0.3">
      <c r="A114" s="1">
        <v>44810</v>
      </c>
      <c r="B114" t="s">
        <v>18</v>
      </c>
      <c r="C114" t="s">
        <v>10</v>
      </c>
      <c r="D114" t="s">
        <v>28</v>
      </c>
      <c r="E114">
        <v>31</v>
      </c>
      <c r="F114">
        <v>11188.18</v>
      </c>
      <c r="G114" t="s">
        <v>20</v>
      </c>
      <c r="H114">
        <v>4</v>
      </c>
      <c r="I114">
        <v>646.59</v>
      </c>
      <c r="J114">
        <v>10541.59</v>
      </c>
      <c r="K114" t="s">
        <v>60</v>
      </c>
      <c r="L114" t="s">
        <v>61</v>
      </c>
      <c r="M114">
        <v>2022</v>
      </c>
      <c r="N114" t="s">
        <v>45</v>
      </c>
    </row>
    <row r="115" spans="1:14" x14ac:dyDescent="0.3">
      <c r="A115" s="1">
        <v>44775</v>
      </c>
      <c r="B115" t="s">
        <v>15</v>
      </c>
      <c r="C115" t="s">
        <v>13</v>
      </c>
      <c r="D115" t="s">
        <v>40</v>
      </c>
      <c r="E115">
        <v>20</v>
      </c>
      <c r="F115">
        <v>5118.13</v>
      </c>
      <c r="G115" t="s">
        <v>12</v>
      </c>
      <c r="H115">
        <v>3</v>
      </c>
      <c r="I115">
        <v>497.02</v>
      </c>
      <c r="J115">
        <v>4621.1099999999997</v>
      </c>
      <c r="K115" t="s">
        <v>64</v>
      </c>
      <c r="L115" t="s">
        <v>61</v>
      </c>
      <c r="M115">
        <v>2022</v>
      </c>
      <c r="N115" t="s">
        <v>44</v>
      </c>
    </row>
    <row r="116" spans="1:14" x14ac:dyDescent="0.3">
      <c r="A116" s="1">
        <v>45266</v>
      </c>
      <c r="B116" t="s">
        <v>18</v>
      </c>
      <c r="C116" t="s">
        <v>16</v>
      </c>
      <c r="D116" t="s">
        <v>27</v>
      </c>
      <c r="E116">
        <v>5</v>
      </c>
      <c r="F116">
        <v>222.51</v>
      </c>
      <c r="G116" t="s">
        <v>12</v>
      </c>
      <c r="H116">
        <v>5</v>
      </c>
      <c r="I116">
        <v>881.61</v>
      </c>
      <c r="J116">
        <v>-659.1</v>
      </c>
      <c r="K116" t="s">
        <v>58</v>
      </c>
      <c r="L116" t="s">
        <v>59</v>
      </c>
      <c r="M116">
        <v>2023</v>
      </c>
      <c r="N116" t="s">
        <v>47</v>
      </c>
    </row>
    <row r="117" spans="1:14" x14ac:dyDescent="0.3">
      <c r="A117" s="1">
        <v>45247</v>
      </c>
      <c r="B117" t="s">
        <v>18</v>
      </c>
      <c r="C117" t="s">
        <v>25</v>
      </c>
      <c r="D117" t="s">
        <v>38</v>
      </c>
      <c r="E117">
        <v>31</v>
      </c>
      <c r="F117">
        <v>5395.07</v>
      </c>
      <c r="G117" t="s">
        <v>20</v>
      </c>
      <c r="H117">
        <v>4</v>
      </c>
      <c r="I117">
        <v>6157.3</v>
      </c>
      <c r="J117">
        <v>-762.23</v>
      </c>
      <c r="K117" t="s">
        <v>65</v>
      </c>
      <c r="L117" t="s">
        <v>59</v>
      </c>
      <c r="M117">
        <v>2023</v>
      </c>
      <c r="N117" t="s">
        <v>47</v>
      </c>
    </row>
    <row r="118" spans="1:14" x14ac:dyDescent="0.3">
      <c r="A118" s="1">
        <v>45088</v>
      </c>
      <c r="B118" t="s">
        <v>31</v>
      </c>
      <c r="C118" t="s">
        <v>13</v>
      </c>
      <c r="D118" t="s">
        <v>40</v>
      </c>
      <c r="E118">
        <v>3</v>
      </c>
      <c r="F118">
        <v>630.92999999999995</v>
      </c>
      <c r="G118" t="s">
        <v>12</v>
      </c>
      <c r="H118">
        <v>3</v>
      </c>
      <c r="I118">
        <v>364.29</v>
      </c>
      <c r="J118">
        <v>266.64</v>
      </c>
      <c r="K118" t="s">
        <v>50</v>
      </c>
      <c r="L118" t="s">
        <v>51</v>
      </c>
      <c r="M118">
        <v>2023</v>
      </c>
      <c r="N118" t="s">
        <v>45</v>
      </c>
    </row>
    <row r="119" spans="1:14" x14ac:dyDescent="0.3">
      <c r="A119" s="1">
        <v>44808</v>
      </c>
      <c r="B119" t="s">
        <v>23</v>
      </c>
      <c r="C119" t="s">
        <v>10</v>
      </c>
      <c r="D119" t="s">
        <v>11</v>
      </c>
      <c r="E119">
        <v>12</v>
      </c>
      <c r="F119">
        <v>3457.27</v>
      </c>
      <c r="G119" t="s">
        <v>12</v>
      </c>
      <c r="H119">
        <v>2</v>
      </c>
      <c r="I119">
        <v>1078.1500000000001</v>
      </c>
      <c r="J119">
        <v>2379.12</v>
      </c>
      <c r="K119" t="s">
        <v>60</v>
      </c>
      <c r="L119" t="s">
        <v>61</v>
      </c>
      <c r="M119">
        <v>2022</v>
      </c>
      <c r="N119" t="s">
        <v>44</v>
      </c>
    </row>
    <row r="120" spans="1:14" x14ac:dyDescent="0.3">
      <c r="A120" s="1">
        <v>44843</v>
      </c>
      <c r="B120" t="s">
        <v>23</v>
      </c>
      <c r="C120" t="s">
        <v>10</v>
      </c>
      <c r="D120" t="s">
        <v>11</v>
      </c>
      <c r="E120">
        <v>8</v>
      </c>
      <c r="F120">
        <v>2376.31</v>
      </c>
      <c r="G120" t="s">
        <v>20</v>
      </c>
      <c r="H120">
        <v>3</v>
      </c>
      <c r="I120">
        <v>141.16</v>
      </c>
      <c r="J120">
        <v>2235.15</v>
      </c>
      <c r="K120" t="s">
        <v>62</v>
      </c>
      <c r="L120" t="s">
        <v>59</v>
      </c>
      <c r="M120">
        <v>2022</v>
      </c>
      <c r="N120" t="s">
        <v>45</v>
      </c>
    </row>
    <row r="121" spans="1:14" x14ac:dyDescent="0.3">
      <c r="A121" s="1">
        <v>44667</v>
      </c>
      <c r="B121" t="s">
        <v>15</v>
      </c>
      <c r="C121" t="s">
        <v>25</v>
      </c>
      <c r="D121" t="s">
        <v>30</v>
      </c>
      <c r="E121">
        <v>15</v>
      </c>
      <c r="F121">
        <v>5383.81</v>
      </c>
      <c r="G121" t="s">
        <v>12</v>
      </c>
      <c r="H121">
        <v>3</v>
      </c>
      <c r="I121">
        <v>2454.92</v>
      </c>
      <c r="J121">
        <v>2928.89</v>
      </c>
      <c r="K121" t="s">
        <v>55</v>
      </c>
      <c r="L121" t="s">
        <v>51</v>
      </c>
      <c r="M121">
        <v>2022</v>
      </c>
      <c r="N121" t="s">
        <v>45</v>
      </c>
    </row>
    <row r="122" spans="1:14" x14ac:dyDescent="0.3">
      <c r="A122" s="1">
        <v>44801</v>
      </c>
      <c r="B122" t="s">
        <v>9</v>
      </c>
      <c r="C122" t="s">
        <v>13</v>
      </c>
      <c r="D122" t="s">
        <v>14</v>
      </c>
      <c r="E122">
        <v>19</v>
      </c>
      <c r="F122">
        <v>4893.25</v>
      </c>
      <c r="G122" t="s">
        <v>12</v>
      </c>
      <c r="H122">
        <v>4</v>
      </c>
      <c r="I122">
        <v>875.11</v>
      </c>
      <c r="J122">
        <v>4018.14</v>
      </c>
      <c r="K122" t="s">
        <v>64</v>
      </c>
      <c r="L122" t="s">
        <v>61</v>
      </c>
      <c r="M122">
        <v>2022</v>
      </c>
      <c r="N122" t="s">
        <v>44</v>
      </c>
    </row>
    <row r="123" spans="1:14" x14ac:dyDescent="0.3">
      <c r="A123" s="1">
        <v>44886</v>
      </c>
      <c r="B123" t="s">
        <v>15</v>
      </c>
      <c r="C123" t="s">
        <v>25</v>
      </c>
      <c r="D123" t="s">
        <v>26</v>
      </c>
      <c r="E123">
        <v>1</v>
      </c>
      <c r="F123">
        <v>128.44</v>
      </c>
      <c r="G123" t="s">
        <v>12</v>
      </c>
      <c r="H123">
        <v>1</v>
      </c>
      <c r="I123">
        <v>8.82</v>
      </c>
      <c r="J123">
        <v>119.62</v>
      </c>
      <c r="K123" t="s">
        <v>65</v>
      </c>
      <c r="L123" t="s">
        <v>59</v>
      </c>
      <c r="M123">
        <v>2022</v>
      </c>
      <c r="N123" t="s">
        <v>45</v>
      </c>
    </row>
    <row r="124" spans="1:14" x14ac:dyDescent="0.3">
      <c r="A124" s="1">
        <v>44918</v>
      </c>
      <c r="B124" t="s">
        <v>31</v>
      </c>
      <c r="C124" t="s">
        <v>10</v>
      </c>
      <c r="D124" t="s">
        <v>28</v>
      </c>
      <c r="E124">
        <v>19</v>
      </c>
      <c r="F124">
        <v>4564.18</v>
      </c>
      <c r="G124" t="s">
        <v>20</v>
      </c>
      <c r="H124">
        <v>3</v>
      </c>
      <c r="I124">
        <v>1508.36</v>
      </c>
      <c r="J124">
        <v>3055.82</v>
      </c>
      <c r="K124" t="s">
        <v>58</v>
      </c>
      <c r="L124" t="s">
        <v>59</v>
      </c>
      <c r="M124">
        <v>2022</v>
      </c>
      <c r="N124" t="s">
        <v>45</v>
      </c>
    </row>
    <row r="125" spans="1:14" x14ac:dyDescent="0.3">
      <c r="A125" s="1">
        <v>44800</v>
      </c>
      <c r="B125" t="s">
        <v>18</v>
      </c>
      <c r="C125" t="s">
        <v>25</v>
      </c>
      <c r="D125" t="s">
        <v>30</v>
      </c>
      <c r="E125">
        <v>32</v>
      </c>
      <c r="F125">
        <v>13086.66</v>
      </c>
      <c r="G125" t="s">
        <v>20</v>
      </c>
      <c r="H125">
        <v>2</v>
      </c>
      <c r="I125">
        <v>7509.32</v>
      </c>
      <c r="J125">
        <v>5577.34</v>
      </c>
      <c r="K125" t="s">
        <v>64</v>
      </c>
      <c r="L125" t="s">
        <v>61</v>
      </c>
      <c r="M125">
        <v>2022</v>
      </c>
      <c r="N125" t="s">
        <v>45</v>
      </c>
    </row>
    <row r="126" spans="1:14" x14ac:dyDescent="0.3">
      <c r="A126" s="1">
        <v>45119</v>
      </c>
      <c r="B126" t="s">
        <v>15</v>
      </c>
      <c r="C126" t="s">
        <v>25</v>
      </c>
      <c r="D126" t="s">
        <v>38</v>
      </c>
      <c r="E126">
        <v>32</v>
      </c>
      <c r="F126">
        <v>12014.19</v>
      </c>
      <c r="G126" t="s">
        <v>12</v>
      </c>
      <c r="H126">
        <v>3</v>
      </c>
      <c r="I126">
        <v>3569.5</v>
      </c>
      <c r="J126">
        <v>8444.69</v>
      </c>
      <c r="K126" t="s">
        <v>63</v>
      </c>
      <c r="L126" t="s">
        <v>61</v>
      </c>
      <c r="M126">
        <v>2023</v>
      </c>
      <c r="N126" t="s">
        <v>44</v>
      </c>
    </row>
    <row r="127" spans="1:14" x14ac:dyDescent="0.3">
      <c r="A127" s="1">
        <v>44781</v>
      </c>
      <c r="B127" t="s">
        <v>23</v>
      </c>
      <c r="C127" t="s">
        <v>25</v>
      </c>
      <c r="D127" t="s">
        <v>26</v>
      </c>
      <c r="E127">
        <v>50</v>
      </c>
      <c r="F127">
        <v>22622.79</v>
      </c>
      <c r="G127" t="s">
        <v>12</v>
      </c>
      <c r="H127">
        <v>4</v>
      </c>
      <c r="I127">
        <v>1973.2</v>
      </c>
      <c r="J127">
        <v>20649.59</v>
      </c>
      <c r="K127" t="s">
        <v>64</v>
      </c>
      <c r="L127" t="s">
        <v>61</v>
      </c>
      <c r="M127">
        <v>2022</v>
      </c>
      <c r="N127" t="s">
        <v>44</v>
      </c>
    </row>
    <row r="128" spans="1:14" x14ac:dyDescent="0.3">
      <c r="A128" s="1">
        <v>44706</v>
      </c>
      <c r="B128" t="s">
        <v>23</v>
      </c>
      <c r="C128" t="s">
        <v>25</v>
      </c>
      <c r="D128" t="s">
        <v>30</v>
      </c>
      <c r="E128">
        <v>2</v>
      </c>
      <c r="F128">
        <v>103.48</v>
      </c>
      <c r="G128" t="s">
        <v>20</v>
      </c>
      <c r="H128">
        <v>5</v>
      </c>
      <c r="I128">
        <v>434.7</v>
      </c>
      <c r="J128">
        <v>-331.22</v>
      </c>
      <c r="K128" t="s">
        <v>56</v>
      </c>
      <c r="L128" t="s">
        <v>51</v>
      </c>
      <c r="M128">
        <v>2022</v>
      </c>
      <c r="N128" t="s">
        <v>43</v>
      </c>
    </row>
    <row r="129" spans="1:14" x14ac:dyDescent="0.3">
      <c r="A129" s="1">
        <v>44665</v>
      </c>
      <c r="B129" t="s">
        <v>15</v>
      </c>
      <c r="C129" t="s">
        <v>16</v>
      </c>
      <c r="D129" t="s">
        <v>17</v>
      </c>
      <c r="E129">
        <v>39</v>
      </c>
      <c r="F129">
        <v>4950.1899999999996</v>
      </c>
      <c r="G129" t="s">
        <v>12</v>
      </c>
      <c r="H129">
        <v>3</v>
      </c>
      <c r="I129">
        <v>3048.14</v>
      </c>
      <c r="J129">
        <v>1902.05</v>
      </c>
      <c r="K129" t="s">
        <v>55</v>
      </c>
      <c r="L129" t="s">
        <v>51</v>
      </c>
      <c r="M129">
        <v>2022</v>
      </c>
      <c r="N129" t="s">
        <v>44</v>
      </c>
    </row>
    <row r="130" spans="1:14" x14ac:dyDescent="0.3">
      <c r="A130" s="1">
        <v>45144</v>
      </c>
      <c r="B130" t="s">
        <v>18</v>
      </c>
      <c r="C130" t="s">
        <v>21</v>
      </c>
      <c r="D130" t="s">
        <v>36</v>
      </c>
      <c r="E130">
        <v>31</v>
      </c>
      <c r="F130">
        <v>4975.3100000000004</v>
      </c>
      <c r="G130" t="s">
        <v>20</v>
      </c>
      <c r="H130">
        <v>2</v>
      </c>
      <c r="I130">
        <v>214.27</v>
      </c>
      <c r="J130">
        <v>4761.04</v>
      </c>
      <c r="K130" t="s">
        <v>64</v>
      </c>
      <c r="L130" t="s">
        <v>61</v>
      </c>
      <c r="M130">
        <v>2023</v>
      </c>
      <c r="N130" t="s">
        <v>44</v>
      </c>
    </row>
    <row r="131" spans="1:14" x14ac:dyDescent="0.3">
      <c r="A131" s="1">
        <v>44950</v>
      </c>
      <c r="B131" t="s">
        <v>23</v>
      </c>
      <c r="C131" t="s">
        <v>10</v>
      </c>
      <c r="D131" t="s">
        <v>11</v>
      </c>
      <c r="E131">
        <v>15</v>
      </c>
      <c r="F131">
        <v>3442.4</v>
      </c>
      <c r="G131" t="s">
        <v>20</v>
      </c>
      <c r="H131">
        <v>3</v>
      </c>
      <c r="I131">
        <v>3499.22</v>
      </c>
      <c r="J131">
        <v>-56.82</v>
      </c>
      <c r="K131" t="s">
        <v>57</v>
      </c>
      <c r="L131" t="s">
        <v>53</v>
      </c>
      <c r="M131">
        <v>2023</v>
      </c>
      <c r="N131" t="s">
        <v>45</v>
      </c>
    </row>
    <row r="132" spans="1:14" x14ac:dyDescent="0.3">
      <c r="A132" s="1">
        <v>45260</v>
      </c>
      <c r="B132" t="s">
        <v>23</v>
      </c>
      <c r="C132" t="s">
        <v>25</v>
      </c>
      <c r="D132" t="s">
        <v>39</v>
      </c>
      <c r="E132">
        <v>44</v>
      </c>
      <c r="F132">
        <v>7290.26</v>
      </c>
      <c r="G132" t="s">
        <v>20</v>
      </c>
      <c r="H132">
        <v>1</v>
      </c>
      <c r="I132">
        <v>6233.44</v>
      </c>
      <c r="J132">
        <v>1056.82</v>
      </c>
      <c r="K132" t="s">
        <v>65</v>
      </c>
      <c r="L132" t="s">
        <v>59</v>
      </c>
      <c r="M132">
        <v>2023</v>
      </c>
      <c r="N132" t="s">
        <v>44</v>
      </c>
    </row>
    <row r="133" spans="1:14" x14ac:dyDescent="0.3">
      <c r="A133" s="1">
        <v>44727</v>
      </c>
      <c r="B133" t="s">
        <v>23</v>
      </c>
      <c r="C133" t="s">
        <v>16</v>
      </c>
      <c r="D133" t="s">
        <v>17</v>
      </c>
      <c r="E133">
        <v>8</v>
      </c>
      <c r="F133">
        <v>3906.7</v>
      </c>
      <c r="G133" t="s">
        <v>12</v>
      </c>
      <c r="H133">
        <v>2</v>
      </c>
      <c r="I133">
        <v>550.47</v>
      </c>
      <c r="J133">
        <v>3356.23</v>
      </c>
      <c r="K133" t="s">
        <v>50</v>
      </c>
      <c r="L133" t="s">
        <v>51</v>
      </c>
      <c r="M133">
        <v>2022</v>
      </c>
      <c r="N133" t="s">
        <v>45</v>
      </c>
    </row>
    <row r="134" spans="1:14" x14ac:dyDescent="0.3">
      <c r="A134" s="1">
        <v>44982</v>
      </c>
      <c r="B134" t="s">
        <v>15</v>
      </c>
      <c r="C134" t="s">
        <v>10</v>
      </c>
      <c r="D134" t="s">
        <v>11</v>
      </c>
      <c r="E134">
        <v>38</v>
      </c>
      <c r="F134">
        <v>12938.7</v>
      </c>
      <c r="G134" t="s">
        <v>12</v>
      </c>
      <c r="H134">
        <v>5</v>
      </c>
      <c r="I134">
        <v>9159.6200000000008</v>
      </c>
      <c r="J134">
        <v>3779.08</v>
      </c>
      <c r="K134" t="s">
        <v>54</v>
      </c>
      <c r="L134" t="s">
        <v>53</v>
      </c>
      <c r="M134">
        <v>2023</v>
      </c>
      <c r="N134" t="s">
        <v>43</v>
      </c>
    </row>
    <row r="135" spans="1:14" x14ac:dyDescent="0.3">
      <c r="A135" s="1">
        <v>44759</v>
      </c>
      <c r="B135" t="s">
        <v>18</v>
      </c>
      <c r="C135" t="s">
        <v>16</v>
      </c>
      <c r="D135" t="s">
        <v>24</v>
      </c>
      <c r="E135">
        <v>15</v>
      </c>
      <c r="F135">
        <v>2644.13</v>
      </c>
      <c r="G135" t="s">
        <v>20</v>
      </c>
      <c r="H135">
        <v>5</v>
      </c>
      <c r="I135">
        <v>1288.96</v>
      </c>
      <c r="J135">
        <v>1355.17</v>
      </c>
      <c r="K135" t="s">
        <v>63</v>
      </c>
      <c r="L135" t="s">
        <v>61</v>
      </c>
      <c r="M135">
        <v>2022</v>
      </c>
      <c r="N135" t="s">
        <v>44</v>
      </c>
    </row>
    <row r="136" spans="1:14" x14ac:dyDescent="0.3">
      <c r="A136" s="1">
        <v>44776</v>
      </c>
      <c r="B136" t="s">
        <v>18</v>
      </c>
      <c r="C136" t="s">
        <v>13</v>
      </c>
      <c r="D136" t="s">
        <v>19</v>
      </c>
      <c r="E136">
        <v>5</v>
      </c>
      <c r="F136">
        <v>1947.37</v>
      </c>
      <c r="G136" t="s">
        <v>20</v>
      </c>
      <c r="H136">
        <v>5</v>
      </c>
      <c r="I136">
        <v>44.47</v>
      </c>
      <c r="J136">
        <v>1902.9</v>
      </c>
      <c r="K136" t="s">
        <v>64</v>
      </c>
      <c r="L136" t="s">
        <v>61</v>
      </c>
      <c r="M136">
        <v>2022</v>
      </c>
      <c r="N136" t="s">
        <v>44</v>
      </c>
    </row>
    <row r="137" spans="1:14" x14ac:dyDescent="0.3">
      <c r="A137" s="1">
        <v>45000</v>
      </c>
      <c r="B137" t="s">
        <v>23</v>
      </c>
      <c r="C137" t="s">
        <v>21</v>
      </c>
      <c r="D137" t="s">
        <v>36</v>
      </c>
      <c r="E137">
        <v>17</v>
      </c>
      <c r="F137">
        <v>3153.33</v>
      </c>
      <c r="G137" t="s">
        <v>12</v>
      </c>
      <c r="H137">
        <v>1</v>
      </c>
      <c r="I137">
        <v>859.15</v>
      </c>
      <c r="J137">
        <v>2294.1799999999998</v>
      </c>
      <c r="K137" t="s">
        <v>52</v>
      </c>
      <c r="L137" t="s">
        <v>53</v>
      </c>
      <c r="M137">
        <v>2023</v>
      </c>
      <c r="N137" t="s">
        <v>45</v>
      </c>
    </row>
    <row r="138" spans="1:14" x14ac:dyDescent="0.3">
      <c r="A138" s="1">
        <v>44712</v>
      </c>
      <c r="B138" t="s">
        <v>23</v>
      </c>
      <c r="C138" t="s">
        <v>13</v>
      </c>
      <c r="D138" t="s">
        <v>19</v>
      </c>
      <c r="E138">
        <v>12</v>
      </c>
      <c r="F138">
        <v>5539.81</v>
      </c>
      <c r="G138" t="s">
        <v>12</v>
      </c>
      <c r="H138">
        <v>1</v>
      </c>
      <c r="I138">
        <v>2253.59</v>
      </c>
      <c r="J138">
        <v>3286.22</v>
      </c>
      <c r="K138" t="s">
        <v>56</v>
      </c>
      <c r="L138" t="s">
        <v>51</v>
      </c>
      <c r="M138">
        <v>2022</v>
      </c>
      <c r="N138" t="s">
        <v>45</v>
      </c>
    </row>
    <row r="139" spans="1:14" x14ac:dyDescent="0.3">
      <c r="A139" s="1">
        <v>45029</v>
      </c>
      <c r="B139" t="s">
        <v>15</v>
      </c>
      <c r="C139" t="s">
        <v>10</v>
      </c>
      <c r="D139" t="s">
        <v>28</v>
      </c>
      <c r="E139">
        <v>37</v>
      </c>
      <c r="F139">
        <v>834.5</v>
      </c>
      <c r="G139" t="s">
        <v>12</v>
      </c>
      <c r="H139">
        <v>4</v>
      </c>
      <c r="I139">
        <v>3459.38</v>
      </c>
      <c r="J139">
        <v>-2624.88</v>
      </c>
      <c r="K139" t="s">
        <v>55</v>
      </c>
      <c r="L139" t="s">
        <v>51</v>
      </c>
      <c r="M139">
        <v>2023</v>
      </c>
      <c r="N139" t="s">
        <v>45</v>
      </c>
    </row>
    <row r="140" spans="1:14" x14ac:dyDescent="0.3">
      <c r="A140" s="1">
        <v>44974</v>
      </c>
      <c r="B140" t="s">
        <v>23</v>
      </c>
      <c r="C140" t="s">
        <v>25</v>
      </c>
      <c r="D140" t="s">
        <v>30</v>
      </c>
      <c r="E140">
        <v>13</v>
      </c>
      <c r="F140">
        <v>986.36</v>
      </c>
      <c r="G140" t="s">
        <v>12</v>
      </c>
      <c r="H140">
        <v>2</v>
      </c>
      <c r="I140">
        <v>2595.37</v>
      </c>
      <c r="J140">
        <v>-1609.01</v>
      </c>
      <c r="K140" t="s">
        <v>54</v>
      </c>
      <c r="L140" t="s">
        <v>53</v>
      </c>
      <c r="M140">
        <v>2023</v>
      </c>
      <c r="N140" t="s">
        <v>44</v>
      </c>
    </row>
    <row r="141" spans="1:14" x14ac:dyDescent="0.3">
      <c r="A141" s="1">
        <v>44761</v>
      </c>
      <c r="B141" t="s">
        <v>15</v>
      </c>
      <c r="C141" t="s">
        <v>13</v>
      </c>
      <c r="D141" t="s">
        <v>29</v>
      </c>
      <c r="E141">
        <v>8</v>
      </c>
      <c r="F141">
        <v>390.21</v>
      </c>
      <c r="G141" t="s">
        <v>20</v>
      </c>
      <c r="H141">
        <v>2</v>
      </c>
      <c r="I141">
        <v>580.39</v>
      </c>
      <c r="J141">
        <v>-190.18</v>
      </c>
      <c r="K141" t="s">
        <v>63</v>
      </c>
      <c r="L141" t="s">
        <v>61</v>
      </c>
      <c r="M141">
        <v>2022</v>
      </c>
      <c r="N141" t="s">
        <v>45</v>
      </c>
    </row>
    <row r="142" spans="1:14" x14ac:dyDescent="0.3">
      <c r="A142" s="1">
        <v>45232</v>
      </c>
      <c r="B142" t="s">
        <v>31</v>
      </c>
      <c r="C142" t="s">
        <v>13</v>
      </c>
      <c r="D142" t="s">
        <v>14</v>
      </c>
      <c r="E142">
        <v>44</v>
      </c>
      <c r="F142">
        <v>20220.849999999999</v>
      </c>
      <c r="G142" t="s">
        <v>20</v>
      </c>
      <c r="H142">
        <v>2</v>
      </c>
      <c r="I142">
        <v>9939.94</v>
      </c>
      <c r="J142">
        <v>10280.91</v>
      </c>
      <c r="K142" t="s">
        <v>65</v>
      </c>
      <c r="L142" t="s">
        <v>59</v>
      </c>
      <c r="M142">
        <v>2023</v>
      </c>
      <c r="N142" t="s">
        <v>44</v>
      </c>
    </row>
    <row r="143" spans="1:14" x14ac:dyDescent="0.3">
      <c r="A143" s="1">
        <v>45182</v>
      </c>
      <c r="B143" t="s">
        <v>31</v>
      </c>
      <c r="C143" t="s">
        <v>13</v>
      </c>
      <c r="D143" t="s">
        <v>14</v>
      </c>
      <c r="E143">
        <v>40</v>
      </c>
      <c r="F143">
        <v>1592.7</v>
      </c>
      <c r="G143" t="s">
        <v>20</v>
      </c>
      <c r="H143">
        <v>2</v>
      </c>
      <c r="I143">
        <v>2612.94</v>
      </c>
      <c r="J143">
        <v>-1020.24</v>
      </c>
      <c r="K143" t="s">
        <v>60</v>
      </c>
      <c r="L143" t="s">
        <v>61</v>
      </c>
      <c r="M143">
        <v>2023</v>
      </c>
      <c r="N143" t="s">
        <v>44</v>
      </c>
    </row>
    <row r="144" spans="1:14" x14ac:dyDescent="0.3">
      <c r="A144" s="1">
        <v>44644</v>
      </c>
      <c r="B144" t="s">
        <v>31</v>
      </c>
      <c r="C144" t="s">
        <v>10</v>
      </c>
      <c r="D144" t="s">
        <v>34</v>
      </c>
      <c r="E144">
        <v>4</v>
      </c>
      <c r="F144">
        <v>1414.97</v>
      </c>
      <c r="G144" t="s">
        <v>20</v>
      </c>
      <c r="H144">
        <v>2</v>
      </c>
      <c r="I144">
        <v>962.52</v>
      </c>
      <c r="J144">
        <v>452.45</v>
      </c>
      <c r="K144" t="s">
        <v>52</v>
      </c>
      <c r="L144" t="s">
        <v>53</v>
      </c>
      <c r="M144">
        <v>2022</v>
      </c>
      <c r="N144" t="s">
        <v>45</v>
      </c>
    </row>
    <row r="145" spans="1:14" x14ac:dyDescent="0.3">
      <c r="A145" s="1">
        <v>44988</v>
      </c>
      <c r="B145" t="s">
        <v>9</v>
      </c>
      <c r="C145" t="s">
        <v>13</v>
      </c>
      <c r="D145" t="s">
        <v>29</v>
      </c>
      <c r="E145">
        <v>5</v>
      </c>
      <c r="F145">
        <v>1348.9</v>
      </c>
      <c r="G145" t="s">
        <v>12</v>
      </c>
      <c r="H145">
        <v>4</v>
      </c>
      <c r="I145">
        <v>1101.76</v>
      </c>
      <c r="J145">
        <v>247.14</v>
      </c>
      <c r="K145" t="s">
        <v>52</v>
      </c>
      <c r="L145" t="s">
        <v>53</v>
      </c>
      <c r="M145">
        <v>2023</v>
      </c>
      <c r="N145" t="s">
        <v>45</v>
      </c>
    </row>
    <row r="146" spans="1:14" x14ac:dyDescent="0.3">
      <c r="A146" s="1">
        <v>45226</v>
      </c>
      <c r="B146" t="s">
        <v>23</v>
      </c>
      <c r="C146" t="s">
        <v>10</v>
      </c>
      <c r="D146" t="s">
        <v>28</v>
      </c>
      <c r="E146">
        <v>12</v>
      </c>
      <c r="F146">
        <v>5094.12</v>
      </c>
      <c r="G146" t="s">
        <v>20</v>
      </c>
      <c r="H146">
        <v>5</v>
      </c>
      <c r="I146">
        <v>277.26</v>
      </c>
      <c r="J146">
        <v>4816.8599999999997</v>
      </c>
      <c r="K146" t="s">
        <v>62</v>
      </c>
      <c r="L146" t="s">
        <v>59</v>
      </c>
      <c r="M146">
        <v>2023</v>
      </c>
      <c r="N146" t="s">
        <v>46</v>
      </c>
    </row>
    <row r="147" spans="1:14" x14ac:dyDescent="0.3">
      <c r="A147" s="1">
        <v>44995</v>
      </c>
      <c r="B147" t="s">
        <v>23</v>
      </c>
      <c r="C147" t="s">
        <v>16</v>
      </c>
      <c r="D147" t="s">
        <v>24</v>
      </c>
      <c r="E147">
        <v>45</v>
      </c>
      <c r="F147">
        <v>8712.65</v>
      </c>
      <c r="G147" t="s">
        <v>12</v>
      </c>
      <c r="H147">
        <v>5</v>
      </c>
      <c r="I147">
        <v>9405.6200000000008</v>
      </c>
      <c r="J147">
        <v>-692.97</v>
      </c>
      <c r="K147" t="s">
        <v>52</v>
      </c>
      <c r="L147" t="s">
        <v>53</v>
      </c>
      <c r="M147">
        <v>2023</v>
      </c>
      <c r="N147" t="s">
        <v>45</v>
      </c>
    </row>
    <row r="148" spans="1:14" x14ac:dyDescent="0.3">
      <c r="A148" s="1">
        <v>45230</v>
      </c>
      <c r="B148" t="s">
        <v>9</v>
      </c>
      <c r="C148" t="s">
        <v>13</v>
      </c>
      <c r="D148" t="s">
        <v>29</v>
      </c>
      <c r="E148">
        <v>6</v>
      </c>
      <c r="F148">
        <v>2378.25</v>
      </c>
      <c r="G148" t="s">
        <v>20</v>
      </c>
      <c r="H148">
        <v>4</v>
      </c>
      <c r="I148">
        <v>1362.33</v>
      </c>
      <c r="J148">
        <v>1015.92</v>
      </c>
      <c r="K148" t="s">
        <v>62</v>
      </c>
      <c r="L148" t="s">
        <v>59</v>
      </c>
      <c r="M148">
        <v>2023</v>
      </c>
      <c r="N148" t="s">
        <v>47</v>
      </c>
    </row>
    <row r="149" spans="1:14" x14ac:dyDescent="0.3">
      <c r="A149" s="1">
        <v>44792</v>
      </c>
      <c r="B149" t="s">
        <v>31</v>
      </c>
      <c r="C149" t="s">
        <v>13</v>
      </c>
      <c r="D149" t="s">
        <v>29</v>
      </c>
      <c r="E149">
        <v>44</v>
      </c>
      <c r="F149">
        <v>14703.62</v>
      </c>
      <c r="G149" t="s">
        <v>12</v>
      </c>
      <c r="H149">
        <v>2</v>
      </c>
      <c r="I149">
        <v>7756.94</v>
      </c>
      <c r="J149">
        <v>6946.68</v>
      </c>
      <c r="K149" t="s">
        <v>64</v>
      </c>
      <c r="L149" t="s">
        <v>61</v>
      </c>
      <c r="M149">
        <v>2022</v>
      </c>
      <c r="N149" t="s">
        <v>45</v>
      </c>
    </row>
    <row r="150" spans="1:14" x14ac:dyDescent="0.3">
      <c r="A150" s="1">
        <v>45143</v>
      </c>
      <c r="B150" t="s">
        <v>18</v>
      </c>
      <c r="C150" t="s">
        <v>10</v>
      </c>
      <c r="D150" t="s">
        <v>11</v>
      </c>
      <c r="E150">
        <v>48</v>
      </c>
      <c r="F150">
        <v>5125.6400000000003</v>
      </c>
      <c r="G150" t="s">
        <v>12</v>
      </c>
      <c r="H150">
        <v>1</v>
      </c>
      <c r="I150">
        <v>10260.82</v>
      </c>
      <c r="J150">
        <v>-5135.18</v>
      </c>
      <c r="K150" t="s">
        <v>64</v>
      </c>
      <c r="L150" t="s">
        <v>61</v>
      </c>
      <c r="M150">
        <v>2023</v>
      </c>
      <c r="N150" t="s">
        <v>44</v>
      </c>
    </row>
    <row r="151" spans="1:14" x14ac:dyDescent="0.3">
      <c r="A151" s="1">
        <v>44600</v>
      </c>
      <c r="B151" t="s">
        <v>15</v>
      </c>
      <c r="C151" t="s">
        <v>10</v>
      </c>
      <c r="D151" t="s">
        <v>34</v>
      </c>
      <c r="E151">
        <v>40</v>
      </c>
      <c r="F151">
        <v>7729.4</v>
      </c>
      <c r="G151" t="s">
        <v>20</v>
      </c>
      <c r="H151">
        <v>4</v>
      </c>
      <c r="I151">
        <v>6743.06</v>
      </c>
      <c r="J151">
        <v>986.34</v>
      </c>
      <c r="K151" t="s">
        <v>54</v>
      </c>
      <c r="L151" t="s">
        <v>53</v>
      </c>
      <c r="M151">
        <v>2022</v>
      </c>
      <c r="N151" t="s">
        <v>47</v>
      </c>
    </row>
    <row r="152" spans="1:14" x14ac:dyDescent="0.3">
      <c r="A152" s="1">
        <v>44704</v>
      </c>
      <c r="B152" t="s">
        <v>15</v>
      </c>
      <c r="C152" t="s">
        <v>13</v>
      </c>
      <c r="D152" t="s">
        <v>40</v>
      </c>
      <c r="E152">
        <v>28</v>
      </c>
      <c r="F152">
        <v>1706.27</v>
      </c>
      <c r="G152" t="s">
        <v>20</v>
      </c>
      <c r="H152">
        <v>5</v>
      </c>
      <c r="I152">
        <v>1058.06</v>
      </c>
      <c r="J152">
        <v>648.21</v>
      </c>
      <c r="K152" t="s">
        <v>56</v>
      </c>
      <c r="L152" t="s">
        <v>51</v>
      </c>
      <c r="M152">
        <v>2022</v>
      </c>
      <c r="N152" t="s">
        <v>44</v>
      </c>
    </row>
    <row r="153" spans="1:14" x14ac:dyDescent="0.3">
      <c r="A153" s="1">
        <v>44964</v>
      </c>
      <c r="B153" t="s">
        <v>9</v>
      </c>
      <c r="C153" t="s">
        <v>10</v>
      </c>
      <c r="D153" t="s">
        <v>11</v>
      </c>
      <c r="E153">
        <v>42</v>
      </c>
      <c r="F153">
        <v>12100.39</v>
      </c>
      <c r="G153" t="s">
        <v>20</v>
      </c>
      <c r="H153">
        <v>1</v>
      </c>
      <c r="I153">
        <v>8635.59</v>
      </c>
      <c r="J153">
        <v>3464.8</v>
      </c>
      <c r="K153" t="s">
        <v>54</v>
      </c>
      <c r="L153" t="s">
        <v>53</v>
      </c>
      <c r="M153">
        <v>2023</v>
      </c>
      <c r="N153" t="s">
        <v>45</v>
      </c>
    </row>
    <row r="154" spans="1:14" x14ac:dyDescent="0.3">
      <c r="A154" s="1">
        <v>44761</v>
      </c>
      <c r="B154" t="s">
        <v>9</v>
      </c>
      <c r="C154" t="s">
        <v>25</v>
      </c>
      <c r="D154" t="s">
        <v>38</v>
      </c>
      <c r="E154">
        <v>41</v>
      </c>
      <c r="F154">
        <v>20444.23</v>
      </c>
      <c r="G154" t="s">
        <v>20</v>
      </c>
      <c r="H154">
        <v>5</v>
      </c>
      <c r="I154">
        <v>2755.95</v>
      </c>
      <c r="J154">
        <v>17688.28</v>
      </c>
      <c r="K154" t="s">
        <v>63</v>
      </c>
      <c r="L154" t="s">
        <v>61</v>
      </c>
      <c r="M154">
        <v>2022</v>
      </c>
      <c r="N154" t="s">
        <v>44</v>
      </c>
    </row>
    <row r="155" spans="1:14" x14ac:dyDescent="0.3">
      <c r="A155" s="1">
        <v>45197</v>
      </c>
      <c r="B155" t="s">
        <v>15</v>
      </c>
      <c r="C155" t="s">
        <v>21</v>
      </c>
      <c r="D155" t="s">
        <v>36</v>
      </c>
      <c r="E155">
        <v>25</v>
      </c>
      <c r="F155">
        <v>6936.27</v>
      </c>
      <c r="G155" t="s">
        <v>12</v>
      </c>
      <c r="H155">
        <v>1</v>
      </c>
      <c r="I155">
        <v>5527.45</v>
      </c>
      <c r="J155">
        <v>1408.82</v>
      </c>
      <c r="K155" t="s">
        <v>60</v>
      </c>
      <c r="L155" t="s">
        <v>61</v>
      </c>
      <c r="M155">
        <v>2023</v>
      </c>
      <c r="N155" t="s">
        <v>44</v>
      </c>
    </row>
    <row r="156" spans="1:14" x14ac:dyDescent="0.3">
      <c r="A156" s="1">
        <v>45106</v>
      </c>
      <c r="B156" t="s">
        <v>9</v>
      </c>
      <c r="C156" t="s">
        <v>16</v>
      </c>
      <c r="D156" t="s">
        <v>17</v>
      </c>
      <c r="E156">
        <v>49</v>
      </c>
      <c r="F156">
        <v>7163.09</v>
      </c>
      <c r="G156" t="s">
        <v>20</v>
      </c>
      <c r="H156">
        <v>5</v>
      </c>
      <c r="I156">
        <v>7180.57</v>
      </c>
      <c r="J156">
        <v>-17.48</v>
      </c>
      <c r="K156" t="s">
        <v>50</v>
      </c>
      <c r="L156" t="s">
        <v>51</v>
      </c>
      <c r="M156">
        <v>2023</v>
      </c>
      <c r="N156" t="s">
        <v>44</v>
      </c>
    </row>
    <row r="157" spans="1:14" x14ac:dyDescent="0.3">
      <c r="A157" s="1">
        <v>45157</v>
      </c>
      <c r="B157" t="s">
        <v>23</v>
      </c>
      <c r="C157" t="s">
        <v>16</v>
      </c>
      <c r="D157" t="s">
        <v>17</v>
      </c>
      <c r="E157">
        <v>29</v>
      </c>
      <c r="F157">
        <v>12517.51</v>
      </c>
      <c r="G157" t="s">
        <v>20</v>
      </c>
      <c r="H157">
        <v>1</v>
      </c>
      <c r="I157">
        <v>3278.84</v>
      </c>
      <c r="J157">
        <v>9238.67</v>
      </c>
      <c r="K157" t="s">
        <v>64</v>
      </c>
      <c r="L157" t="s">
        <v>61</v>
      </c>
      <c r="M157">
        <v>2023</v>
      </c>
      <c r="N157" t="s">
        <v>45</v>
      </c>
    </row>
    <row r="158" spans="1:14" x14ac:dyDescent="0.3">
      <c r="A158" s="1">
        <v>44583</v>
      </c>
      <c r="B158" t="s">
        <v>23</v>
      </c>
      <c r="C158" t="s">
        <v>13</v>
      </c>
      <c r="D158" t="s">
        <v>19</v>
      </c>
      <c r="E158">
        <v>1</v>
      </c>
      <c r="F158">
        <v>210.4</v>
      </c>
      <c r="G158" t="s">
        <v>20</v>
      </c>
      <c r="H158">
        <v>2</v>
      </c>
      <c r="I158">
        <v>84.42</v>
      </c>
      <c r="J158">
        <v>125.98</v>
      </c>
      <c r="K158" t="s">
        <v>57</v>
      </c>
      <c r="L158" t="s">
        <v>53</v>
      </c>
      <c r="M158">
        <v>2022</v>
      </c>
      <c r="N158" t="s">
        <v>47</v>
      </c>
    </row>
    <row r="159" spans="1:14" x14ac:dyDescent="0.3">
      <c r="A159" s="1">
        <v>45140</v>
      </c>
      <c r="B159" t="s">
        <v>15</v>
      </c>
      <c r="C159" t="s">
        <v>16</v>
      </c>
      <c r="D159" t="s">
        <v>37</v>
      </c>
      <c r="E159">
        <v>18</v>
      </c>
      <c r="F159">
        <v>8827.44</v>
      </c>
      <c r="G159" t="s">
        <v>20</v>
      </c>
      <c r="H159">
        <v>1</v>
      </c>
      <c r="I159">
        <v>4082.79</v>
      </c>
      <c r="J159">
        <v>4744.6499999999996</v>
      </c>
      <c r="K159" t="s">
        <v>64</v>
      </c>
      <c r="L159" t="s">
        <v>61</v>
      </c>
      <c r="M159">
        <v>2023</v>
      </c>
      <c r="N159" t="s">
        <v>43</v>
      </c>
    </row>
    <row r="160" spans="1:14" x14ac:dyDescent="0.3">
      <c r="A160" s="1">
        <v>45012</v>
      </c>
      <c r="B160" t="s">
        <v>23</v>
      </c>
      <c r="C160" t="s">
        <v>25</v>
      </c>
      <c r="D160" t="s">
        <v>38</v>
      </c>
      <c r="E160">
        <v>9</v>
      </c>
      <c r="F160">
        <v>1034.9000000000001</v>
      </c>
      <c r="G160" t="s">
        <v>20</v>
      </c>
      <c r="H160">
        <v>4</v>
      </c>
      <c r="I160">
        <v>1601.21</v>
      </c>
      <c r="J160">
        <v>-566.30999999999995</v>
      </c>
      <c r="K160" t="s">
        <v>52</v>
      </c>
      <c r="L160" t="s">
        <v>53</v>
      </c>
      <c r="M160">
        <v>2023</v>
      </c>
      <c r="N160" t="s">
        <v>44</v>
      </c>
    </row>
    <row r="161" spans="1:14" x14ac:dyDescent="0.3">
      <c r="A161" s="1">
        <v>44715</v>
      </c>
      <c r="B161" t="s">
        <v>15</v>
      </c>
      <c r="C161" t="s">
        <v>21</v>
      </c>
      <c r="D161" t="s">
        <v>33</v>
      </c>
      <c r="E161">
        <v>17</v>
      </c>
      <c r="F161">
        <v>1750.19</v>
      </c>
      <c r="G161" t="s">
        <v>12</v>
      </c>
      <c r="H161">
        <v>2</v>
      </c>
      <c r="I161">
        <v>3583.79</v>
      </c>
      <c r="J161">
        <v>-1833.6</v>
      </c>
      <c r="K161" t="s">
        <v>50</v>
      </c>
      <c r="L161" t="s">
        <v>51</v>
      </c>
      <c r="M161">
        <v>2022</v>
      </c>
      <c r="N161" t="s">
        <v>47</v>
      </c>
    </row>
    <row r="162" spans="1:14" x14ac:dyDescent="0.3">
      <c r="A162" s="1">
        <v>45014</v>
      </c>
      <c r="B162" t="s">
        <v>23</v>
      </c>
      <c r="C162" t="s">
        <v>10</v>
      </c>
      <c r="D162" t="s">
        <v>34</v>
      </c>
      <c r="E162">
        <v>23</v>
      </c>
      <c r="F162">
        <v>628.30999999999995</v>
      </c>
      <c r="G162" t="s">
        <v>12</v>
      </c>
      <c r="H162">
        <v>3</v>
      </c>
      <c r="I162">
        <v>1503.9</v>
      </c>
      <c r="J162">
        <v>-875.59</v>
      </c>
      <c r="K162" t="s">
        <v>52</v>
      </c>
      <c r="L162" t="s">
        <v>53</v>
      </c>
      <c r="M162">
        <v>2023</v>
      </c>
      <c r="N162" t="s">
        <v>45</v>
      </c>
    </row>
    <row r="163" spans="1:14" x14ac:dyDescent="0.3">
      <c r="A163" s="1">
        <v>45069</v>
      </c>
      <c r="B163" t="s">
        <v>31</v>
      </c>
      <c r="C163" t="s">
        <v>16</v>
      </c>
      <c r="D163" t="s">
        <v>37</v>
      </c>
      <c r="E163">
        <v>14</v>
      </c>
      <c r="F163">
        <v>2528.84</v>
      </c>
      <c r="G163" t="s">
        <v>12</v>
      </c>
      <c r="H163">
        <v>5</v>
      </c>
      <c r="I163">
        <v>1402.59</v>
      </c>
      <c r="J163">
        <v>1126.25</v>
      </c>
      <c r="K163" t="s">
        <v>56</v>
      </c>
      <c r="L163" t="s">
        <v>51</v>
      </c>
      <c r="M163">
        <v>2023</v>
      </c>
      <c r="N163" t="s">
        <v>44</v>
      </c>
    </row>
    <row r="164" spans="1:14" x14ac:dyDescent="0.3">
      <c r="A164" s="1">
        <v>44687</v>
      </c>
      <c r="B164" t="s">
        <v>18</v>
      </c>
      <c r="C164" t="s">
        <v>21</v>
      </c>
      <c r="D164" t="s">
        <v>33</v>
      </c>
      <c r="E164">
        <v>27</v>
      </c>
      <c r="F164">
        <v>11992.06</v>
      </c>
      <c r="G164" t="s">
        <v>20</v>
      </c>
      <c r="H164">
        <v>2</v>
      </c>
      <c r="I164">
        <v>2460.9</v>
      </c>
      <c r="J164">
        <v>9531.16</v>
      </c>
      <c r="K164" t="s">
        <v>56</v>
      </c>
      <c r="L164" t="s">
        <v>51</v>
      </c>
      <c r="M164">
        <v>2022</v>
      </c>
      <c r="N164" t="s">
        <v>47</v>
      </c>
    </row>
    <row r="165" spans="1:14" x14ac:dyDescent="0.3">
      <c r="A165" s="1">
        <v>44919</v>
      </c>
      <c r="B165" t="s">
        <v>23</v>
      </c>
      <c r="C165" t="s">
        <v>21</v>
      </c>
      <c r="D165" t="s">
        <v>36</v>
      </c>
      <c r="E165">
        <v>35</v>
      </c>
      <c r="F165">
        <v>1388.57</v>
      </c>
      <c r="G165" t="s">
        <v>20</v>
      </c>
      <c r="H165">
        <v>4</v>
      </c>
      <c r="I165">
        <v>3776.82</v>
      </c>
      <c r="J165">
        <v>-2388.25</v>
      </c>
      <c r="K165" t="s">
        <v>58</v>
      </c>
      <c r="L165" t="s">
        <v>59</v>
      </c>
      <c r="M165">
        <v>2022</v>
      </c>
      <c r="N165" t="s">
        <v>44</v>
      </c>
    </row>
    <row r="166" spans="1:14" x14ac:dyDescent="0.3">
      <c r="A166" s="1">
        <v>45067</v>
      </c>
      <c r="B166" t="s">
        <v>9</v>
      </c>
      <c r="C166" t="s">
        <v>16</v>
      </c>
      <c r="D166" t="s">
        <v>24</v>
      </c>
      <c r="E166">
        <v>47</v>
      </c>
      <c r="F166">
        <v>11682.36</v>
      </c>
      <c r="G166" t="s">
        <v>20</v>
      </c>
      <c r="H166">
        <v>5</v>
      </c>
      <c r="I166">
        <v>8465.8799999999992</v>
      </c>
      <c r="J166">
        <v>3216.48</v>
      </c>
      <c r="K166" t="s">
        <v>56</v>
      </c>
      <c r="L166" t="s">
        <v>51</v>
      </c>
      <c r="M166">
        <v>2023</v>
      </c>
      <c r="N166" t="s">
        <v>44</v>
      </c>
    </row>
    <row r="167" spans="1:14" x14ac:dyDescent="0.3">
      <c r="A167" s="1">
        <v>45121</v>
      </c>
      <c r="B167" t="s">
        <v>18</v>
      </c>
      <c r="C167" t="s">
        <v>13</v>
      </c>
      <c r="D167" t="s">
        <v>40</v>
      </c>
      <c r="E167">
        <v>6</v>
      </c>
      <c r="F167">
        <v>1599.61</v>
      </c>
      <c r="G167" t="s">
        <v>12</v>
      </c>
      <c r="H167">
        <v>2</v>
      </c>
      <c r="I167">
        <v>1282.94</v>
      </c>
      <c r="J167">
        <v>316.67</v>
      </c>
      <c r="K167" t="s">
        <v>63</v>
      </c>
      <c r="L167" t="s">
        <v>61</v>
      </c>
      <c r="M167">
        <v>2023</v>
      </c>
      <c r="N167" t="s">
        <v>44</v>
      </c>
    </row>
    <row r="168" spans="1:14" x14ac:dyDescent="0.3">
      <c r="A168" s="1">
        <v>44740</v>
      </c>
      <c r="B168" t="s">
        <v>9</v>
      </c>
      <c r="C168" t="s">
        <v>25</v>
      </c>
      <c r="D168" t="s">
        <v>39</v>
      </c>
      <c r="E168">
        <v>49</v>
      </c>
      <c r="F168">
        <v>21137.9</v>
      </c>
      <c r="G168" t="s">
        <v>12</v>
      </c>
      <c r="H168">
        <v>1</v>
      </c>
      <c r="I168">
        <v>11796.37</v>
      </c>
      <c r="J168">
        <v>9341.5300000000007</v>
      </c>
      <c r="K168" t="s">
        <v>50</v>
      </c>
      <c r="L168" t="s">
        <v>51</v>
      </c>
      <c r="M168">
        <v>2022</v>
      </c>
      <c r="N168" t="s">
        <v>47</v>
      </c>
    </row>
    <row r="169" spans="1:14" x14ac:dyDescent="0.3">
      <c r="A169" s="1">
        <v>45202</v>
      </c>
      <c r="B169" t="s">
        <v>15</v>
      </c>
      <c r="C169" t="s">
        <v>25</v>
      </c>
      <c r="D169" t="s">
        <v>38</v>
      </c>
      <c r="E169">
        <v>29</v>
      </c>
      <c r="F169">
        <v>5716.47</v>
      </c>
      <c r="G169" t="s">
        <v>12</v>
      </c>
      <c r="H169">
        <v>2</v>
      </c>
      <c r="I169">
        <v>1284.3900000000001</v>
      </c>
      <c r="J169">
        <v>4432.08</v>
      </c>
      <c r="K169" t="s">
        <v>62</v>
      </c>
      <c r="L169" t="s">
        <v>59</v>
      </c>
      <c r="M169">
        <v>2023</v>
      </c>
      <c r="N169" t="s">
        <v>44</v>
      </c>
    </row>
    <row r="170" spans="1:14" x14ac:dyDescent="0.3">
      <c r="A170" s="1">
        <v>44806</v>
      </c>
      <c r="B170" t="s">
        <v>23</v>
      </c>
      <c r="C170" t="s">
        <v>13</v>
      </c>
      <c r="D170" t="s">
        <v>19</v>
      </c>
      <c r="E170">
        <v>41</v>
      </c>
      <c r="F170">
        <v>15766.06</v>
      </c>
      <c r="G170" t="s">
        <v>12</v>
      </c>
      <c r="H170">
        <v>3</v>
      </c>
      <c r="I170">
        <v>5469.54</v>
      </c>
      <c r="J170">
        <v>10296.52</v>
      </c>
      <c r="K170" t="s">
        <v>60</v>
      </c>
      <c r="L170" t="s">
        <v>61</v>
      </c>
      <c r="M170">
        <v>2022</v>
      </c>
      <c r="N170" t="s">
        <v>47</v>
      </c>
    </row>
    <row r="171" spans="1:14" x14ac:dyDescent="0.3">
      <c r="A171" s="1">
        <v>45061</v>
      </c>
      <c r="B171" t="s">
        <v>18</v>
      </c>
      <c r="C171" t="s">
        <v>16</v>
      </c>
      <c r="D171" t="s">
        <v>24</v>
      </c>
      <c r="E171">
        <v>24</v>
      </c>
      <c r="F171">
        <v>6922.87</v>
      </c>
      <c r="G171" t="s">
        <v>20</v>
      </c>
      <c r="H171">
        <v>3</v>
      </c>
      <c r="I171">
        <v>5735.8</v>
      </c>
      <c r="J171">
        <v>1187.07</v>
      </c>
      <c r="K171" t="s">
        <v>56</v>
      </c>
      <c r="L171" t="s">
        <v>51</v>
      </c>
      <c r="M171">
        <v>2023</v>
      </c>
      <c r="N171" t="s">
        <v>47</v>
      </c>
    </row>
    <row r="172" spans="1:14" x14ac:dyDescent="0.3">
      <c r="A172" s="1">
        <v>44968</v>
      </c>
      <c r="B172" t="s">
        <v>15</v>
      </c>
      <c r="C172" t="s">
        <v>10</v>
      </c>
      <c r="D172" t="s">
        <v>28</v>
      </c>
      <c r="E172">
        <v>21</v>
      </c>
      <c r="F172">
        <v>9381.77</v>
      </c>
      <c r="G172" t="s">
        <v>12</v>
      </c>
      <c r="H172">
        <v>1</v>
      </c>
      <c r="I172">
        <v>4391.62</v>
      </c>
      <c r="J172">
        <v>4990.1499999999996</v>
      </c>
      <c r="K172" t="s">
        <v>54</v>
      </c>
      <c r="L172" t="s">
        <v>53</v>
      </c>
      <c r="M172">
        <v>2023</v>
      </c>
      <c r="N172" t="s">
        <v>45</v>
      </c>
    </row>
    <row r="173" spans="1:14" x14ac:dyDescent="0.3">
      <c r="A173" s="1">
        <v>44815</v>
      </c>
      <c r="B173" t="s">
        <v>31</v>
      </c>
      <c r="C173" t="s">
        <v>21</v>
      </c>
      <c r="D173" t="s">
        <v>36</v>
      </c>
      <c r="E173">
        <v>45</v>
      </c>
      <c r="F173">
        <v>14630.71</v>
      </c>
      <c r="G173" t="s">
        <v>20</v>
      </c>
      <c r="H173">
        <v>4</v>
      </c>
      <c r="I173">
        <v>6947.72</v>
      </c>
      <c r="J173">
        <v>7682.99</v>
      </c>
      <c r="K173" t="s">
        <v>60</v>
      </c>
      <c r="L173" t="s">
        <v>61</v>
      </c>
      <c r="M173">
        <v>2022</v>
      </c>
      <c r="N173" t="s">
        <v>44</v>
      </c>
    </row>
    <row r="174" spans="1:14" x14ac:dyDescent="0.3">
      <c r="A174" s="1">
        <v>44857</v>
      </c>
      <c r="B174" t="s">
        <v>31</v>
      </c>
      <c r="C174" t="s">
        <v>13</v>
      </c>
      <c r="D174" t="s">
        <v>29</v>
      </c>
      <c r="E174">
        <v>21</v>
      </c>
      <c r="F174">
        <v>7663.47</v>
      </c>
      <c r="G174" t="s">
        <v>20</v>
      </c>
      <c r="H174">
        <v>2</v>
      </c>
      <c r="I174">
        <v>3975.78</v>
      </c>
      <c r="J174">
        <v>3687.69</v>
      </c>
      <c r="K174" t="s">
        <v>62</v>
      </c>
      <c r="L174" t="s">
        <v>59</v>
      </c>
      <c r="M174">
        <v>2022</v>
      </c>
      <c r="N174" t="s">
        <v>47</v>
      </c>
    </row>
    <row r="175" spans="1:14" x14ac:dyDescent="0.3">
      <c r="A175" s="1">
        <v>44985</v>
      </c>
      <c r="B175" t="s">
        <v>9</v>
      </c>
      <c r="C175" t="s">
        <v>21</v>
      </c>
      <c r="D175" t="s">
        <v>36</v>
      </c>
      <c r="E175">
        <v>9</v>
      </c>
      <c r="F175">
        <v>4295.24</v>
      </c>
      <c r="G175" t="s">
        <v>12</v>
      </c>
      <c r="H175">
        <v>3</v>
      </c>
      <c r="I175">
        <v>53.63</v>
      </c>
      <c r="J175">
        <v>4241.6099999999997</v>
      </c>
      <c r="K175" t="s">
        <v>54</v>
      </c>
      <c r="L175" t="s">
        <v>53</v>
      </c>
      <c r="M175">
        <v>2023</v>
      </c>
      <c r="N175" t="s">
        <v>43</v>
      </c>
    </row>
    <row r="176" spans="1:14" x14ac:dyDescent="0.3">
      <c r="A176" s="1">
        <v>45183</v>
      </c>
      <c r="B176" t="s">
        <v>23</v>
      </c>
      <c r="C176" t="s">
        <v>16</v>
      </c>
      <c r="D176" t="s">
        <v>17</v>
      </c>
      <c r="E176">
        <v>2</v>
      </c>
      <c r="F176">
        <v>601.9</v>
      </c>
      <c r="G176" t="s">
        <v>12</v>
      </c>
      <c r="H176">
        <v>5</v>
      </c>
      <c r="I176">
        <v>272.72000000000003</v>
      </c>
      <c r="J176">
        <v>329.18</v>
      </c>
      <c r="K176" t="s">
        <v>60</v>
      </c>
      <c r="L176" t="s">
        <v>61</v>
      </c>
      <c r="M176">
        <v>2023</v>
      </c>
      <c r="N176" t="s">
        <v>47</v>
      </c>
    </row>
    <row r="177" spans="1:14" x14ac:dyDescent="0.3">
      <c r="A177" s="1">
        <v>44911</v>
      </c>
      <c r="B177" t="s">
        <v>9</v>
      </c>
      <c r="C177" t="s">
        <v>16</v>
      </c>
      <c r="D177" t="s">
        <v>37</v>
      </c>
      <c r="E177">
        <v>36</v>
      </c>
      <c r="F177">
        <v>10018.43</v>
      </c>
      <c r="G177" t="s">
        <v>12</v>
      </c>
      <c r="H177">
        <v>2</v>
      </c>
      <c r="I177">
        <v>1027.8599999999999</v>
      </c>
      <c r="J177">
        <v>8990.57</v>
      </c>
      <c r="K177" t="s">
        <v>58</v>
      </c>
      <c r="L177" t="s">
        <v>59</v>
      </c>
      <c r="M177">
        <v>2022</v>
      </c>
      <c r="N177" t="s">
        <v>47</v>
      </c>
    </row>
    <row r="178" spans="1:14" x14ac:dyDescent="0.3">
      <c r="A178" s="1">
        <v>44741</v>
      </c>
      <c r="B178" t="s">
        <v>31</v>
      </c>
      <c r="C178" t="s">
        <v>10</v>
      </c>
      <c r="D178" t="s">
        <v>28</v>
      </c>
      <c r="E178">
        <v>31</v>
      </c>
      <c r="F178">
        <v>10685.43</v>
      </c>
      <c r="G178" t="s">
        <v>20</v>
      </c>
      <c r="H178">
        <v>3</v>
      </c>
      <c r="I178">
        <v>3752.13</v>
      </c>
      <c r="J178">
        <v>6933.3</v>
      </c>
      <c r="K178" t="s">
        <v>50</v>
      </c>
      <c r="L178" t="s">
        <v>51</v>
      </c>
      <c r="M178">
        <v>2022</v>
      </c>
      <c r="N178" t="s">
        <v>44</v>
      </c>
    </row>
    <row r="179" spans="1:14" x14ac:dyDescent="0.3">
      <c r="A179" s="1">
        <v>45230</v>
      </c>
      <c r="B179" t="s">
        <v>31</v>
      </c>
      <c r="C179" t="s">
        <v>21</v>
      </c>
      <c r="D179" t="s">
        <v>32</v>
      </c>
      <c r="E179">
        <v>14</v>
      </c>
      <c r="F179">
        <v>5724.09</v>
      </c>
      <c r="G179" t="s">
        <v>20</v>
      </c>
      <c r="H179">
        <v>3</v>
      </c>
      <c r="I179">
        <v>2954.53</v>
      </c>
      <c r="J179">
        <v>2769.56</v>
      </c>
      <c r="K179" t="s">
        <v>62</v>
      </c>
      <c r="L179" t="s">
        <v>59</v>
      </c>
      <c r="M179">
        <v>2023</v>
      </c>
      <c r="N179" t="s">
        <v>47</v>
      </c>
    </row>
    <row r="180" spans="1:14" x14ac:dyDescent="0.3">
      <c r="A180" s="1">
        <v>45082</v>
      </c>
      <c r="B180" t="s">
        <v>15</v>
      </c>
      <c r="C180" t="s">
        <v>25</v>
      </c>
      <c r="D180" t="s">
        <v>38</v>
      </c>
      <c r="E180">
        <v>22</v>
      </c>
      <c r="F180">
        <v>979.36</v>
      </c>
      <c r="G180" t="s">
        <v>20</v>
      </c>
      <c r="H180">
        <v>1</v>
      </c>
      <c r="I180">
        <v>1678.26</v>
      </c>
      <c r="J180">
        <v>-698.9</v>
      </c>
      <c r="K180" t="s">
        <v>50</v>
      </c>
      <c r="L180" t="s">
        <v>51</v>
      </c>
      <c r="M180">
        <v>2023</v>
      </c>
      <c r="N180" t="s">
        <v>44</v>
      </c>
    </row>
    <row r="181" spans="1:14" x14ac:dyDescent="0.3">
      <c r="A181" s="1">
        <v>45141</v>
      </c>
      <c r="B181" t="s">
        <v>15</v>
      </c>
      <c r="C181" t="s">
        <v>13</v>
      </c>
      <c r="D181" t="s">
        <v>14</v>
      </c>
      <c r="E181">
        <v>2</v>
      </c>
      <c r="F181">
        <v>656.47</v>
      </c>
      <c r="G181" t="s">
        <v>12</v>
      </c>
      <c r="H181">
        <v>3</v>
      </c>
      <c r="I181">
        <v>16.43</v>
      </c>
      <c r="J181">
        <v>640.04</v>
      </c>
      <c r="K181" t="s">
        <v>64</v>
      </c>
      <c r="L181" t="s">
        <v>61</v>
      </c>
      <c r="M181">
        <v>2023</v>
      </c>
      <c r="N181" t="s">
        <v>44</v>
      </c>
    </row>
    <row r="182" spans="1:14" x14ac:dyDescent="0.3">
      <c r="A182" s="1">
        <v>44901</v>
      </c>
      <c r="B182" t="s">
        <v>9</v>
      </c>
      <c r="C182" t="s">
        <v>10</v>
      </c>
      <c r="D182" t="s">
        <v>11</v>
      </c>
      <c r="E182">
        <v>46</v>
      </c>
      <c r="F182">
        <v>743.49</v>
      </c>
      <c r="G182" t="s">
        <v>12</v>
      </c>
      <c r="H182">
        <v>3</v>
      </c>
      <c r="I182">
        <v>4154.4399999999996</v>
      </c>
      <c r="J182">
        <v>-3410.95</v>
      </c>
      <c r="K182" t="s">
        <v>58</v>
      </c>
      <c r="L182" t="s">
        <v>59</v>
      </c>
      <c r="M182">
        <v>2022</v>
      </c>
      <c r="N182" t="s">
        <v>47</v>
      </c>
    </row>
    <row r="183" spans="1:14" x14ac:dyDescent="0.3">
      <c r="A183" s="1">
        <v>45279</v>
      </c>
      <c r="B183" t="s">
        <v>23</v>
      </c>
      <c r="C183" t="s">
        <v>10</v>
      </c>
      <c r="D183" t="s">
        <v>11</v>
      </c>
      <c r="E183">
        <v>10</v>
      </c>
      <c r="F183">
        <v>1019.29</v>
      </c>
      <c r="G183" t="s">
        <v>12</v>
      </c>
      <c r="H183">
        <v>3</v>
      </c>
      <c r="I183">
        <v>1220.53</v>
      </c>
      <c r="J183">
        <v>-201.24</v>
      </c>
      <c r="K183" t="s">
        <v>58</v>
      </c>
      <c r="L183" t="s">
        <v>59</v>
      </c>
      <c r="M183">
        <v>2023</v>
      </c>
      <c r="N183" t="s">
        <v>44</v>
      </c>
    </row>
    <row r="184" spans="1:14" x14ac:dyDescent="0.3">
      <c r="A184" s="1">
        <v>44767</v>
      </c>
      <c r="B184" t="s">
        <v>23</v>
      </c>
      <c r="C184" t="s">
        <v>10</v>
      </c>
      <c r="D184" t="s">
        <v>11</v>
      </c>
      <c r="E184">
        <v>16</v>
      </c>
      <c r="F184">
        <v>7097.62</v>
      </c>
      <c r="G184" t="s">
        <v>12</v>
      </c>
      <c r="H184">
        <v>3</v>
      </c>
      <c r="I184">
        <v>2961.31</v>
      </c>
      <c r="J184">
        <v>4136.3100000000004</v>
      </c>
      <c r="K184" t="s">
        <v>63</v>
      </c>
      <c r="L184" t="s">
        <v>61</v>
      </c>
      <c r="M184">
        <v>2022</v>
      </c>
      <c r="N184" t="s">
        <v>44</v>
      </c>
    </row>
    <row r="185" spans="1:14" x14ac:dyDescent="0.3">
      <c r="A185" s="1">
        <v>45267</v>
      </c>
      <c r="B185" t="s">
        <v>9</v>
      </c>
      <c r="C185" t="s">
        <v>16</v>
      </c>
      <c r="D185" t="s">
        <v>37</v>
      </c>
      <c r="E185">
        <v>17</v>
      </c>
      <c r="F185">
        <v>1861.94</v>
      </c>
      <c r="G185" t="s">
        <v>12</v>
      </c>
      <c r="H185">
        <v>1</v>
      </c>
      <c r="I185">
        <v>1242.19</v>
      </c>
      <c r="J185">
        <v>619.75</v>
      </c>
      <c r="K185" t="s">
        <v>58</v>
      </c>
      <c r="L185" t="s">
        <v>59</v>
      </c>
      <c r="M185">
        <v>2023</v>
      </c>
      <c r="N185" t="s">
        <v>47</v>
      </c>
    </row>
    <row r="186" spans="1:14" x14ac:dyDescent="0.3">
      <c r="A186" s="1">
        <v>45077</v>
      </c>
      <c r="B186" t="s">
        <v>9</v>
      </c>
      <c r="C186" t="s">
        <v>13</v>
      </c>
      <c r="D186" t="s">
        <v>19</v>
      </c>
      <c r="E186">
        <v>10</v>
      </c>
      <c r="F186">
        <v>1722.51</v>
      </c>
      <c r="G186" t="s">
        <v>20</v>
      </c>
      <c r="H186">
        <v>3</v>
      </c>
      <c r="I186">
        <v>1146.9100000000001</v>
      </c>
      <c r="J186">
        <v>575.6</v>
      </c>
      <c r="K186" t="s">
        <v>56</v>
      </c>
      <c r="L186" t="s">
        <v>51</v>
      </c>
      <c r="M186">
        <v>2023</v>
      </c>
      <c r="N186" t="s">
        <v>44</v>
      </c>
    </row>
    <row r="187" spans="1:14" x14ac:dyDescent="0.3">
      <c r="A187" s="1">
        <v>44653</v>
      </c>
      <c r="B187" t="s">
        <v>31</v>
      </c>
      <c r="C187" t="s">
        <v>25</v>
      </c>
      <c r="D187" t="s">
        <v>38</v>
      </c>
      <c r="E187">
        <v>34</v>
      </c>
      <c r="F187">
        <v>16648.830000000002</v>
      </c>
      <c r="G187" t="s">
        <v>12</v>
      </c>
      <c r="H187">
        <v>3</v>
      </c>
      <c r="I187">
        <v>2046.46</v>
      </c>
      <c r="J187">
        <v>14602.37</v>
      </c>
      <c r="K187" t="s">
        <v>55</v>
      </c>
      <c r="L187" t="s">
        <v>51</v>
      </c>
      <c r="M187">
        <v>2022</v>
      </c>
      <c r="N187" t="s">
        <v>47</v>
      </c>
    </row>
    <row r="188" spans="1:14" x14ac:dyDescent="0.3">
      <c r="A188" s="1">
        <v>44852</v>
      </c>
      <c r="B188" t="s">
        <v>15</v>
      </c>
      <c r="C188" t="s">
        <v>16</v>
      </c>
      <c r="D188" t="s">
        <v>37</v>
      </c>
      <c r="E188">
        <v>49</v>
      </c>
      <c r="F188">
        <v>22291.82</v>
      </c>
      <c r="G188" t="s">
        <v>20</v>
      </c>
      <c r="H188">
        <v>1</v>
      </c>
      <c r="I188">
        <v>2021.93</v>
      </c>
      <c r="J188">
        <v>20269.89</v>
      </c>
      <c r="K188" t="s">
        <v>62</v>
      </c>
      <c r="L188" t="s">
        <v>59</v>
      </c>
      <c r="M188">
        <v>2022</v>
      </c>
      <c r="N188" t="s">
        <v>43</v>
      </c>
    </row>
    <row r="189" spans="1:14" x14ac:dyDescent="0.3">
      <c r="A189" s="1">
        <v>44885</v>
      </c>
      <c r="B189" t="s">
        <v>23</v>
      </c>
      <c r="C189" t="s">
        <v>25</v>
      </c>
      <c r="D189" t="s">
        <v>38</v>
      </c>
      <c r="E189">
        <v>18</v>
      </c>
      <c r="F189">
        <v>8629.34</v>
      </c>
      <c r="G189" t="s">
        <v>12</v>
      </c>
      <c r="H189">
        <v>5</v>
      </c>
      <c r="I189">
        <v>1099.04</v>
      </c>
      <c r="J189">
        <v>7530.3</v>
      </c>
      <c r="K189" t="s">
        <v>65</v>
      </c>
      <c r="L189" t="s">
        <v>59</v>
      </c>
      <c r="M189">
        <v>2022</v>
      </c>
      <c r="N189" t="s">
        <v>44</v>
      </c>
    </row>
    <row r="190" spans="1:14" x14ac:dyDescent="0.3">
      <c r="A190" s="1">
        <v>45289</v>
      </c>
      <c r="B190" t="s">
        <v>18</v>
      </c>
      <c r="C190" t="s">
        <v>16</v>
      </c>
      <c r="D190" t="s">
        <v>17</v>
      </c>
      <c r="E190">
        <v>29</v>
      </c>
      <c r="F190">
        <v>2191.92</v>
      </c>
      <c r="G190" t="s">
        <v>12</v>
      </c>
      <c r="H190">
        <v>2</v>
      </c>
      <c r="I190">
        <v>5751.89</v>
      </c>
      <c r="J190">
        <v>-3559.97</v>
      </c>
      <c r="K190" t="s">
        <v>58</v>
      </c>
      <c r="L190" t="s">
        <v>59</v>
      </c>
      <c r="M190">
        <v>2023</v>
      </c>
      <c r="N190" t="s">
        <v>44</v>
      </c>
    </row>
    <row r="191" spans="1:14" x14ac:dyDescent="0.3">
      <c r="A191" s="1">
        <v>44648</v>
      </c>
      <c r="B191" t="s">
        <v>23</v>
      </c>
      <c r="C191" t="s">
        <v>13</v>
      </c>
      <c r="D191" t="s">
        <v>40</v>
      </c>
      <c r="E191">
        <v>46</v>
      </c>
      <c r="F191">
        <v>20885.71</v>
      </c>
      <c r="G191" t="s">
        <v>12</v>
      </c>
      <c r="H191">
        <v>4</v>
      </c>
      <c r="I191">
        <v>5414.01</v>
      </c>
      <c r="J191">
        <v>15471.7</v>
      </c>
      <c r="K191" t="s">
        <v>52</v>
      </c>
      <c r="L191" t="s">
        <v>53</v>
      </c>
      <c r="M191">
        <v>2022</v>
      </c>
      <c r="N191" t="s">
        <v>44</v>
      </c>
    </row>
    <row r="192" spans="1:14" x14ac:dyDescent="0.3">
      <c r="A192" s="1">
        <v>44712</v>
      </c>
      <c r="B192" t="s">
        <v>15</v>
      </c>
      <c r="C192" t="s">
        <v>21</v>
      </c>
      <c r="D192" t="s">
        <v>22</v>
      </c>
      <c r="E192">
        <v>6</v>
      </c>
      <c r="F192">
        <v>809.16</v>
      </c>
      <c r="G192" t="s">
        <v>12</v>
      </c>
      <c r="H192">
        <v>2</v>
      </c>
      <c r="I192">
        <v>1005.3</v>
      </c>
      <c r="J192">
        <v>-196.14</v>
      </c>
      <c r="K192" t="s">
        <v>56</v>
      </c>
      <c r="L192" t="s">
        <v>51</v>
      </c>
      <c r="M192">
        <v>2022</v>
      </c>
      <c r="N192" t="s">
        <v>47</v>
      </c>
    </row>
    <row r="193" spans="1:14" x14ac:dyDescent="0.3">
      <c r="A193" s="1">
        <v>45291</v>
      </c>
      <c r="B193" t="s">
        <v>15</v>
      </c>
      <c r="C193" t="s">
        <v>16</v>
      </c>
      <c r="D193" t="s">
        <v>17</v>
      </c>
      <c r="E193">
        <v>41</v>
      </c>
      <c r="F193">
        <v>4988.41</v>
      </c>
      <c r="G193" t="s">
        <v>20</v>
      </c>
      <c r="H193">
        <v>3</v>
      </c>
      <c r="I193">
        <v>10213.41</v>
      </c>
      <c r="J193">
        <v>-5225</v>
      </c>
      <c r="K193" t="s">
        <v>58</v>
      </c>
      <c r="L193" t="s">
        <v>59</v>
      </c>
      <c r="M193">
        <v>2023</v>
      </c>
      <c r="N193" t="s">
        <v>44</v>
      </c>
    </row>
    <row r="194" spans="1:14" x14ac:dyDescent="0.3">
      <c r="A194" s="1">
        <v>44765</v>
      </c>
      <c r="B194" t="s">
        <v>23</v>
      </c>
      <c r="C194" t="s">
        <v>16</v>
      </c>
      <c r="D194" t="s">
        <v>24</v>
      </c>
      <c r="E194">
        <v>42</v>
      </c>
      <c r="F194">
        <v>3048.02</v>
      </c>
      <c r="G194" t="s">
        <v>20</v>
      </c>
      <c r="H194">
        <v>5</v>
      </c>
      <c r="I194">
        <v>6765.77</v>
      </c>
      <c r="J194">
        <v>-3717.75</v>
      </c>
      <c r="K194" t="s">
        <v>63</v>
      </c>
      <c r="L194" t="s">
        <v>61</v>
      </c>
      <c r="M194">
        <v>2022</v>
      </c>
      <c r="N194" t="s">
        <v>44</v>
      </c>
    </row>
    <row r="195" spans="1:14" x14ac:dyDescent="0.3">
      <c r="A195" s="1">
        <v>44742</v>
      </c>
      <c r="B195" t="s">
        <v>23</v>
      </c>
      <c r="C195" t="s">
        <v>25</v>
      </c>
      <c r="D195" t="s">
        <v>30</v>
      </c>
      <c r="E195">
        <v>34</v>
      </c>
      <c r="F195">
        <v>10878.06</v>
      </c>
      <c r="G195" t="s">
        <v>20</v>
      </c>
      <c r="H195">
        <v>3</v>
      </c>
      <c r="I195">
        <v>3436.73</v>
      </c>
      <c r="J195">
        <v>7441.33</v>
      </c>
      <c r="K195" t="s">
        <v>50</v>
      </c>
      <c r="L195" t="s">
        <v>51</v>
      </c>
      <c r="M195">
        <v>2022</v>
      </c>
      <c r="N195" t="s">
        <v>43</v>
      </c>
    </row>
    <row r="196" spans="1:14" x14ac:dyDescent="0.3">
      <c r="A196" s="1">
        <v>44922</v>
      </c>
      <c r="B196" t="s">
        <v>18</v>
      </c>
      <c r="C196" t="s">
        <v>16</v>
      </c>
      <c r="D196" t="s">
        <v>37</v>
      </c>
      <c r="E196">
        <v>28</v>
      </c>
      <c r="F196">
        <v>1785.75</v>
      </c>
      <c r="G196" t="s">
        <v>12</v>
      </c>
      <c r="H196">
        <v>2</v>
      </c>
      <c r="I196">
        <v>1238.3599999999999</v>
      </c>
      <c r="J196">
        <v>547.39</v>
      </c>
      <c r="K196" t="s">
        <v>58</v>
      </c>
      <c r="L196" t="s">
        <v>59</v>
      </c>
      <c r="M196">
        <v>2022</v>
      </c>
      <c r="N196" t="s">
        <v>47</v>
      </c>
    </row>
    <row r="197" spans="1:14" x14ac:dyDescent="0.3">
      <c r="A197" s="1">
        <v>44811</v>
      </c>
      <c r="B197" t="s">
        <v>15</v>
      </c>
      <c r="C197" t="s">
        <v>10</v>
      </c>
      <c r="D197" t="s">
        <v>35</v>
      </c>
      <c r="E197">
        <v>5</v>
      </c>
      <c r="F197">
        <v>1811.92</v>
      </c>
      <c r="G197" t="s">
        <v>12</v>
      </c>
      <c r="H197">
        <v>3</v>
      </c>
      <c r="I197">
        <v>607.48</v>
      </c>
      <c r="J197">
        <v>1204.44</v>
      </c>
      <c r="K197" t="s">
        <v>60</v>
      </c>
      <c r="L197" t="s">
        <v>61</v>
      </c>
      <c r="M197">
        <v>2022</v>
      </c>
      <c r="N197" t="s">
        <v>47</v>
      </c>
    </row>
    <row r="198" spans="1:14" x14ac:dyDescent="0.3">
      <c r="A198" s="1">
        <v>44778</v>
      </c>
      <c r="B198" t="s">
        <v>31</v>
      </c>
      <c r="C198" t="s">
        <v>13</v>
      </c>
      <c r="D198" t="s">
        <v>19</v>
      </c>
      <c r="E198">
        <v>42</v>
      </c>
      <c r="F198">
        <v>894.18</v>
      </c>
      <c r="G198" t="s">
        <v>12</v>
      </c>
      <c r="H198">
        <v>5</v>
      </c>
      <c r="I198">
        <v>7824.87</v>
      </c>
      <c r="J198">
        <v>-6930.69</v>
      </c>
      <c r="K198" t="s">
        <v>64</v>
      </c>
      <c r="L198" t="s">
        <v>61</v>
      </c>
      <c r="M198">
        <v>2022</v>
      </c>
      <c r="N198" t="s">
        <v>45</v>
      </c>
    </row>
    <row r="199" spans="1:14" x14ac:dyDescent="0.3">
      <c r="A199" s="1">
        <v>44817</v>
      </c>
      <c r="B199" t="s">
        <v>15</v>
      </c>
      <c r="C199" t="s">
        <v>16</v>
      </c>
      <c r="D199" t="s">
        <v>24</v>
      </c>
      <c r="E199">
        <v>44</v>
      </c>
      <c r="F199">
        <v>13375.67</v>
      </c>
      <c r="G199" t="s">
        <v>12</v>
      </c>
      <c r="H199">
        <v>3</v>
      </c>
      <c r="I199">
        <v>6672.59</v>
      </c>
      <c r="J199">
        <v>6703.08</v>
      </c>
      <c r="K199" t="s">
        <v>60</v>
      </c>
      <c r="L199" t="s">
        <v>61</v>
      </c>
      <c r="M199">
        <v>2022</v>
      </c>
      <c r="N199" t="s">
        <v>47</v>
      </c>
    </row>
    <row r="200" spans="1:14" x14ac:dyDescent="0.3">
      <c r="A200" s="1">
        <v>45055</v>
      </c>
      <c r="B200" t="s">
        <v>15</v>
      </c>
      <c r="C200" t="s">
        <v>16</v>
      </c>
      <c r="D200" t="s">
        <v>17</v>
      </c>
      <c r="E200">
        <v>44</v>
      </c>
      <c r="F200">
        <v>10746.96</v>
      </c>
      <c r="G200" t="s">
        <v>20</v>
      </c>
      <c r="H200">
        <v>4</v>
      </c>
      <c r="I200">
        <v>2403.0100000000002</v>
      </c>
      <c r="J200">
        <v>8343.9500000000007</v>
      </c>
      <c r="K200" t="s">
        <v>56</v>
      </c>
      <c r="L200" t="s">
        <v>51</v>
      </c>
      <c r="M200">
        <v>2023</v>
      </c>
      <c r="N200" t="s">
        <v>45</v>
      </c>
    </row>
    <row r="201" spans="1:14" x14ac:dyDescent="0.3">
      <c r="A201" s="1">
        <v>44658</v>
      </c>
      <c r="B201" t="s">
        <v>9</v>
      </c>
      <c r="C201" t="s">
        <v>21</v>
      </c>
      <c r="D201" t="s">
        <v>22</v>
      </c>
      <c r="E201">
        <v>32</v>
      </c>
      <c r="F201">
        <v>6784.15</v>
      </c>
      <c r="G201" t="s">
        <v>20</v>
      </c>
      <c r="H201">
        <v>5</v>
      </c>
      <c r="I201">
        <v>7112.47</v>
      </c>
      <c r="J201">
        <v>-328.32</v>
      </c>
      <c r="K201" t="s">
        <v>55</v>
      </c>
      <c r="L201" t="s">
        <v>51</v>
      </c>
      <c r="M201">
        <v>2022</v>
      </c>
      <c r="N201" t="s">
        <v>47</v>
      </c>
    </row>
    <row r="202" spans="1:14" x14ac:dyDescent="0.3">
      <c r="A202" s="1">
        <v>45177</v>
      </c>
      <c r="B202" t="s">
        <v>23</v>
      </c>
      <c r="C202" t="s">
        <v>16</v>
      </c>
      <c r="D202" t="s">
        <v>17</v>
      </c>
      <c r="E202">
        <v>7</v>
      </c>
      <c r="F202">
        <v>594.35</v>
      </c>
      <c r="G202" t="s">
        <v>20</v>
      </c>
      <c r="H202">
        <v>3</v>
      </c>
      <c r="I202">
        <v>482.67</v>
      </c>
      <c r="J202">
        <v>111.68</v>
      </c>
      <c r="K202" t="s">
        <v>60</v>
      </c>
      <c r="L202" t="s">
        <v>61</v>
      </c>
      <c r="M202">
        <v>2023</v>
      </c>
      <c r="N202" t="s">
        <v>43</v>
      </c>
    </row>
    <row r="203" spans="1:14" x14ac:dyDescent="0.3">
      <c r="A203" s="1">
        <v>45081</v>
      </c>
      <c r="B203" t="s">
        <v>15</v>
      </c>
      <c r="C203" t="s">
        <v>10</v>
      </c>
      <c r="D203" t="s">
        <v>34</v>
      </c>
      <c r="E203">
        <v>2</v>
      </c>
      <c r="F203">
        <v>641.79999999999995</v>
      </c>
      <c r="G203" t="s">
        <v>12</v>
      </c>
      <c r="H203">
        <v>2</v>
      </c>
      <c r="I203">
        <v>404.43</v>
      </c>
      <c r="J203">
        <v>237.37</v>
      </c>
      <c r="K203" t="s">
        <v>50</v>
      </c>
      <c r="L203" t="s">
        <v>51</v>
      </c>
      <c r="M203">
        <v>2023</v>
      </c>
      <c r="N203" t="s">
        <v>45</v>
      </c>
    </row>
    <row r="204" spans="1:14" x14ac:dyDescent="0.3">
      <c r="A204" s="1">
        <v>45049</v>
      </c>
      <c r="B204" t="s">
        <v>23</v>
      </c>
      <c r="C204" t="s">
        <v>21</v>
      </c>
      <c r="D204" t="s">
        <v>36</v>
      </c>
      <c r="E204">
        <v>47</v>
      </c>
      <c r="F204">
        <v>4781.95</v>
      </c>
      <c r="G204" t="s">
        <v>20</v>
      </c>
      <c r="H204">
        <v>4</v>
      </c>
      <c r="I204">
        <v>5937.86</v>
      </c>
      <c r="J204">
        <v>-1155.9100000000001</v>
      </c>
      <c r="K204" t="s">
        <v>56</v>
      </c>
      <c r="L204" t="s">
        <v>51</v>
      </c>
      <c r="M204">
        <v>2023</v>
      </c>
      <c r="N204" t="s">
        <v>47</v>
      </c>
    </row>
    <row r="205" spans="1:14" x14ac:dyDescent="0.3">
      <c r="A205" s="1">
        <v>44735</v>
      </c>
      <c r="B205" t="s">
        <v>15</v>
      </c>
      <c r="C205" t="s">
        <v>21</v>
      </c>
      <c r="D205" t="s">
        <v>32</v>
      </c>
      <c r="E205">
        <v>3</v>
      </c>
      <c r="F205">
        <v>125</v>
      </c>
      <c r="G205" t="s">
        <v>20</v>
      </c>
      <c r="H205">
        <v>1</v>
      </c>
      <c r="I205">
        <v>239.13</v>
      </c>
      <c r="J205">
        <v>-114.13</v>
      </c>
      <c r="K205" t="s">
        <v>50</v>
      </c>
      <c r="L205" t="s">
        <v>51</v>
      </c>
      <c r="M205">
        <v>2022</v>
      </c>
      <c r="N205" t="s">
        <v>47</v>
      </c>
    </row>
    <row r="206" spans="1:14" x14ac:dyDescent="0.3">
      <c r="A206" s="1">
        <v>44836</v>
      </c>
      <c r="B206" t="s">
        <v>31</v>
      </c>
      <c r="C206" t="s">
        <v>16</v>
      </c>
      <c r="D206" t="s">
        <v>37</v>
      </c>
      <c r="E206">
        <v>13</v>
      </c>
      <c r="F206">
        <v>5309.43</v>
      </c>
      <c r="G206" t="s">
        <v>20</v>
      </c>
      <c r="H206">
        <v>5</v>
      </c>
      <c r="I206">
        <v>812.92</v>
      </c>
      <c r="J206">
        <v>4496.51</v>
      </c>
      <c r="K206" t="s">
        <v>62</v>
      </c>
      <c r="L206" t="s">
        <v>59</v>
      </c>
      <c r="M206">
        <v>2022</v>
      </c>
      <c r="N206" t="s">
        <v>44</v>
      </c>
    </row>
    <row r="207" spans="1:14" x14ac:dyDescent="0.3">
      <c r="A207" s="1">
        <v>44629</v>
      </c>
      <c r="B207" t="s">
        <v>15</v>
      </c>
      <c r="C207" t="s">
        <v>13</v>
      </c>
      <c r="D207" t="s">
        <v>19</v>
      </c>
      <c r="E207">
        <v>39</v>
      </c>
      <c r="F207">
        <v>1107.29</v>
      </c>
      <c r="G207" t="s">
        <v>12</v>
      </c>
      <c r="H207">
        <v>5</v>
      </c>
      <c r="I207">
        <v>2614.89</v>
      </c>
      <c r="J207">
        <v>-1507.6</v>
      </c>
      <c r="K207" t="s">
        <v>52</v>
      </c>
      <c r="L207" t="s">
        <v>53</v>
      </c>
      <c r="M207">
        <v>2022</v>
      </c>
      <c r="N207" t="s">
        <v>44</v>
      </c>
    </row>
    <row r="208" spans="1:14" x14ac:dyDescent="0.3">
      <c r="A208" s="1">
        <v>44764</v>
      </c>
      <c r="B208" t="s">
        <v>31</v>
      </c>
      <c r="C208" t="s">
        <v>13</v>
      </c>
      <c r="D208" t="s">
        <v>19</v>
      </c>
      <c r="E208">
        <v>40</v>
      </c>
      <c r="F208">
        <v>17757.37</v>
      </c>
      <c r="G208" t="s">
        <v>12</v>
      </c>
      <c r="H208">
        <v>1</v>
      </c>
      <c r="I208">
        <v>5851.26</v>
      </c>
      <c r="J208">
        <v>11906.11</v>
      </c>
      <c r="K208" t="s">
        <v>63</v>
      </c>
      <c r="L208" t="s">
        <v>61</v>
      </c>
      <c r="M208">
        <v>2022</v>
      </c>
      <c r="N208" t="s">
        <v>47</v>
      </c>
    </row>
    <row r="209" spans="1:14" x14ac:dyDescent="0.3">
      <c r="A209" s="1">
        <v>44975</v>
      </c>
      <c r="B209" t="s">
        <v>9</v>
      </c>
      <c r="C209" t="s">
        <v>13</v>
      </c>
      <c r="D209" t="s">
        <v>29</v>
      </c>
      <c r="E209">
        <v>29</v>
      </c>
      <c r="F209">
        <v>11259.88</v>
      </c>
      <c r="G209" t="s">
        <v>20</v>
      </c>
      <c r="H209">
        <v>4</v>
      </c>
      <c r="I209">
        <v>3062.55</v>
      </c>
      <c r="J209">
        <v>8197.33</v>
      </c>
      <c r="K209" t="s">
        <v>54</v>
      </c>
      <c r="L209" t="s">
        <v>53</v>
      </c>
      <c r="M209">
        <v>2023</v>
      </c>
      <c r="N209" t="s">
        <v>44</v>
      </c>
    </row>
    <row r="210" spans="1:14" x14ac:dyDescent="0.3">
      <c r="A210" s="1">
        <v>44877</v>
      </c>
      <c r="B210" t="s">
        <v>31</v>
      </c>
      <c r="C210" t="s">
        <v>10</v>
      </c>
      <c r="D210" t="s">
        <v>35</v>
      </c>
      <c r="E210">
        <v>21</v>
      </c>
      <c r="F210">
        <v>1672.36</v>
      </c>
      <c r="G210" t="s">
        <v>12</v>
      </c>
      <c r="H210">
        <v>1</v>
      </c>
      <c r="I210">
        <v>636.59</v>
      </c>
      <c r="J210">
        <v>1035.77</v>
      </c>
      <c r="K210" t="s">
        <v>65</v>
      </c>
      <c r="L210" t="s">
        <v>59</v>
      </c>
      <c r="M210">
        <v>2022</v>
      </c>
      <c r="N210" t="s">
        <v>44</v>
      </c>
    </row>
    <row r="211" spans="1:14" x14ac:dyDescent="0.3">
      <c r="A211" s="1">
        <v>44995</v>
      </c>
      <c r="B211" t="s">
        <v>18</v>
      </c>
      <c r="C211" t="s">
        <v>10</v>
      </c>
      <c r="D211" t="s">
        <v>28</v>
      </c>
      <c r="E211">
        <v>28</v>
      </c>
      <c r="F211">
        <v>1232.2</v>
      </c>
      <c r="G211" t="s">
        <v>20</v>
      </c>
      <c r="H211">
        <v>4</v>
      </c>
      <c r="I211">
        <v>4111.75</v>
      </c>
      <c r="J211">
        <v>-2879.55</v>
      </c>
      <c r="K211" t="s">
        <v>52</v>
      </c>
      <c r="L211" t="s">
        <v>53</v>
      </c>
      <c r="M211">
        <v>2023</v>
      </c>
      <c r="N211" t="s">
        <v>44</v>
      </c>
    </row>
    <row r="212" spans="1:14" x14ac:dyDescent="0.3">
      <c r="A212" s="1">
        <v>44952</v>
      </c>
      <c r="B212" t="s">
        <v>23</v>
      </c>
      <c r="C212" t="s">
        <v>13</v>
      </c>
      <c r="D212" t="s">
        <v>14</v>
      </c>
      <c r="E212">
        <v>6</v>
      </c>
      <c r="F212">
        <v>2774.43</v>
      </c>
      <c r="G212" t="s">
        <v>20</v>
      </c>
      <c r="H212">
        <v>4</v>
      </c>
      <c r="I212">
        <v>1148.73</v>
      </c>
      <c r="J212">
        <v>1625.7</v>
      </c>
      <c r="K212" t="s">
        <v>57</v>
      </c>
      <c r="L212" t="s">
        <v>53</v>
      </c>
      <c r="M212">
        <v>2023</v>
      </c>
      <c r="N212" t="s">
        <v>45</v>
      </c>
    </row>
    <row r="213" spans="1:14" x14ac:dyDescent="0.3">
      <c r="A213" s="1">
        <v>44730</v>
      </c>
      <c r="B213" t="s">
        <v>15</v>
      </c>
      <c r="C213" t="s">
        <v>13</v>
      </c>
      <c r="D213" t="s">
        <v>19</v>
      </c>
      <c r="E213">
        <v>6</v>
      </c>
      <c r="F213">
        <v>2318.21</v>
      </c>
      <c r="G213" t="s">
        <v>12</v>
      </c>
      <c r="H213">
        <v>3</v>
      </c>
      <c r="I213">
        <v>380.15</v>
      </c>
      <c r="J213">
        <v>1938.06</v>
      </c>
      <c r="K213" t="s">
        <v>50</v>
      </c>
      <c r="L213" t="s">
        <v>51</v>
      </c>
      <c r="M213">
        <v>2022</v>
      </c>
      <c r="N213" t="s">
        <v>47</v>
      </c>
    </row>
    <row r="214" spans="1:14" x14ac:dyDescent="0.3">
      <c r="A214" s="1">
        <v>44659</v>
      </c>
      <c r="B214" t="s">
        <v>23</v>
      </c>
      <c r="C214" t="s">
        <v>16</v>
      </c>
      <c r="D214" t="s">
        <v>37</v>
      </c>
      <c r="E214">
        <v>27</v>
      </c>
      <c r="F214">
        <v>10981.95</v>
      </c>
      <c r="G214" t="s">
        <v>12</v>
      </c>
      <c r="H214">
        <v>3</v>
      </c>
      <c r="I214">
        <v>5830.26</v>
      </c>
      <c r="J214">
        <v>5151.6899999999996</v>
      </c>
      <c r="K214" t="s">
        <v>55</v>
      </c>
      <c r="L214" t="s">
        <v>51</v>
      </c>
      <c r="M214">
        <v>2022</v>
      </c>
      <c r="N214" t="s">
        <v>47</v>
      </c>
    </row>
    <row r="215" spans="1:14" x14ac:dyDescent="0.3">
      <c r="A215" s="1">
        <v>45208</v>
      </c>
      <c r="B215" t="s">
        <v>23</v>
      </c>
      <c r="C215" t="s">
        <v>10</v>
      </c>
      <c r="D215" t="s">
        <v>34</v>
      </c>
      <c r="E215">
        <v>2</v>
      </c>
      <c r="F215">
        <v>470.39</v>
      </c>
      <c r="G215" t="s">
        <v>20</v>
      </c>
      <c r="H215">
        <v>4</v>
      </c>
      <c r="I215">
        <v>126.94</v>
      </c>
      <c r="J215">
        <v>343.45</v>
      </c>
      <c r="K215" t="s">
        <v>62</v>
      </c>
      <c r="L215" t="s">
        <v>59</v>
      </c>
      <c r="M215">
        <v>2023</v>
      </c>
      <c r="N215" t="s">
        <v>47</v>
      </c>
    </row>
    <row r="216" spans="1:14" x14ac:dyDescent="0.3">
      <c r="A216" s="1">
        <v>44796</v>
      </c>
      <c r="B216" t="s">
        <v>9</v>
      </c>
      <c r="C216" t="s">
        <v>25</v>
      </c>
      <c r="D216" t="s">
        <v>26</v>
      </c>
      <c r="E216">
        <v>30</v>
      </c>
      <c r="F216">
        <v>3144.65</v>
      </c>
      <c r="G216" t="s">
        <v>12</v>
      </c>
      <c r="H216">
        <v>5</v>
      </c>
      <c r="I216">
        <v>6967.12</v>
      </c>
      <c r="J216">
        <v>-3822.47</v>
      </c>
      <c r="K216" t="s">
        <v>64</v>
      </c>
      <c r="L216" t="s">
        <v>61</v>
      </c>
      <c r="M216">
        <v>2022</v>
      </c>
      <c r="N216" t="s">
        <v>43</v>
      </c>
    </row>
    <row r="217" spans="1:14" x14ac:dyDescent="0.3">
      <c r="A217" s="1">
        <v>45182</v>
      </c>
      <c r="B217" t="s">
        <v>23</v>
      </c>
      <c r="C217" t="s">
        <v>16</v>
      </c>
      <c r="D217" t="s">
        <v>37</v>
      </c>
      <c r="E217">
        <v>19</v>
      </c>
      <c r="F217">
        <v>5458.09</v>
      </c>
      <c r="G217" t="s">
        <v>12</v>
      </c>
      <c r="H217">
        <v>3</v>
      </c>
      <c r="I217">
        <v>1862.19</v>
      </c>
      <c r="J217">
        <v>3595.9</v>
      </c>
      <c r="K217" t="s">
        <v>60</v>
      </c>
      <c r="L217" t="s">
        <v>61</v>
      </c>
      <c r="M217">
        <v>2023</v>
      </c>
      <c r="N217" t="s">
        <v>43</v>
      </c>
    </row>
    <row r="218" spans="1:14" x14ac:dyDescent="0.3">
      <c r="A218" s="1">
        <v>45224</v>
      </c>
      <c r="B218" t="s">
        <v>23</v>
      </c>
      <c r="C218" t="s">
        <v>21</v>
      </c>
      <c r="D218" t="s">
        <v>33</v>
      </c>
      <c r="E218">
        <v>30</v>
      </c>
      <c r="F218">
        <v>2163.61</v>
      </c>
      <c r="G218" t="s">
        <v>12</v>
      </c>
      <c r="H218">
        <v>2</v>
      </c>
      <c r="I218">
        <v>1059.24</v>
      </c>
      <c r="J218">
        <v>1104.3699999999999</v>
      </c>
      <c r="K218" t="s">
        <v>62</v>
      </c>
      <c r="L218" t="s">
        <v>59</v>
      </c>
      <c r="M218">
        <v>2023</v>
      </c>
      <c r="N218" t="s">
        <v>43</v>
      </c>
    </row>
    <row r="219" spans="1:14" x14ac:dyDescent="0.3">
      <c r="A219" s="1">
        <v>44708</v>
      </c>
      <c r="B219" t="s">
        <v>23</v>
      </c>
      <c r="C219" t="s">
        <v>25</v>
      </c>
      <c r="D219" t="s">
        <v>26</v>
      </c>
      <c r="E219">
        <v>14</v>
      </c>
      <c r="F219">
        <v>4503.17</v>
      </c>
      <c r="G219" t="s">
        <v>12</v>
      </c>
      <c r="H219">
        <v>2</v>
      </c>
      <c r="I219">
        <v>155.46</v>
      </c>
      <c r="J219">
        <v>4347.71</v>
      </c>
      <c r="K219" t="s">
        <v>56</v>
      </c>
      <c r="L219" t="s">
        <v>51</v>
      </c>
      <c r="M219">
        <v>2022</v>
      </c>
      <c r="N219" t="s">
        <v>47</v>
      </c>
    </row>
    <row r="220" spans="1:14" x14ac:dyDescent="0.3">
      <c r="A220" s="1">
        <v>44856</v>
      </c>
      <c r="B220" t="s">
        <v>15</v>
      </c>
      <c r="C220" t="s">
        <v>25</v>
      </c>
      <c r="D220" t="s">
        <v>38</v>
      </c>
      <c r="E220">
        <v>7</v>
      </c>
      <c r="F220">
        <v>445.83</v>
      </c>
      <c r="G220" t="s">
        <v>20</v>
      </c>
      <c r="H220">
        <v>1</v>
      </c>
      <c r="I220">
        <v>769.91</v>
      </c>
      <c r="J220">
        <v>-324.08</v>
      </c>
      <c r="K220" t="s">
        <v>62</v>
      </c>
      <c r="L220" t="s">
        <v>59</v>
      </c>
      <c r="M220">
        <v>2022</v>
      </c>
      <c r="N220" t="s">
        <v>45</v>
      </c>
    </row>
    <row r="221" spans="1:14" x14ac:dyDescent="0.3">
      <c r="A221" s="1">
        <v>45042</v>
      </c>
      <c r="B221" t="s">
        <v>31</v>
      </c>
      <c r="C221" t="s">
        <v>13</v>
      </c>
      <c r="D221" t="s">
        <v>19</v>
      </c>
      <c r="E221">
        <v>9</v>
      </c>
      <c r="F221">
        <v>419.81</v>
      </c>
      <c r="G221" t="s">
        <v>20</v>
      </c>
      <c r="H221">
        <v>2</v>
      </c>
      <c r="I221">
        <v>1804.95</v>
      </c>
      <c r="J221">
        <v>-1385.14</v>
      </c>
      <c r="K221" t="s">
        <v>55</v>
      </c>
      <c r="L221" t="s">
        <v>51</v>
      </c>
      <c r="M221">
        <v>2023</v>
      </c>
      <c r="N221" t="s">
        <v>43</v>
      </c>
    </row>
    <row r="222" spans="1:14" x14ac:dyDescent="0.3">
      <c r="A222" s="1">
        <v>44989</v>
      </c>
      <c r="B222" t="s">
        <v>15</v>
      </c>
      <c r="C222" t="s">
        <v>16</v>
      </c>
      <c r="D222" t="s">
        <v>24</v>
      </c>
      <c r="E222">
        <v>30</v>
      </c>
      <c r="F222">
        <v>13219.18</v>
      </c>
      <c r="G222" t="s">
        <v>20</v>
      </c>
      <c r="H222">
        <v>3</v>
      </c>
      <c r="I222">
        <v>3897.44</v>
      </c>
      <c r="J222">
        <v>9321.74</v>
      </c>
      <c r="K222" t="s">
        <v>52</v>
      </c>
      <c r="L222" t="s">
        <v>53</v>
      </c>
      <c r="M222">
        <v>2023</v>
      </c>
      <c r="N222" t="s">
        <v>44</v>
      </c>
    </row>
    <row r="223" spans="1:14" x14ac:dyDescent="0.3">
      <c r="A223" s="1">
        <v>44767</v>
      </c>
      <c r="B223" t="s">
        <v>23</v>
      </c>
      <c r="C223" t="s">
        <v>10</v>
      </c>
      <c r="D223" t="s">
        <v>28</v>
      </c>
      <c r="E223">
        <v>13</v>
      </c>
      <c r="F223">
        <v>1525.73</v>
      </c>
      <c r="G223" t="s">
        <v>12</v>
      </c>
      <c r="H223">
        <v>2</v>
      </c>
      <c r="I223">
        <v>2334.17</v>
      </c>
      <c r="J223">
        <v>-808.44</v>
      </c>
      <c r="K223" t="s">
        <v>63</v>
      </c>
      <c r="L223" t="s">
        <v>61</v>
      </c>
      <c r="M223">
        <v>2022</v>
      </c>
      <c r="N223" t="s">
        <v>45</v>
      </c>
    </row>
    <row r="224" spans="1:14" x14ac:dyDescent="0.3">
      <c r="A224" s="1">
        <v>45073</v>
      </c>
      <c r="B224" t="s">
        <v>15</v>
      </c>
      <c r="C224" t="s">
        <v>25</v>
      </c>
      <c r="D224" t="s">
        <v>30</v>
      </c>
      <c r="E224">
        <v>8</v>
      </c>
      <c r="F224">
        <v>1197.0899999999999</v>
      </c>
      <c r="G224" t="s">
        <v>20</v>
      </c>
      <c r="H224">
        <v>4</v>
      </c>
      <c r="I224">
        <v>900.95</v>
      </c>
      <c r="J224">
        <v>296.14</v>
      </c>
      <c r="K224" t="s">
        <v>56</v>
      </c>
      <c r="L224" t="s">
        <v>51</v>
      </c>
      <c r="M224">
        <v>2023</v>
      </c>
      <c r="N224" t="s">
        <v>44</v>
      </c>
    </row>
    <row r="225" spans="1:14" x14ac:dyDescent="0.3">
      <c r="A225" s="1">
        <v>45247</v>
      </c>
      <c r="B225" t="s">
        <v>31</v>
      </c>
      <c r="C225" t="s">
        <v>21</v>
      </c>
      <c r="D225" t="s">
        <v>32</v>
      </c>
      <c r="E225">
        <v>19</v>
      </c>
      <c r="F225">
        <v>4874.17</v>
      </c>
      <c r="G225" t="s">
        <v>12</v>
      </c>
      <c r="H225">
        <v>2</v>
      </c>
      <c r="I225">
        <v>1630.91</v>
      </c>
      <c r="J225">
        <v>3243.26</v>
      </c>
      <c r="K225" t="s">
        <v>65</v>
      </c>
      <c r="L225" t="s">
        <v>59</v>
      </c>
      <c r="M225">
        <v>2023</v>
      </c>
      <c r="N225" t="s">
        <v>47</v>
      </c>
    </row>
    <row r="226" spans="1:14" x14ac:dyDescent="0.3">
      <c r="A226" s="1">
        <v>44921</v>
      </c>
      <c r="B226" t="s">
        <v>9</v>
      </c>
      <c r="C226" t="s">
        <v>21</v>
      </c>
      <c r="D226" t="s">
        <v>33</v>
      </c>
      <c r="E226">
        <v>40</v>
      </c>
      <c r="F226">
        <v>19120.07</v>
      </c>
      <c r="G226" t="s">
        <v>20</v>
      </c>
      <c r="H226">
        <v>2</v>
      </c>
      <c r="I226">
        <v>7553.42</v>
      </c>
      <c r="J226">
        <v>11566.65</v>
      </c>
      <c r="K226" t="s">
        <v>58</v>
      </c>
      <c r="L226" t="s">
        <v>59</v>
      </c>
      <c r="M226">
        <v>2022</v>
      </c>
      <c r="N226" t="s">
        <v>44</v>
      </c>
    </row>
    <row r="227" spans="1:14" x14ac:dyDescent="0.3">
      <c r="A227" s="1">
        <v>44845</v>
      </c>
      <c r="B227" t="s">
        <v>18</v>
      </c>
      <c r="C227" t="s">
        <v>16</v>
      </c>
      <c r="D227" t="s">
        <v>37</v>
      </c>
      <c r="E227">
        <v>30</v>
      </c>
      <c r="F227">
        <v>2124.25</v>
      </c>
      <c r="G227" t="s">
        <v>12</v>
      </c>
      <c r="H227">
        <v>3</v>
      </c>
      <c r="I227">
        <v>5387.46</v>
      </c>
      <c r="J227">
        <v>-3263.21</v>
      </c>
      <c r="K227" t="s">
        <v>62</v>
      </c>
      <c r="L227" t="s">
        <v>59</v>
      </c>
      <c r="M227">
        <v>2022</v>
      </c>
      <c r="N227" t="s">
        <v>44</v>
      </c>
    </row>
    <row r="228" spans="1:14" x14ac:dyDescent="0.3">
      <c r="A228" s="1">
        <v>44565</v>
      </c>
      <c r="B228" t="s">
        <v>9</v>
      </c>
      <c r="C228" t="s">
        <v>21</v>
      </c>
      <c r="D228" t="s">
        <v>36</v>
      </c>
      <c r="E228">
        <v>34</v>
      </c>
      <c r="F228">
        <v>15245.3</v>
      </c>
      <c r="G228" t="s">
        <v>20</v>
      </c>
      <c r="H228">
        <v>1</v>
      </c>
      <c r="I228">
        <v>324.27</v>
      </c>
      <c r="J228">
        <v>14921.03</v>
      </c>
      <c r="K228" t="s">
        <v>57</v>
      </c>
      <c r="L228" t="s">
        <v>53</v>
      </c>
      <c r="M228">
        <v>2022</v>
      </c>
      <c r="N228" t="s">
        <v>47</v>
      </c>
    </row>
    <row r="229" spans="1:14" x14ac:dyDescent="0.3">
      <c r="A229" s="1">
        <v>44973</v>
      </c>
      <c r="B229" t="s">
        <v>23</v>
      </c>
      <c r="C229" t="s">
        <v>25</v>
      </c>
      <c r="D229" t="s">
        <v>26</v>
      </c>
      <c r="E229">
        <v>17</v>
      </c>
      <c r="F229">
        <v>8468.09</v>
      </c>
      <c r="G229" t="s">
        <v>20</v>
      </c>
      <c r="H229">
        <v>5</v>
      </c>
      <c r="I229">
        <v>1595.71</v>
      </c>
      <c r="J229">
        <v>6872.38</v>
      </c>
      <c r="K229" t="s">
        <v>54</v>
      </c>
      <c r="L229" t="s">
        <v>53</v>
      </c>
      <c r="M229">
        <v>2023</v>
      </c>
      <c r="N229" t="s">
        <v>43</v>
      </c>
    </row>
    <row r="230" spans="1:14" x14ac:dyDescent="0.3">
      <c r="A230" s="1">
        <v>44825</v>
      </c>
      <c r="B230" t="s">
        <v>9</v>
      </c>
      <c r="C230" t="s">
        <v>10</v>
      </c>
      <c r="D230" t="s">
        <v>28</v>
      </c>
      <c r="E230">
        <v>20</v>
      </c>
      <c r="F230">
        <v>3278.07</v>
      </c>
      <c r="G230" t="s">
        <v>20</v>
      </c>
      <c r="H230">
        <v>5</v>
      </c>
      <c r="I230">
        <v>2068.98</v>
      </c>
      <c r="J230">
        <v>1209.0899999999999</v>
      </c>
      <c r="K230" t="s">
        <v>60</v>
      </c>
      <c r="L230" t="s">
        <v>61</v>
      </c>
      <c r="M230">
        <v>2022</v>
      </c>
      <c r="N230" t="s">
        <v>44</v>
      </c>
    </row>
    <row r="231" spans="1:14" x14ac:dyDescent="0.3">
      <c r="A231" s="1">
        <v>45147</v>
      </c>
      <c r="B231" t="s">
        <v>31</v>
      </c>
      <c r="C231" t="s">
        <v>13</v>
      </c>
      <c r="D231" t="s">
        <v>19</v>
      </c>
      <c r="E231">
        <v>32</v>
      </c>
      <c r="F231">
        <v>13936.06</v>
      </c>
      <c r="G231" t="s">
        <v>20</v>
      </c>
      <c r="H231">
        <v>2</v>
      </c>
      <c r="I231">
        <v>6153.07</v>
      </c>
      <c r="J231">
        <v>7782.99</v>
      </c>
      <c r="K231" t="s">
        <v>64</v>
      </c>
      <c r="L231" t="s">
        <v>61</v>
      </c>
      <c r="M231">
        <v>2023</v>
      </c>
      <c r="N231" t="s">
        <v>45</v>
      </c>
    </row>
    <row r="232" spans="1:14" x14ac:dyDescent="0.3">
      <c r="A232" s="1">
        <v>44757</v>
      </c>
      <c r="B232" t="s">
        <v>31</v>
      </c>
      <c r="C232" t="s">
        <v>10</v>
      </c>
      <c r="D232" t="s">
        <v>34</v>
      </c>
      <c r="E232">
        <v>23</v>
      </c>
      <c r="F232">
        <v>7548.04</v>
      </c>
      <c r="G232" t="s">
        <v>12</v>
      </c>
      <c r="H232">
        <v>1</v>
      </c>
      <c r="I232">
        <v>145.09</v>
      </c>
      <c r="J232">
        <v>7402.95</v>
      </c>
      <c r="K232" t="s">
        <v>63</v>
      </c>
      <c r="L232" t="s">
        <v>61</v>
      </c>
      <c r="M232">
        <v>2022</v>
      </c>
      <c r="N232" t="s">
        <v>44</v>
      </c>
    </row>
    <row r="233" spans="1:14" x14ac:dyDescent="0.3">
      <c r="A233" s="1">
        <v>44713</v>
      </c>
      <c r="B233" t="s">
        <v>23</v>
      </c>
      <c r="C233" t="s">
        <v>25</v>
      </c>
      <c r="D233" t="s">
        <v>39</v>
      </c>
      <c r="E233">
        <v>33</v>
      </c>
      <c r="F233">
        <v>5052.33</v>
      </c>
      <c r="G233" t="s">
        <v>12</v>
      </c>
      <c r="H233">
        <v>1</v>
      </c>
      <c r="I233">
        <v>3651.58</v>
      </c>
      <c r="J233">
        <v>1400.75</v>
      </c>
      <c r="K233" t="s">
        <v>50</v>
      </c>
      <c r="L233" t="s">
        <v>51</v>
      </c>
      <c r="M233">
        <v>2022</v>
      </c>
      <c r="N233" t="s">
        <v>44</v>
      </c>
    </row>
    <row r="234" spans="1:14" x14ac:dyDescent="0.3">
      <c r="A234" s="1">
        <v>45046</v>
      </c>
      <c r="B234" t="s">
        <v>23</v>
      </c>
      <c r="C234" t="s">
        <v>10</v>
      </c>
      <c r="D234" t="s">
        <v>28</v>
      </c>
      <c r="E234">
        <v>7</v>
      </c>
      <c r="F234">
        <v>2911.7</v>
      </c>
      <c r="G234" t="s">
        <v>12</v>
      </c>
      <c r="H234">
        <v>2</v>
      </c>
      <c r="I234">
        <v>1605.03</v>
      </c>
      <c r="J234">
        <v>1306.67</v>
      </c>
      <c r="K234" t="s">
        <v>55</v>
      </c>
      <c r="L234" t="s">
        <v>51</v>
      </c>
      <c r="M234">
        <v>2023</v>
      </c>
      <c r="N234" t="s">
        <v>47</v>
      </c>
    </row>
    <row r="235" spans="1:14" x14ac:dyDescent="0.3">
      <c r="A235" s="1">
        <v>44898</v>
      </c>
      <c r="B235" t="s">
        <v>9</v>
      </c>
      <c r="C235" t="s">
        <v>10</v>
      </c>
      <c r="D235" t="s">
        <v>28</v>
      </c>
      <c r="E235">
        <v>36</v>
      </c>
      <c r="F235">
        <v>15766.43</v>
      </c>
      <c r="G235" t="s">
        <v>12</v>
      </c>
      <c r="H235">
        <v>3</v>
      </c>
      <c r="I235">
        <v>6354.08</v>
      </c>
      <c r="J235">
        <v>9412.35</v>
      </c>
      <c r="K235" t="s">
        <v>58</v>
      </c>
      <c r="L235" t="s">
        <v>59</v>
      </c>
      <c r="M235">
        <v>2022</v>
      </c>
      <c r="N235" t="s">
        <v>45</v>
      </c>
    </row>
    <row r="236" spans="1:14" x14ac:dyDescent="0.3">
      <c r="A236" s="1">
        <v>45040</v>
      </c>
      <c r="B236" t="s">
        <v>15</v>
      </c>
      <c r="C236" t="s">
        <v>25</v>
      </c>
      <c r="D236" t="s">
        <v>26</v>
      </c>
      <c r="E236">
        <v>34</v>
      </c>
      <c r="F236">
        <v>13641.95</v>
      </c>
      <c r="G236" t="s">
        <v>20</v>
      </c>
      <c r="H236">
        <v>5</v>
      </c>
      <c r="I236">
        <v>1255.01</v>
      </c>
      <c r="J236">
        <v>12386.94</v>
      </c>
      <c r="K236" t="s">
        <v>55</v>
      </c>
      <c r="L236" t="s">
        <v>51</v>
      </c>
      <c r="M236">
        <v>2023</v>
      </c>
      <c r="N236" t="s">
        <v>45</v>
      </c>
    </row>
    <row r="237" spans="1:14" x14ac:dyDescent="0.3">
      <c r="A237" s="1">
        <v>44634</v>
      </c>
      <c r="B237" t="s">
        <v>9</v>
      </c>
      <c r="C237" t="s">
        <v>13</v>
      </c>
      <c r="D237" t="s">
        <v>40</v>
      </c>
      <c r="E237">
        <v>48</v>
      </c>
      <c r="F237">
        <v>5674.09</v>
      </c>
      <c r="G237" t="s">
        <v>20</v>
      </c>
      <c r="H237">
        <v>3</v>
      </c>
      <c r="I237">
        <v>462.44</v>
      </c>
      <c r="J237">
        <v>5211.6499999999996</v>
      </c>
      <c r="K237" t="s">
        <v>52</v>
      </c>
      <c r="L237" t="s">
        <v>53</v>
      </c>
      <c r="M237">
        <v>2022</v>
      </c>
      <c r="N237" t="s">
        <v>44</v>
      </c>
    </row>
    <row r="238" spans="1:14" x14ac:dyDescent="0.3">
      <c r="A238" s="1">
        <v>44747</v>
      </c>
      <c r="B238" t="s">
        <v>23</v>
      </c>
      <c r="C238" t="s">
        <v>21</v>
      </c>
      <c r="D238" t="s">
        <v>22</v>
      </c>
      <c r="E238">
        <v>30</v>
      </c>
      <c r="F238">
        <v>13046.77</v>
      </c>
      <c r="G238" t="s">
        <v>20</v>
      </c>
      <c r="H238">
        <v>5</v>
      </c>
      <c r="I238">
        <v>5820.05</v>
      </c>
      <c r="J238">
        <v>7226.72</v>
      </c>
      <c r="K238" t="s">
        <v>63</v>
      </c>
      <c r="L238" t="s">
        <v>61</v>
      </c>
      <c r="M238">
        <v>2022</v>
      </c>
      <c r="N238" t="s">
        <v>44</v>
      </c>
    </row>
    <row r="239" spans="1:14" x14ac:dyDescent="0.3">
      <c r="A239" s="1">
        <v>44663</v>
      </c>
      <c r="B239" t="s">
        <v>31</v>
      </c>
      <c r="C239" t="s">
        <v>13</v>
      </c>
      <c r="D239" t="s">
        <v>29</v>
      </c>
      <c r="E239">
        <v>41</v>
      </c>
      <c r="F239">
        <v>8756.34</v>
      </c>
      <c r="G239" t="s">
        <v>20</v>
      </c>
      <c r="H239">
        <v>3</v>
      </c>
      <c r="I239">
        <v>3955.92</v>
      </c>
      <c r="J239">
        <v>4800.42</v>
      </c>
      <c r="K239" t="s">
        <v>55</v>
      </c>
      <c r="L239" t="s">
        <v>51</v>
      </c>
      <c r="M239">
        <v>2022</v>
      </c>
      <c r="N239" t="s">
        <v>44</v>
      </c>
    </row>
    <row r="240" spans="1:14" x14ac:dyDescent="0.3">
      <c r="A240" s="1">
        <v>45071</v>
      </c>
      <c r="B240" t="s">
        <v>31</v>
      </c>
      <c r="C240" t="s">
        <v>13</v>
      </c>
      <c r="D240" t="s">
        <v>40</v>
      </c>
      <c r="E240">
        <v>4</v>
      </c>
      <c r="F240">
        <v>647.48</v>
      </c>
      <c r="G240" t="s">
        <v>12</v>
      </c>
      <c r="H240">
        <v>1</v>
      </c>
      <c r="I240">
        <v>629.32000000000005</v>
      </c>
      <c r="J240">
        <v>18.16</v>
      </c>
      <c r="K240" t="s">
        <v>56</v>
      </c>
      <c r="L240" t="s">
        <v>51</v>
      </c>
      <c r="M240">
        <v>2023</v>
      </c>
      <c r="N240" t="s">
        <v>44</v>
      </c>
    </row>
    <row r="241" spans="1:14" x14ac:dyDescent="0.3">
      <c r="A241" s="1">
        <v>45262</v>
      </c>
      <c r="B241" t="s">
        <v>23</v>
      </c>
      <c r="C241" t="s">
        <v>25</v>
      </c>
      <c r="D241" t="s">
        <v>39</v>
      </c>
      <c r="E241">
        <v>27</v>
      </c>
      <c r="F241">
        <v>346.9</v>
      </c>
      <c r="G241" t="s">
        <v>12</v>
      </c>
      <c r="H241">
        <v>3</v>
      </c>
      <c r="I241">
        <v>331.07</v>
      </c>
      <c r="J241">
        <v>15.83</v>
      </c>
      <c r="K241" t="s">
        <v>58</v>
      </c>
      <c r="L241" t="s">
        <v>59</v>
      </c>
      <c r="M241">
        <v>2023</v>
      </c>
      <c r="N241" t="s">
        <v>47</v>
      </c>
    </row>
    <row r="242" spans="1:14" x14ac:dyDescent="0.3">
      <c r="A242" s="1">
        <v>44576</v>
      </c>
      <c r="B242" t="s">
        <v>31</v>
      </c>
      <c r="C242" t="s">
        <v>25</v>
      </c>
      <c r="D242" t="s">
        <v>38</v>
      </c>
      <c r="E242">
        <v>17</v>
      </c>
      <c r="F242">
        <v>8491.59</v>
      </c>
      <c r="G242" t="s">
        <v>12</v>
      </c>
      <c r="H242">
        <v>3</v>
      </c>
      <c r="I242">
        <v>127.64</v>
      </c>
      <c r="J242">
        <v>8363.9500000000007</v>
      </c>
      <c r="K242" t="s">
        <v>57</v>
      </c>
      <c r="L242" t="s">
        <v>53</v>
      </c>
      <c r="M242">
        <v>2022</v>
      </c>
      <c r="N242" t="s">
        <v>44</v>
      </c>
    </row>
    <row r="243" spans="1:14" x14ac:dyDescent="0.3">
      <c r="A243" s="1">
        <v>44948</v>
      </c>
      <c r="B243" t="s">
        <v>9</v>
      </c>
      <c r="C243" t="s">
        <v>25</v>
      </c>
      <c r="D243" t="s">
        <v>26</v>
      </c>
      <c r="E243">
        <v>8</v>
      </c>
      <c r="F243">
        <v>747.33</v>
      </c>
      <c r="G243" t="s">
        <v>12</v>
      </c>
      <c r="H243">
        <v>2</v>
      </c>
      <c r="I243">
        <v>772.1</v>
      </c>
      <c r="J243">
        <v>-24.77</v>
      </c>
      <c r="K243" t="s">
        <v>57</v>
      </c>
      <c r="L243" t="s">
        <v>53</v>
      </c>
      <c r="M243">
        <v>2023</v>
      </c>
      <c r="N243" t="s">
        <v>47</v>
      </c>
    </row>
    <row r="244" spans="1:14" x14ac:dyDescent="0.3">
      <c r="A244" s="1">
        <v>44724</v>
      </c>
      <c r="B244" t="s">
        <v>15</v>
      </c>
      <c r="C244" t="s">
        <v>25</v>
      </c>
      <c r="D244" t="s">
        <v>39</v>
      </c>
      <c r="E244">
        <v>26</v>
      </c>
      <c r="F244">
        <v>8862.4599999999991</v>
      </c>
      <c r="G244" t="s">
        <v>12</v>
      </c>
      <c r="H244">
        <v>4</v>
      </c>
      <c r="I244">
        <v>3538.83</v>
      </c>
      <c r="J244">
        <v>5323.63</v>
      </c>
      <c r="K244" t="s">
        <v>50</v>
      </c>
      <c r="L244" t="s">
        <v>51</v>
      </c>
      <c r="M244">
        <v>2022</v>
      </c>
      <c r="N244" t="s">
        <v>44</v>
      </c>
    </row>
    <row r="245" spans="1:14" x14ac:dyDescent="0.3">
      <c r="A245" s="1">
        <v>44858</v>
      </c>
      <c r="B245" t="s">
        <v>9</v>
      </c>
      <c r="C245" t="s">
        <v>16</v>
      </c>
      <c r="D245" t="s">
        <v>24</v>
      </c>
      <c r="E245">
        <v>15</v>
      </c>
      <c r="F245">
        <v>4314.74</v>
      </c>
      <c r="G245" t="s">
        <v>20</v>
      </c>
      <c r="H245">
        <v>1</v>
      </c>
      <c r="I245">
        <v>1877.12</v>
      </c>
      <c r="J245">
        <v>2437.62</v>
      </c>
      <c r="K245" t="s">
        <v>62</v>
      </c>
      <c r="L245" t="s">
        <v>59</v>
      </c>
      <c r="M245">
        <v>2022</v>
      </c>
      <c r="N245" t="s">
        <v>46</v>
      </c>
    </row>
    <row r="246" spans="1:14" x14ac:dyDescent="0.3">
      <c r="A246" s="1">
        <v>45137</v>
      </c>
      <c r="B246" t="s">
        <v>31</v>
      </c>
      <c r="C246" t="s">
        <v>25</v>
      </c>
      <c r="D246" t="s">
        <v>39</v>
      </c>
      <c r="E246">
        <v>49</v>
      </c>
      <c r="F246">
        <v>13083.23</v>
      </c>
      <c r="G246" t="s">
        <v>20</v>
      </c>
      <c r="H246">
        <v>5</v>
      </c>
      <c r="I246">
        <v>10889.27</v>
      </c>
      <c r="J246">
        <v>2193.96</v>
      </c>
      <c r="K246" t="s">
        <v>63</v>
      </c>
      <c r="L246" t="s">
        <v>61</v>
      </c>
      <c r="M246">
        <v>2023</v>
      </c>
      <c r="N246" t="s">
        <v>47</v>
      </c>
    </row>
    <row r="247" spans="1:14" x14ac:dyDescent="0.3">
      <c r="A247" s="1">
        <v>44911</v>
      </c>
      <c r="B247" t="s">
        <v>23</v>
      </c>
      <c r="C247" t="s">
        <v>16</v>
      </c>
      <c r="D247" t="s">
        <v>24</v>
      </c>
      <c r="E247">
        <v>6</v>
      </c>
      <c r="F247">
        <v>2267.37</v>
      </c>
      <c r="G247" t="s">
        <v>20</v>
      </c>
      <c r="H247">
        <v>4</v>
      </c>
      <c r="I247">
        <v>442.44</v>
      </c>
      <c r="J247">
        <v>1824.93</v>
      </c>
      <c r="K247" t="s">
        <v>58</v>
      </c>
      <c r="L247" t="s">
        <v>59</v>
      </c>
      <c r="M247">
        <v>2022</v>
      </c>
      <c r="N247" t="s">
        <v>44</v>
      </c>
    </row>
    <row r="248" spans="1:14" x14ac:dyDescent="0.3">
      <c r="A248" s="1">
        <v>45242</v>
      </c>
      <c r="B248" t="s">
        <v>15</v>
      </c>
      <c r="C248" t="s">
        <v>21</v>
      </c>
      <c r="D248" t="s">
        <v>33</v>
      </c>
      <c r="E248">
        <v>33</v>
      </c>
      <c r="F248">
        <v>10853.44</v>
      </c>
      <c r="G248" t="s">
        <v>12</v>
      </c>
      <c r="H248">
        <v>1</v>
      </c>
      <c r="I248">
        <v>2488</v>
      </c>
      <c r="J248">
        <v>8365.44</v>
      </c>
      <c r="K248" t="s">
        <v>65</v>
      </c>
      <c r="L248" t="s">
        <v>59</v>
      </c>
      <c r="M248">
        <v>2023</v>
      </c>
      <c r="N248" t="s">
        <v>46</v>
      </c>
    </row>
    <row r="249" spans="1:14" x14ac:dyDescent="0.3">
      <c r="A249" s="1">
        <v>44847</v>
      </c>
      <c r="B249" t="s">
        <v>18</v>
      </c>
      <c r="C249" t="s">
        <v>25</v>
      </c>
      <c r="D249" t="s">
        <v>38</v>
      </c>
      <c r="E249">
        <v>29</v>
      </c>
      <c r="F249">
        <v>8416.02</v>
      </c>
      <c r="G249" t="s">
        <v>20</v>
      </c>
      <c r="H249">
        <v>5</v>
      </c>
      <c r="I249">
        <v>425.58</v>
      </c>
      <c r="J249">
        <v>7990.44</v>
      </c>
      <c r="K249" t="s">
        <v>62</v>
      </c>
      <c r="L249" t="s">
        <v>59</v>
      </c>
      <c r="M249">
        <v>2022</v>
      </c>
      <c r="N249" t="s">
        <v>45</v>
      </c>
    </row>
    <row r="250" spans="1:14" x14ac:dyDescent="0.3">
      <c r="A250" s="1">
        <v>45039</v>
      </c>
      <c r="B250" t="s">
        <v>23</v>
      </c>
      <c r="C250" t="s">
        <v>16</v>
      </c>
      <c r="D250" t="s">
        <v>37</v>
      </c>
      <c r="E250">
        <v>26</v>
      </c>
      <c r="F250">
        <v>2899.92</v>
      </c>
      <c r="G250" t="s">
        <v>12</v>
      </c>
      <c r="H250">
        <v>1</v>
      </c>
      <c r="I250">
        <v>5579.1</v>
      </c>
      <c r="J250">
        <v>-2679.18</v>
      </c>
      <c r="K250" t="s">
        <v>55</v>
      </c>
      <c r="L250" t="s">
        <v>51</v>
      </c>
      <c r="M250">
        <v>2023</v>
      </c>
      <c r="N250" t="s">
        <v>44</v>
      </c>
    </row>
    <row r="251" spans="1:14" x14ac:dyDescent="0.3">
      <c r="A251" s="1">
        <v>45117</v>
      </c>
      <c r="B251" t="s">
        <v>9</v>
      </c>
      <c r="C251" t="s">
        <v>16</v>
      </c>
      <c r="D251" t="s">
        <v>24</v>
      </c>
      <c r="E251">
        <v>15</v>
      </c>
      <c r="F251">
        <v>1229.82</v>
      </c>
      <c r="G251" t="s">
        <v>20</v>
      </c>
      <c r="H251">
        <v>1</v>
      </c>
      <c r="I251">
        <v>3745.89</v>
      </c>
      <c r="J251">
        <v>-2516.0700000000002</v>
      </c>
      <c r="K251" t="s">
        <v>63</v>
      </c>
      <c r="L251" t="s">
        <v>61</v>
      </c>
      <c r="M251">
        <v>2023</v>
      </c>
      <c r="N251" t="s">
        <v>46</v>
      </c>
    </row>
    <row r="252" spans="1:14" x14ac:dyDescent="0.3">
      <c r="A252" s="1">
        <v>45100</v>
      </c>
      <c r="B252" t="s">
        <v>31</v>
      </c>
      <c r="C252" t="s">
        <v>10</v>
      </c>
      <c r="D252" t="s">
        <v>35</v>
      </c>
      <c r="E252">
        <v>17</v>
      </c>
      <c r="F252">
        <v>2939.89</v>
      </c>
      <c r="G252" t="s">
        <v>20</v>
      </c>
      <c r="H252">
        <v>5</v>
      </c>
      <c r="I252">
        <v>2282.96</v>
      </c>
      <c r="J252">
        <v>656.93</v>
      </c>
      <c r="K252" t="s">
        <v>50</v>
      </c>
      <c r="L252" t="s">
        <v>51</v>
      </c>
      <c r="M252">
        <v>2023</v>
      </c>
      <c r="N252" t="s">
        <v>44</v>
      </c>
    </row>
    <row r="253" spans="1:14" x14ac:dyDescent="0.3">
      <c r="A253" s="1">
        <v>44929</v>
      </c>
      <c r="B253" t="s">
        <v>15</v>
      </c>
      <c r="C253" t="s">
        <v>16</v>
      </c>
      <c r="D253" t="s">
        <v>24</v>
      </c>
      <c r="E253">
        <v>50</v>
      </c>
      <c r="F253">
        <v>2569.27</v>
      </c>
      <c r="G253" t="s">
        <v>20</v>
      </c>
      <c r="H253">
        <v>4</v>
      </c>
      <c r="I253">
        <v>2016.47</v>
      </c>
      <c r="J253">
        <v>552.79999999999995</v>
      </c>
      <c r="K253" t="s">
        <v>57</v>
      </c>
      <c r="L253" t="s">
        <v>53</v>
      </c>
      <c r="M253">
        <v>2023</v>
      </c>
      <c r="N253" t="s">
        <v>47</v>
      </c>
    </row>
    <row r="254" spans="1:14" x14ac:dyDescent="0.3">
      <c r="A254" s="1">
        <v>44777</v>
      </c>
      <c r="B254" t="s">
        <v>23</v>
      </c>
      <c r="C254" t="s">
        <v>13</v>
      </c>
      <c r="D254" t="s">
        <v>19</v>
      </c>
      <c r="E254">
        <v>47</v>
      </c>
      <c r="F254">
        <v>17878.88</v>
      </c>
      <c r="G254" t="s">
        <v>20</v>
      </c>
      <c r="H254">
        <v>4</v>
      </c>
      <c r="I254">
        <v>4121.26</v>
      </c>
      <c r="J254">
        <v>13757.62</v>
      </c>
      <c r="K254" t="s">
        <v>64</v>
      </c>
      <c r="L254" t="s">
        <v>61</v>
      </c>
      <c r="M254">
        <v>2022</v>
      </c>
      <c r="N254" t="s">
        <v>44</v>
      </c>
    </row>
    <row r="255" spans="1:14" x14ac:dyDescent="0.3">
      <c r="A255" s="1">
        <v>45266</v>
      </c>
      <c r="B255" t="s">
        <v>31</v>
      </c>
      <c r="C255" t="s">
        <v>13</v>
      </c>
      <c r="D255" t="s">
        <v>29</v>
      </c>
      <c r="E255">
        <v>3</v>
      </c>
      <c r="F255">
        <v>303.24</v>
      </c>
      <c r="G255" t="s">
        <v>20</v>
      </c>
      <c r="H255">
        <v>5</v>
      </c>
      <c r="I255">
        <v>594.44000000000005</v>
      </c>
      <c r="J255">
        <v>-291.2</v>
      </c>
      <c r="K255" t="s">
        <v>58</v>
      </c>
      <c r="L255" t="s">
        <v>59</v>
      </c>
      <c r="M255">
        <v>2023</v>
      </c>
      <c r="N255" t="s">
        <v>45</v>
      </c>
    </row>
    <row r="256" spans="1:14" x14ac:dyDescent="0.3">
      <c r="A256" s="1">
        <v>44986</v>
      </c>
      <c r="B256" t="s">
        <v>18</v>
      </c>
      <c r="C256" t="s">
        <v>16</v>
      </c>
      <c r="D256" t="s">
        <v>27</v>
      </c>
      <c r="E256">
        <v>39</v>
      </c>
      <c r="F256">
        <v>14894.34</v>
      </c>
      <c r="G256" t="s">
        <v>12</v>
      </c>
      <c r="H256">
        <v>1</v>
      </c>
      <c r="I256">
        <v>4325.66</v>
      </c>
      <c r="J256">
        <v>10568.68</v>
      </c>
      <c r="K256" t="s">
        <v>52</v>
      </c>
      <c r="L256" t="s">
        <v>53</v>
      </c>
      <c r="M256">
        <v>2023</v>
      </c>
      <c r="N256" t="s">
        <v>44</v>
      </c>
    </row>
    <row r="257" spans="1:14" x14ac:dyDescent="0.3">
      <c r="A257" s="1">
        <v>44751</v>
      </c>
      <c r="B257" t="s">
        <v>9</v>
      </c>
      <c r="C257" t="s">
        <v>25</v>
      </c>
      <c r="D257" t="s">
        <v>26</v>
      </c>
      <c r="E257">
        <v>36</v>
      </c>
      <c r="F257">
        <v>1043.08</v>
      </c>
      <c r="G257" t="s">
        <v>20</v>
      </c>
      <c r="H257">
        <v>3</v>
      </c>
      <c r="I257">
        <v>5500.54</v>
      </c>
      <c r="J257">
        <v>-4457.46</v>
      </c>
      <c r="K257" t="s">
        <v>63</v>
      </c>
      <c r="L257" t="s">
        <v>61</v>
      </c>
      <c r="M257">
        <v>2022</v>
      </c>
      <c r="N257" t="s">
        <v>47</v>
      </c>
    </row>
    <row r="258" spans="1:14" x14ac:dyDescent="0.3">
      <c r="A258" s="1">
        <v>44738</v>
      </c>
      <c r="B258" t="s">
        <v>23</v>
      </c>
      <c r="C258" t="s">
        <v>21</v>
      </c>
      <c r="D258" t="s">
        <v>22</v>
      </c>
      <c r="E258">
        <v>2</v>
      </c>
      <c r="F258">
        <v>850.26</v>
      </c>
      <c r="G258" t="s">
        <v>20</v>
      </c>
      <c r="H258">
        <v>3</v>
      </c>
      <c r="I258">
        <v>140.12</v>
      </c>
      <c r="J258">
        <v>710.14</v>
      </c>
      <c r="K258" t="s">
        <v>50</v>
      </c>
      <c r="L258" t="s">
        <v>51</v>
      </c>
      <c r="M258">
        <v>2022</v>
      </c>
      <c r="N258" t="s">
        <v>46</v>
      </c>
    </row>
    <row r="259" spans="1:14" x14ac:dyDescent="0.3">
      <c r="A259" s="1">
        <v>44785</v>
      </c>
      <c r="B259" t="s">
        <v>15</v>
      </c>
      <c r="C259" t="s">
        <v>13</v>
      </c>
      <c r="D259" t="s">
        <v>14</v>
      </c>
      <c r="E259">
        <v>37</v>
      </c>
      <c r="F259">
        <v>15779.46</v>
      </c>
      <c r="G259" t="s">
        <v>20</v>
      </c>
      <c r="H259">
        <v>3</v>
      </c>
      <c r="I259">
        <v>7818.26</v>
      </c>
      <c r="J259">
        <v>7961.2</v>
      </c>
      <c r="K259" t="s">
        <v>64</v>
      </c>
      <c r="L259" t="s">
        <v>61</v>
      </c>
      <c r="M259">
        <v>2022</v>
      </c>
      <c r="N259" t="s">
        <v>45</v>
      </c>
    </row>
    <row r="260" spans="1:14" x14ac:dyDescent="0.3">
      <c r="A260" s="1">
        <v>44643</v>
      </c>
      <c r="B260" t="s">
        <v>15</v>
      </c>
      <c r="C260" t="s">
        <v>13</v>
      </c>
      <c r="D260" t="s">
        <v>40</v>
      </c>
      <c r="E260">
        <v>13</v>
      </c>
      <c r="F260">
        <v>1460.26</v>
      </c>
      <c r="G260" t="s">
        <v>20</v>
      </c>
      <c r="H260">
        <v>3</v>
      </c>
      <c r="I260">
        <v>1134.8699999999999</v>
      </c>
      <c r="J260">
        <v>325.39</v>
      </c>
      <c r="K260" t="s">
        <v>52</v>
      </c>
      <c r="L260" t="s">
        <v>53</v>
      </c>
      <c r="M260">
        <v>2022</v>
      </c>
      <c r="N260" t="s">
        <v>44</v>
      </c>
    </row>
    <row r="261" spans="1:14" x14ac:dyDescent="0.3">
      <c r="A261" s="1">
        <v>44860</v>
      </c>
      <c r="B261" t="s">
        <v>18</v>
      </c>
      <c r="C261" t="s">
        <v>25</v>
      </c>
      <c r="D261" t="s">
        <v>30</v>
      </c>
      <c r="E261">
        <v>43</v>
      </c>
      <c r="F261">
        <v>3927.93</v>
      </c>
      <c r="G261" t="s">
        <v>20</v>
      </c>
      <c r="H261">
        <v>5</v>
      </c>
      <c r="I261">
        <v>7391.29</v>
      </c>
      <c r="J261">
        <v>-3463.36</v>
      </c>
      <c r="K261" t="s">
        <v>62</v>
      </c>
      <c r="L261" t="s">
        <v>59</v>
      </c>
      <c r="M261">
        <v>2022</v>
      </c>
      <c r="N261" t="s">
        <v>45</v>
      </c>
    </row>
    <row r="262" spans="1:14" x14ac:dyDescent="0.3">
      <c r="A262" s="1">
        <v>44788</v>
      </c>
      <c r="B262" t="s">
        <v>31</v>
      </c>
      <c r="C262" t="s">
        <v>10</v>
      </c>
      <c r="D262" t="s">
        <v>28</v>
      </c>
      <c r="E262">
        <v>49</v>
      </c>
      <c r="F262">
        <v>4671.83</v>
      </c>
      <c r="G262" t="s">
        <v>12</v>
      </c>
      <c r="H262">
        <v>4</v>
      </c>
      <c r="I262">
        <v>4134.78</v>
      </c>
      <c r="J262">
        <v>537.04999999999995</v>
      </c>
      <c r="K262" t="s">
        <v>64</v>
      </c>
      <c r="L262" t="s">
        <v>61</v>
      </c>
      <c r="M262">
        <v>2022</v>
      </c>
      <c r="N262" t="s">
        <v>44</v>
      </c>
    </row>
    <row r="263" spans="1:14" x14ac:dyDescent="0.3">
      <c r="A263" s="1">
        <v>45088</v>
      </c>
      <c r="B263" t="s">
        <v>23</v>
      </c>
      <c r="C263" t="s">
        <v>25</v>
      </c>
      <c r="D263" t="s">
        <v>26</v>
      </c>
      <c r="E263">
        <v>9</v>
      </c>
      <c r="F263">
        <v>3329.25</v>
      </c>
      <c r="G263" t="s">
        <v>12</v>
      </c>
      <c r="H263">
        <v>5</v>
      </c>
      <c r="I263">
        <v>1289.75</v>
      </c>
      <c r="J263">
        <v>2039.5</v>
      </c>
      <c r="K263" t="s">
        <v>50</v>
      </c>
      <c r="L263" t="s">
        <v>51</v>
      </c>
      <c r="M263">
        <v>2023</v>
      </c>
      <c r="N263" t="s">
        <v>45</v>
      </c>
    </row>
    <row r="264" spans="1:14" x14ac:dyDescent="0.3">
      <c r="A264" s="1">
        <v>45052</v>
      </c>
      <c r="B264" t="s">
        <v>15</v>
      </c>
      <c r="C264" t="s">
        <v>13</v>
      </c>
      <c r="D264" t="s">
        <v>40</v>
      </c>
      <c r="E264">
        <v>7</v>
      </c>
      <c r="F264">
        <v>554.71</v>
      </c>
      <c r="G264" t="s">
        <v>12</v>
      </c>
      <c r="H264">
        <v>5</v>
      </c>
      <c r="I264">
        <v>1671.55</v>
      </c>
      <c r="J264">
        <v>-1116.8399999999999</v>
      </c>
      <c r="K264" t="s">
        <v>56</v>
      </c>
      <c r="L264" t="s">
        <v>51</v>
      </c>
      <c r="M264">
        <v>2023</v>
      </c>
      <c r="N264" t="s">
        <v>43</v>
      </c>
    </row>
    <row r="265" spans="1:14" x14ac:dyDescent="0.3">
      <c r="A265" s="1">
        <v>44801</v>
      </c>
      <c r="B265" t="s">
        <v>23</v>
      </c>
      <c r="C265" t="s">
        <v>25</v>
      </c>
      <c r="D265" t="s">
        <v>38</v>
      </c>
      <c r="E265">
        <v>10</v>
      </c>
      <c r="F265">
        <v>2086.4</v>
      </c>
      <c r="G265" t="s">
        <v>20</v>
      </c>
      <c r="H265">
        <v>3</v>
      </c>
      <c r="I265">
        <v>909.9</v>
      </c>
      <c r="J265">
        <v>1176.5</v>
      </c>
      <c r="K265" t="s">
        <v>64</v>
      </c>
      <c r="L265" t="s">
        <v>61</v>
      </c>
      <c r="M265">
        <v>2022</v>
      </c>
      <c r="N265" t="s">
        <v>44</v>
      </c>
    </row>
    <row r="266" spans="1:14" x14ac:dyDescent="0.3">
      <c r="A266" s="1">
        <v>45124</v>
      </c>
      <c r="B266" t="s">
        <v>31</v>
      </c>
      <c r="C266" t="s">
        <v>10</v>
      </c>
      <c r="D266" t="s">
        <v>35</v>
      </c>
      <c r="E266">
        <v>21</v>
      </c>
      <c r="F266">
        <v>1878.05</v>
      </c>
      <c r="G266" t="s">
        <v>20</v>
      </c>
      <c r="H266">
        <v>5</v>
      </c>
      <c r="I266">
        <v>1726.37</v>
      </c>
      <c r="J266">
        <v>151.68</v>
      </c>
      <c r="K266" t="s">
        <v>63</v>
      </c>
      <c r="L266" t="s">
        <v>61</v>
      </c>
      <c r="M266">
        <v>2023</v>
      </c>
      <c r="N266" t="s">
        <v>44</v>
      </c>
    </row>
    <row r="267" spans="1:14" x14ac:dyDescent="0.3">
      <c r="A267" s="1">
        <v>45104</v>
      </c>
      <c r="B267" t="s">
        <v>31</v>
      </c>
      <c r="C267" t="s">
        <v>16</v>
      </c>
      <c r="D267" t="s">
        <v>37</v>
      </c>
      <c r="E267">
        <v>14</v>
      </c>
      <c r="F267">
        <v>6674.26</v>
      </c>
      <c r="G267" t="s">
        <v>20</v>
      </c>
      <c r="H267">
        <v>5</v>
      </c>
      <c r="I267">
        <v>1188.46</v>
      </c>
      <c r="J267">
        <v>5485.8</v>
      </c>
      <c r="K267" t="s">
        <v>50</v>
      </c>
      <c r="L267" t="s">
        <v>51</v>
      </c>
      <c r="M267">
        <v>2023</v>
      </c>
      <c r="N267" t="s">
        <v>45</v>
      </c>
    </row>
    <row r="268" spans="1:14" x14ac:dyDescent="0.3">
      <c r="A268" s="1">
        <v>44890</v>
      </c>
      <c r="B268" t="s">
        <v>18</v>
      </c>
      <c r="C268" t="s">
        <v>25</v>
      </c>
      <c r="D268" t="s">
        <v>38</v>
      </c>
      <c r="E268">
        <v>48</v>
      </c>
      <c r="F268">
        <v>21935.279999999999</v>
      </c>
      <c r="G268" t="s">
        <v>20</v>
      </c>
      <c r="H268">
        <v>2</v>
      </c>
      <c r="I268">
        <v>3556.47</v>
      </c>
      <c r="J268">
        <v>18378.810000000001</v>
      </c>
      <c r="K268" t="s">
        <v>65</v>
      </c>
      <c r="L268" t="s">
        <v>59</v>
      </c>
      <c r="M268">
        <v>2022</v>
      </c>
      <c r="N268" t="s">
        <v>44</v>
      </c>
    </row>
    <row r="269" spans="1:14" x14ac:dyDescent="0.3">
      <c r="A269" s="1">
        <v>44657</v>
      </c>
      <c r="B269" t="s">
        <v>18</v>
      </c>
      <c r="C269" t="s">
        <v>16</v>
      </c>
      <c r="D269" t="s">
        <v>37</v>
      </c>
      <c r="E269">
        <v>24</v>
      </c>
      <c r="F269">
        <v>2357.9899999999998</v>
      </c>
      <c r="G269" t="s">
        <v>12</v>
      </c>
      <c r="H269">
        <v>5</v>
      </c>
      <c r="I269">
        <v>5622.46</v>
      </c>
      <c r="J269">
        <v>-3264.47</v>
      </c>
      <c r="K269" t="s">
        <v>55</v>
      </c>
      <c r="L269" t="s">
        <v>51</v>
      </c>
      <c r="M269">
        <v>2022</v>
      </c>
      <c r="N269" t="s">
        <v>44</v>
      </c>
    </row>
    <row r="270" spans="1:14" x14ac:dyDescent="0.3">
      <c r="A270" s="1">
        <v>45069</v>
      </c>
      <c r="B270" t="s">
        <v>18</v>
      </c>
      <c r="C270" t="s">
        <v>25</v>
      </c>
      <c r="D270" t="s">
        <v>39</v>
      </c>
      <c r="E270">
        <v>37</v>
      </c>
      <c r="F270">
        <v>13226</v>
      </c>
      <c r="G270" t="s">
        <v>12</v>
      </c>
      <c r="H270">
        <v>4</v>
      </c>
      <c r="I270">
        <v>1490.38</v>
      </c>
      <c r="J270">
        <v>11735.62</v>
      </c>
      <c r="K270" t="s">
        <v>56</v>
      </c>
      <c r="L270" t="s">
        <v>51</v>
      </c>
      <c r="M270">
        <v>2023</v>
      </c>
      <c r="N270" t="s">
        <v>43</v>
      </c>
    </row>
    <row r="271" spans="1:14" x14ac:dyDescent="0.3">
      <c r="A271" s="1">
        <v>45272</v>
      </c>
      <c r="B271" t="s">
        <v>18</v>
      </c>
      <c r="C271" t="s">
        <v>25</v>
      </c>
      <c r="D271" t="s">
        <v>39</v>
      </c>
      <c r="E271">
        <v>38</v>
      </c>
      <c r="F271">
        <v>3645.81</v>
      </c>
      <c r="G271" t="s">
        <v>20</v>
      </c>
      <c r="H271">
        <v>2</v>
      </c>
      <c r="I271">
        <v>8162.51</v>
      </c>
      <c r="J271">
        <v>-4516.7</v>
      </c>
      <c r="K271" t="s">
        <v>58</v>
      </c>
      <c r="L271" t="s">
        <v>59</v>
      </c>
      <c r="M271">
        <v>2023</v>
      </c>
      <c r="N271" t="s">
        <v>44</v>
      </c>
    </row>
    <row r="272" spans="1:14" x14ac:dyDescent="0.3">
      <c r="A272" s="1">
        <v>45193</v>
      </c>
      <c r="B272" t="s">
        <v>9</v>
      </c>
      <c r="C272" t="s">
        <v>21</v>
      </c>
      <c r="D272" t="s">
        <v>22</v>
      </c>
      <c r="E272">
        <v>26</v>
      </c>
      <c r="F272">
        <v>5334.75</v>
      </c>
      <c r="G272" t="s">
        <v>20</v>
      </c>
      <c r="H272">
        <v>4</v>
      </c>
      <c r="I272">
        <v>4418.22</v>
      </c>
      <c r="J272">
        <v>916.53</v>
      </c>
      <c r="K272" t="s">
        <v>60</v>
      </c>
      <c r="L272" t="s">
        <v>61</v>
      </c>
      <c r="M272">
        <v>2023</v>
      </c>
      <c r="N272" t="s">
        <v>45</v>
      </c>
    </row>
    <row r="273" spans="1:14" x14ac:dyDescent="0.3">
      <c r="A273" s="1">
        <v>45022</v>
      </c>
      <c r="B273" t="s">
        <v>31</v>
      </c>
      <c r="C273" t="s">
        <v>13</v>
      </c>
      <c r="D273" t="s">
        <v>29</v>
      </c>
      <c r="E273">
        <v>44</v>
      </c>
      <c r="F273">
        <v>11811.55</v>
      </c>
      <c r="G273" t="s">
        <v>20</v>
      </c>
      <c r="H273">
        <v>1</v>
      </c>
      <c r="I273">
        <v>9947.85</v>
      </c>
      <c r="J273">
        <v>1863.7</v>
      </c>
      <c r="K273" t="s">
        <v>55</v>
      </c>
      <c r="L273" t="s">
        <v>51</v>
      </c>
      <c r="M273">
        <v>2023</v>
      </c>
      <c r="N273" t="s">
        <v>43</v>
      </c>
    </row>
    <row r="274" spans="1:14" x14ac:dyDescent="0.3">
      <c r="A274" s="1">
        <v>44936</v>
      </c>
      <c r="B274" t="s">
        <v>23</v>
      </c>
      <c r="C274" t="s">
        <v>13</v>
      </c>
      <c r="D274" t="s">
        <v>19</v>
      </c>
      <c r="E274">
        <v>31</v>
      </c>
      <c r="F274">
        <v>8585.89</v>
      </c>
      <c r="G274" t="s">
        <v>12</v>
      </c>
      <c r="H274">
        <v>5</v>
      </c>
      <c r="I274">
        <v>6986.6</v>
      </c>
      <c r="J274">
        <v>1599.29</v>
      </c>
      <c r="K274" t="s">
        <v>57</v>
      </c>
      <c r="L274" t="s">
        <v>53</v>
      </c>
      <c r="M274">
        <v>2023</v>
      </c>
      <c r="N274" t="s">
        <v>47</v>
      </c>
    </row>
    <row r="275" spans="1:14" x14ac:dyDescent="0.3">
      <c r="A275" s="1">
        <v>44837</v>
      </c>
      <c r="B275" t="s">
        <v>15</v>
      </c>
      <c r="C275" t="s">
        <v>16</v>
      </c>
      <c r="D275" t="s">
        <v>24</v>
      </c>
      <c r="E275">
        <v>35</v>
      </c>
      <c r="F275">
        <v>8023.19</v>
      </c>
      <c r="G275" t="s">
        <v>20</v>
      </c>
      <c r="H275">
        <v>5</v>
      </c>
      <c r="I275">
        <v>7966.92</v>
      </c>
      <c r="J275">
        <v>56.27</v>
      </c>
      <c r="K275" t="s">
        <v>62</v>
      </c>
      <c r="L275" t="s">
        <v>59</v>
      </c>
      <c r="M275">
        <v>2022</v>
      </c>
      <c r="N275" t="s">
        <v>44</v>
      </c>
    </row>
    <row r="276" spans="1:14" x14ac:dyDescent="0.3">
      <c r="A276" s="1">
        <v>45023</v>
      </c>
      <c r="B276" t="s">
        <v>18</v>
      </c>
      <c r="C276" t="s">
        <v>21</v>
      </c>
      <c r="D276" t="s">
        <v>33</v>
      </c>
      <c r="E276">
        <v>45</v>
      </c>
      <c r="F276">
        <v>7222.84</v>
      </c>
      <c r="G276" t="s">
        <v>12</v>
      </c>
      <c r="H276">
        <v>1</v>
      </c>
      <c r="I276">
        <v>7715.95</v>
      </c>
      <c r="J276">
        <v>-493.11</v>
      </c>
      <c r="K276" t="s">
        <v>55</v>
      </c>
      <c r="L276" t="s">
        <v>51</v>
      </c>
      <c r="M276">
        <v>2023</v>
      </c>
      <c r="N276" t="s">
        <v>47</v>
      </c>
    </row>
    <row r="277" spans="1:14" x14ac:dyDescent="0.3">
      <c r="A277" s="1">
        <v>45118</v>
      </c>
      <c r="B277" t="s">
        <v>31</v>
      </c>
      <c r="C277" t="s">
        <v>10</v>
      </c>
      <c r="D277" t="s">
        <v>28</v>
      </c>
      <c r="E277">
        <v>23</v>
      </c>
      <c r="F277">
        <v>1904.43</v>
      </c>
      <c r="G277" t="s">
        <v>12</v>
      </c>
      <c r="H277">
        <v>5</v>
      </c>
      <c r="I277">
        <v>2690.51</v>
      </c>
      <c r="J277">
        <v>-786.08</v>
      </c>
      <c r="K277" t="s">
        <v>63</v>
      </c>
      <c r="L277" t="s">
        <v>61</v>
      </c>
      <c r="M277">
        <v>2023</v>
      </c>
      <c r="N277" t="s">
        <v>45</v>
      </c>
    </row>
    <row r="278" spans="1:14" x14ac:dyDescent="0.3">
      <c r="A278" s="1">
        <v>44742</v>
      </c>
      <c r="B278" t="s">
        <v>31</v>
      </c>
      <c r="C278" t="s">
        <v>16</v>
      </c>
      <c r="D278" t="s">
        <v>27</v>
      </c>
      <c r="E278">
        <v>44</v>
      </c>
      <c r="F278">
        <v>19216</v>
      </c>
      <c r="G278" t="s">
        <v>12</v>
      </c>
      <c r="H278">
        <v>5</v>
      </c>
      <c r="I278">
        <v>8936.42</v>
      </c>
      <c r="J278">
        <v>10279.58</v>
      </c>
      <c r="K278" t="s">
        <v>50</v>
      </c>
      <c r="L278" t="s">
        <v>51</v>
      </c>
      <c r="M278">
        <v>2022</v>
      </c>
      <c r="N278" t="s">
        <v>47</v>
      </c>
    </row>
    <row r="279" spans="1:14" x14ac:dyDescent="0.3">
      <c r="A279" s="1">
        <v>44760</v>
      </c>
      <c r="B279" t="s">
        <v>23</v>
      </c>
      <c r="C279" t="s">
        <v>25</v>
      </c>
      <c r="D279" t="s">
        <v>39</v>
      </c>
      <c r="E279">
        <v>50</v>
      </c>
      <c r="F279">
        <v>19053.34</v>
      </c>
      <c r="G279" t="s">
        <v>20</v>
      </c>
      <c r="H279">
        <v>2</v>
      </c>
      <c r="I279">
        <v>9660.64</v>
      </c>
      <c r="J279">
        <v>9392.7000000000007</v>
      </c>
      <c r="K279" t="s">
        <v>63</v>
      </c>
      <c r="L279" t="s">
        <v>61</v>
      </c>
      <c r="M279">
        <v>2022</v>
      </c>
      <c r="N279" t="s">
        <v>45</v>
      </c>
    </row>
    <row r="280" spans="1:14" x14ac:dyDescent="0.3">
      <c r="A280" s="1">
        <v>45145</v>
      </c>
      <c r="B280" t="s">
        <v>31</v>
      </c>
      <c r="C280" t="s">
        <v>16</v>
      </c>
      <c r="D280" t="s">
        <v>17</v>
      </c>
      <c r="E280">
        <v>2</v>
      </c>
      <c r="F280">
        <v>418.45</v>
      </c>
      <c r="G280" t="s">
        <v>20</v>
      </c>
      <c r="H280">
        <v>3</v>
      </c>
      <c r="I280">
        <v>335.37</v>
      </c>
      <c r="J280">
        <v>83.08</v>
      </c>
      <c r="K280" t="s">
        <v>64</v>
      </c>
      <c r="L280" t="s">
        <v>61</v>
      </c>
      <c r="M280">
        <v>2023</v>
      </c>
      <c r="N280" t="s">
        <v>44</v>
      </c>
    </row>
    <row r="281" spans="1:14" x14ac:dyDescent="0.3">
      <c r="A281" s="1">
        <v>44813</v>
      </c>
      <c r="B281" t="s">
        <v>23</v>
      </c>
      <c r="C281" t="s">
        <v>25</v>
      </c>
      <c r="D281" t="s">
        <v>39</v>
      </c>
      <c r="E281">
        <v>18</v>
      </c>
      <c r="F281">
        <v>7786.8</v>
      </c>
      <c r="G281" t="s">
        <v>20</v>
      </c>
      <c r="H281">
        <v>2</v>
      </c>
      <c r="I281">
        <v>2057.9</v>
      </c>
      <c r="J281">
        <v>5728.9</v>
      </c>
      <c r="K281" t="s">
        <v>60</v>
      </c>
      <c r="L281" t="s">
        <v>61</v>
      </c>
      <c r="M281">
        <v>2022</v>
      </c>
      <c r="N281" t="s">
        <v>47</v>
      </c>
    </row>
    <row r="282" spans="1:14" x14ac:dyDescent="0.3">
      <c r="A282" s="1">
        <v>45229</v>
      </c>
      <c r="B282" t="s">
        <v>18</v>
      </c>
      <c r="C282" t="s">
        <v>21</v>
      </c>
      <c r="D282" t="s">
        <v>36</v>
      </c>
      <c r="E282">
        <v>9</v>
      </c>
      <c r="F282">
        <v>4068.24</v>
      </c>
      <c r="G282" t="s">
        <v>20</v>
      </c>
      <c r="H282">
        <v>4</v>
      </c>
      <c r="I282">
        <v>1709.81</v>
      </c>
      <c r="J282">
        <v>2358.4299999999998</v>
      </c>
      <c r="K282" t="s">
        <v>62</v>
      </c>
      <c r="L282" t="s">
        <v>59</v>
      </c>
      <c r="M282">
        <v>2023</v>
      </c>
      <c r="N282" t="s">
        <v>44</v>
      </c>
    </row>
    <row r="283" spans="1:14" x14ac:dyDescent="0.3">
      <c r="A283" s="1">
        <v>44774</v>
      </c>
      <c r="B283" t="s">
        <v>18</v>
      </c>
      <c r="C283" t="s">
        <v>21</v>
      </c>
      <c r="D283" t="s">
        <v>33</v>
      </c>
      <c r="E283">
        <v>16</v>
      </c>
      <c r="F283">
        <v>2730.93</v>
      </c>
      <c r="G283" t="s">
        <v>20</v>
      </c>
      <c r="H283">
        <v>2</v>
      </c>
      <c r="I283">
        <v>3724.89</v>
      </c>
      <c r="J283">
        <v>-993.96</v>
      </c>
      <c r="K283" t="s">
        <v>64</v>
      </c>
      <c r="L283" t="s">
        <v>61</v>
      </c>
      <c r="M283">
        <v>2022</v>
      </c>
      <c r="N283" t="s">
        <v>47</v>
      </c>
    </row>
    <row r="284" spans="1:14" x14ac:dyDescent="0.3">
      <c r="A284" s="1">
        <v>44750</v>
      </c>
      <c r="B284" t="s">
        <v>9</v>
      </c>
      <c r="C284" t="s">
        <v>21</v>
      </c>
      <c r="D284" t="s">
        <v>22</v>
      </c>
      <c r="E284">
        <v>24</v>
      </c>
      <c r="F284">
        <v>9168.01</v>
      </c>
      <c r="G284" t="s">
        <v>20</v>
      </c>
      <c r="H284">
        <v>1</v>
      </c>
      <c r="I284">
        <v>1891.41</v>
      </c>
      <c r="J284">
        <v>7276.6</v>
      </c>
      <c r="K284" t="s">
        <v>63</v>
      </c>
      <c r="L284" t="s">
        <v>61</v>
      </c>
      <c r="M284">
        <v>2022</v>
      </c>
      <c r="N284" t="s">
        <v>45</v>
      </c>
    </row>
    <row r="285" spans="1:14" x14ac:dyDescent="0.3">
      <c r="A285" s="1">
        <v>44812</v>
      </c>
      <c r="B285" t="s">
        <v>23</v>
      </c>
      <c r="C285" t="s">
        <v>16</v>
      </c>
      <c r="D285" t="s">
        <v>24</v>
      </c>
      <c r="E285">
        <v>26</v>
      </c>
      <c r="F285">
        <v>3155.34</v>
      </c>
      <c r="G285" t="s">
        <v>20</v>
      </c>
      <c r="H285">
        <v>1</v>
      </c>
      <c r="I285">
        <v>636.74</v>
      </c>
      <c r="J285">
        <v>2518.6</v>
      </c>
      <c r="K285" t="s">
        <v>60</v>
      </c>
      <c r="L285" t="s">
        <v>61</v>
      </c>
      <c r="M285">
        <v>2022</v>
      </c>
      <c r="N285" t="s">
        <v>45</v>
      </c>
    </row>
    <row r="286" spans="1:14" x14ac:dyDescent="0.3">
      <c r="A286" s="1">
        <v>45243</v>
      </c>
      <c r="B286" t="s">
        <v>9</v>
      </c>
      <c r="C286" t="s">
        <v>16</v>
      </c>
      <c r="D286" t="s">
        <v>24</v>
      </c>
      <c r="E286">
        <v>18</v>
      </c>
      <c r="F286">
        <v>4481.79</v>
      </c>
      <c r="G286" t="s">
        <v>20</v>
      </c>
      <c r="H286">
        <v>5</v>
      </c>
      <c r="I286">
        <v>4427.7</v>
      </c>
      <c r="J286">
        <v>54.09</v>
      </c>
      <c r="K286" t="s">
        <v>65</v>
      </c>
      <c r="L286" t="s">
        <v>59</v>
      </c>
      <c r="M286">
        <v>2023</v>
      </c>
      <c r="N286" t="s">
        <v>47</v>
      </c>
    </row>
    <row r="287" spans="1:14" x14ac:dyDescent="0.3">
      <c r="A287" s="1">
        <v>45020</v>
      </c>
      <c r="B287" t="s">
        <v>23</v>
      </c>
      <c r="C287" t="s">
        <v>25</v>
      </c>
      <c r="D287" t="s">
        <v>30</v>
      </c>
      <c r="E287">
        <v>18</v>
      </c>
      <c r="F287">
        <v>1516.23</v>
      </c>
      <c r="G287" t="s">
        <v>12</v>
      </c>
      <c r="H287">
        <v>4</v>
      </c>
      <c r="I287">
        <v>3548.05</v>
      </c>
      <c r="J287">
        <v>-2031.82</v>
      </c>
      <c r="K287" t="s">
        <v>55</v>
      </c>
      <c r="L287" t="s">
        <v>51</v>
      </c>
      <c r="M287">
        <v>2023</v>
      </c>
      <c r="N287" t="s">
        <v>44</v>
      </c>
    </row>
    <row r="288" spans="1:14" x14ac:dyDescent="0.3">
      <c r="A288" s="1">
        <v>45033</v>
      </c>
      <c r="B288" t="s">
        <v>31</v>
      </c>
      <c r="C288" t="s">
        <v>16</v>
      </c>
      <c r="D288" t="s">
        <v>17</v>
      </c>
      <c r="E288">
        <v>11</v>
      </c>
      <c r="F288">
        <v>1031.49</v>
      </c>
      <c r="G288" t="s">
        <v>20</v>
      </c>
      <c r="H288">
        <v>3</v>
      </c>
      <c r="I288">
        <v>2022.68</v>
      </c>
      <c r="J288">
        <v>-991.19</v>
      </c>
      <c r="K288" t="s">
        <v>55</v>
      </c>
      <c r="L288" t="s">
        <v>51</v>
      </c>
      <c r="M288">
        <v>2023</v>
      </c>
      <c r="N288" t="s">
        <v>45</v>
      </c>
    </row>
    <row r="289" spans="1:14" x14ac:dyDescent="0.3">
      <c r="A289" s="1">
        <v>44724</v>
      </c>
      <c r="B289" t="s">
        <v>31</v>
      </c>
      <c r="C289" t="s">
        <v>13</v>
      </c>
      <c r="D289" t="s">
        <v>19</v>
      </c>
      <c r="E289">
        <v>20</v>
      </c>
      <c r="F289">
        <v>9836.4699999999993</v>
      </c>
      <c r="G289" t="s">
        <v>20</v>
      </c>
      <c r="H289">
        <v>5</v>
      </c>
      <c r="I289">
        <v>4058.98</v>
      </c>
      <c r="J289">
        <v>5777.49</v>
      </c>
      <c r="K289" t="s">
        <v>50</v>
      </c>
      <c r="L289" t="s">
        <v>51</v>
      </c>
      <c r="M289">
        <v>2022</v>
      </c>
      <c r="N289" t="s">
        <v>45</v>
      </c>
    </row>
    <row r="290" spans="1:14" x14ac:dyDescent="0.3">
      <c r="A290" s="1">
        <v>45156</v>
      </c>
      <c r="B290" t="s">
        <v>31</v>
      </c>
      <c r="C290" t="s">
        <v>16</v>
      </c>
      <c r="D290" t="s">
        <v>24</v>
      </c>
      <c r="E290">
        <v>14</v>
      </c>
      <c r="F290">
        <v>5020.7299999999996</v>
      </c>
      <c r="G290" t="s">
        <v>20</v>
      </c>
      <c r="H290">
        <v>3</v>
      </c>
      <c r="I290">
        <v>2851.44</v>
      </c>
      <c r="J290">
        <v>2169.29</v>
      </c>
      <c r="K290" t="s">
        <v>64</v>
      </c>
      <c r="L290" t="s">
        <v>61</v>
      </c>
      <c r="M290">
        <v>2023</v>
      </c>
      <c r="N290" t="s">
        <v>45</v>
      </c>
    </row>
    <row r="291" spans="1:14" x14ac:dyDescent="0.3">
      <c r="A291" s="1">
        <v>44838</v>
      </c>
      <c r="B291" t="s">
        <v>18</v>
      </c>
      <c r="C291" t="s">
        <v>25</v>
      </c>
      <c r="D291" t="s">
        <v>38</v>
      </c>
      <c r="E291">
        <v>1</v>
      </c>
      <c r="F291">
        <v>197.11</v>
      </c>
      <c r="G291" t="s">
        <v>12</v>
      </c>
      <c r="H291">
        <v>2</v>
      </c>
      <c r="I291">
        <v>145.13999999999999</v>
      </c>
      <c r="J291">
        <v>51.97</v>
      </c>
      <c r="K291" t="s">
        <v>62</v>
      </c>
      <c r="L291" t="s">
        <v>59</v>
      </c>
      <c r="M291">
        <v>2022</v>
      </c>
      <c r="N291" t="s">
        <v>44</v>
      </c>
    </row>
    <row r="292" spans="1:14" x14ac:dyDescent="0.3">
      <c r="A292" s="1">
        <v>45180</v>
      </c>
      <c r="B292" t="s">
        <v>18</v>
      </c>
      <c r="C292" t="s">
        <v>13</v>
      </c>
      <c r="D292" t="s">
        <v>29</v>
      </c>
      <c r="E292">
        <v>33</v>
      </c>
      <c r="F292">
        <v>13850</v>
      </c>
      <c r="G292" t="s">
        <v>20</v>
      </c>
      <c r="H292">
        <v>4</v>
      </c>
      <c r="I292">
        <v>3825.93</v>
      </c>
      <c r="J292">
        <v>10024.07</v>
      </c>
      <c r="K292" t="s">
        <v>60</v>
      </c>
      <c r="L292" t="s">
        <v>61</v>
      </c>
      <c r="M292">
        <v>2023</v>
      </c>
      <c r="N292" t="s">
        <v>43</v>
      </c>
    </row>
    <row r="293" spans="1:14" x14ac:dyDescent="0.3">
      <c r="A293" s="1">
        <v>44916</v>
      </c>
      <c r="B293" t="s">
        <v>9</v>
      </c>
      <c r="C293" t="s">
        <v>25</v>
      </c>
      <c r="D293" t="s">
        <v>38</v>
      </c>
      <c r="E293">
        <v>26</v>
      </c>
      <c r="F293">
        <v>2702.1</v>
      </c>
      <c r="G293" t="s">
        <v>20</v>
      </c>
      <c r="H293">
        <v>3</v>
      </c>
      <c r="I293">
        <v>222.85</v>
      </c>
      <c r="J293">
        <v>2479.25</v>
      </c>
      <c r="K293" t="s">
        <v>58</v>
      </c>
      <c r="L293" t="s">
        <v>59</v>
      </c>
      <c r="M293">
        <v>2022</v>
      </c>
      <c r="N293" t="s">
        <v>43</v>
      </c>
    </row>
    <row r="294" spans="1:14" x14ac:dyDescent="0.3">
      <c r="A294" s="1">
        <v>45265</v>
      </c>
      <c r="B294" t="s">
        <v>18</v>
      </c>
      <c r="C294" t="s">
        <v>21</v>
      </c>
      <c r="D294" t="s">
        <v>32</v>
      </c>
      <c r="E294">
        <v>22</v>
      </c>
      <c r="F294">
        <v>9598.61</v>
      </c>
      <c r="G294" t="s">
        <v>12</v>
      </c>
      <c r="H294">
        <v>5</v>
      </c>
      <c r="I294">
        <v>2074.9</v>
      </c>
      <c r="J294">
        <v>7523.71</v>
      </c>
      <c r="K294" t="s">
        <v>58</v>
      </c>
      <c r="L294" t="s">
        <v>59</v>
      </c>
      <c r="M294">
        <v>2023</v>
      </c>
      <c r="N294" t="s">
        <v>47</v>
      </c>
    </row>
    <row r="295" spans="1:14" x14ac:dyDescent="0.3">
      <c r="A295" s="1">
        <v>44805</v>
      </c>
      <c r="B295" t="s">
        <v>18</v>
      </c>
      <c r="C295" t="s">
        <v>13</v>
      </c>
      <c r="D295" t="s">
        <v>29</v>
      </c>
      <c r="E295">
        <v>32</v>
      </c>
      <c r="F295">
        <v>12688.15</v>
      </c>
      <c r="G295" t="s">
        <v>20</v>
      </c>
      <c r="H295">
        <v>5</v>
      </c>
      <c r="I295">
        <v>1293.79</v>
      </c>
      <c r="J295">
        <v>11394.36</v>
      </c>
      <c r="K295" t="s">
        <v>60</v>
      </c>
      <c r="L295" t="s">
        <v>61</v>
      </c>
      <c r="M295">
        <v>2022</v>
      </c>
      <c r="N295" t="s">
        <v>45</v>
      </c>
    </row>
    <row r="296" spans="1:14" x14ac:dyDescent="0.3">
      <c r="A296" s="1">
        <v>44680</v>
      </c>
      <c r="B296" t="s">
        <v>23</v>
      </c>
      <c r="C296" t="s">
        <v>13</v>
      </c>
      <c r="D296" t="s">
        <v>14</v>
      </c>
      <c r="E296">
        <v>44</v>
      </c>
      <c r="F296">
        <v>9189.91</v>
      </c>
      <c r="G296" t="s">
        <v>12</v>
      </c>
      <c r="H296">
        <v>5</v>
      </c>
      <c r="I296">
        <v>9333.82</v>
      </c>
      <c r="J296">
        <v>-143.91</v>
      </c>
      <c r="K296" t="s">
        <v>55</v>
      </c>
      <c r="L296" t="s">
        <v>51</v>
      </c>
      <c r="M296">
        <v>2022</v>
      </c>
      <c r="N296" t="s">
        <v>44</v>
      </c>
    </row>
    <row r="297" spans="1:14" x14ac:dyDescent="0.3">
      <c r="A297" s="1">
        <v>45271</v>
      </c>
      <c r="B297" t="s">
        <v>23</v>
      </c>
      <c r="C297" t="s">
        <v>21</v>
      </c>
      <c r="D297" t="s">
        <v>22</v>
      </c>
      <c r="E297">
        <v>6</v>
      </c>
      <c r="F297">
        <v>2720.03</v>
      </c>
      <c r="G297" t="s">
        <v>12</v>
      </c>
      <c r="H297">
        <v>4</v>
      </c>
      <c r="I297">
        <v>1430.9</v>
      </c>
      <c r="J297">
        <v>1289.1300000000001</v>
      </c>
      <c r="K297" t="s">
        <v>58</v>
      </c>
      <c r="L297" t="s">
        <v>59</v>
      </c>
      <c r="M297">
        <v>2023</v>
      </c>
      <c r="N297" t="s">
        <v>45</v>
      </c>
    </row>
    <row r="298" spans="1:14" x14ac:dyDescent="0.3">
      <c r="A298" s="1">
        <v>45243</v>
      </c>
      <c r="B298" t="s">
        <v>9</v>
      </c>
      <c r="C298" t="s">
        <v>13</v>
      </c>
      <c r="D298" t="s">
        <v>29</v>
      </c>
      <c r="E298">
        <v>19</v>
      </c>
      <c r="F298">
        <v>8568.5</v>
      </c>
      <c r="G298" t="s">
        <v>12</v>
      </c>
      <c r="H298">
        <v>1</v>
      </c>
      <c r="I298">
        <v>4351.7</v>
      </c>
      <c r="J298">
        <v>4216.8</v>
      </c>
      <c r="K298" t="s">
        <v>65</v>
      </c>
      <c r="L298" t="s">
        <v>59</v>
      </c>
      <c r="M298">
        <v>2023</v>
      </c>
      <c r="N298" t="s">
        <v>44</v>
      </c>
    </row>
    <row r="299" spans="1:14" x14ac:dyDescent="0.3">
      <c r="A299" s="1">
        <v>44697</v>
      </c>
      <c r="B299" t="s">
        <v>15</v>
      </c>
      <c r="C299" t="s">
        <v>25</v>
      </c>
      <c r="D299" t="s">
        <v>38</v>
      </c>
      <c r="E299">
        <v>21</v>
      </c>
      <c r="F299">
        <v>523.55999999999995</v>
      </c>
      <c r="G299" t="s">
        <v>20</v>
      </c>
      <c r="H299">
        <v>2</v>
      </c>
      <c r="I299">
        <v>1471.08</v>
      </c>
      <c r="J299">
        <v>-947.52</v>
      </c>
      <c r="K299" t="s">
        <v>56</v>
      </c>
      <c r="L299" t="s">
        <v>51</v>
      </c>
      <c r="M299">
        <v>2022</v>
      </c>
      <c r="N299" t="s">
        <v>45</v>
      </c>
    </row>
    <row r="300" spans="1:14" x14ac:dyDescent="0.3">
      <c r="A300" s="1">
        <v>44835</v>
      </c>
      <c r="B300" t="s">
        <v>15</v>
      </c>
      <c r="C300" t="s">
        <v>16</v>
      </c>
      <c r="D300" t="s">
        <v>17</v>
      </c>
      <c r="E300">
        <v>3</v>
      </c>
      <c r="F300">
        <v>1170.3</v>
      </c>
      <c r="G300" t="s">
        <v>12</v>
      </c>
      <c r="H300">
        <v>2</v>
      </c>
      <c r="I300">
        <v>352.35</v>
      </c>
      <c r="J300">
        <v>817.95</v>
      </c>
      <c r="K300" t="s">
        <v>62</v>
      </c>
      <c r="L300" t="s">
        <v>59</v>
      </c>
      <c r="M300">
        <v>2022</v>
      </c>
      <c r="N300" t="s">
        <v>47</v>
      </c>
    </row>
    <row r="301" spans="1:14" x14ac:dyDescent="0.3">
      <c r="A301" s="1">
        <v>44768</v>
      </c>
      <c r="B301" t="s">
        <v>31</v>
      </c>
      <c r="C301" t="s">
        <v>21</v>
      </c>
      <c r="D301" t="s">
        <v>22</v>
      </c>
      <c r="E301">
        <v>19</v>
      </c>
      <c r="F301">
        <v>1497.51</v>
      </c>
      <c r="G301" t="s">
        <v>20</v>
      </c>
      <c r="H301">
        <v>1</v>
      </c>
      <c r="I301">
        <v>1168.73</v>
      </c>
      <c r="J301">
        <v>328.78</v>
      </c>
      <c r="K301" t="s">
        <v>63</v>
      </c>
      <c r="L301" t="s">
        <v>61</v>
      </c>
      <c r="M301">
        <v>2022</v>
      </c>
      <c r="N301" t="s">
        <v>44</v>
      </c>
    </row>
    <row r="302" spans="1:14" x14ac:dyDescent="0.3">
      <c r="A302" s="1">
        <v>44977</v>
      </c>
      <c r="B302" t="s">
        <v>15</v>
      </c>
      <c r="C302" t="s">
        <v>10</v>
      </c>
      <c r="D302" t="s">
        <v>11</v>
      </c>
      <c r="E302">
        <v>19</v>
      </c>
      <c r="F302">
        <v>8247.2999999999993</v>
      </c>
      <c r="G302" t="s">
        <v>20</v>
      </c>
      <c r="H302">
        <v>4</v>
      </c>
      <c r="I302">
        <v>3156.46</v>
      </c>
      <c r="J302">
        <v>5090.84</v>
      </c>
      <c r="K302" t="s">
        <v>54</v>
      </c>
      <c r="L302" t="s">
        <v>53</v>
      </c>
      <c r="M302">
        <v>2023</v>
      </c>
      <c r="N302" t="s">
        <v>43</v>
      </c>
    </row>
    <row r="303" spans="1:14" x14ac:dyDescent="0.3">
      <c r="A303" s="1">
        <v>44878</v>
      </c>
      <c r="B303" t="s">
        <v>18</v>
      </c>
      <c r="C303" t="s">
        <v>21</v>
      </c>
      <c r="D303" t="s">
        <v>36</v>
      </c>
      <c r="E303">
        <v>3</v>
      </c>
      <c r="F303">
        <v>95.71</v>
      </c>
      <c r="G303" t="s">
        <v>20</v>
      </c>
      <c r="H303">
        <v>2</v>
      </c>
      <c r="I303">
        <v>339.72</v>
      </c>
      <c r="J303">
        <v>-244.01</v>
      </c>
      <c r="K303" t="s">
        <v>65</v>
      </c>
      <c r="L303" t="s">
        <v>59</v>
      </c>
      <c r="M303">
        <v>2022</v>
      </c>
      <c r="N303" t="s">
        <v>47</v>
      </c>
    </row>
    <row r="304" spans="1:14" x14ac:dyDescent="0.3">
      <c r="A304" s="1">
        <v>44720</v>
      </c>
      <c r="B304" t="s">
        <v>18</v>
      </c>
      <c r="C304" t="s">
        <v>25</v>
      </c>
      <c r="D304" t="s">
        <v>26</v>
      </c>
      <c r="E304">
        <v>40</v>
      </c>
      <c r="F304">
        <v>15585.86</v>
      </c>
      <c r="G304" t="s">
        <v>20</v>
      </c>
      <c r="H304">
        <v>4</v>
      </c>
      <c r="I304">
        <v>6033.93</v>
      </c>
      <c r="J304">
        <v>9551.93</v>
      </c>
      <c r="K304" t="s">
        <v>50</v>
      </c>
      <c r="L304" t="s">
        <v>51</v>
      </c>
      <c r="M304">
        <v>2022</v>
      </c>
      <c r="N304" t="s">
        <v>45</v>
      </c>
    </row>
    <row r="305" spans="1:14" x14ac:dyDescent="0.3">
      <c r="A305" s="1">
        <v>44974</v>
      </c>
      <c r="B305" t="s">
        <v>31</v>
      </c>
      <c r="C305" t="s">
        <v>16</v>
      </c>
      <c r="D305" t="s">
        <v>24</v>
      </c>
      <c r="E305">
        <v>32</v>
      </c>
      <c r="F305">
        <v>8007.5</v>
      </c>
      <c r="G305" t="s">
        <v>12</v>
      </c>
      <c r="H305">
        <v>2</v>
      </c>
      <c r="I305">
        <v>2102.2600000000002</v>
      </c>
      <c r="J305">
        <v>5905.24</v>
      </c>
      <c r="K305" t="s">
        <v>54</v>
      </c>
      <c r="L305" t="s">
        <v>53</v>
      </c>
      <c r="M305">
        <v>2023</v>
      </c>
      <c r="N305" t="s">
        <v>44</v>
      </c>
    </row>
    <row r="306" spans="1:14" x14ac:dyDescent="0.3">
      <c r="A306" s="1">
        <v>45003</v>
      </c>
      <c r="B306" t="s">
        <v>23</v>
      </c>
      <c r="C306" t="s">
        <v>25</v>
      </c>
      <c r="D306" t="s">
        <v>26</v>
      </c>
      <c r="E306">
        <v>31</v>
      </c>
      <c r="F306">
        <v>11394.72</v>
      </c>
      <c r="G306" t="s">
        <v>12</v>
      </c>
      <c r="H306">
        <v>4</v>
      </c>
      <c r="I306">
        <v>5535.31</v>
      </c>
      <c r="J306">
        <v>5859.41</v>
      </c>
      <c r="K306" t="s">
        <v>52</v>
      </c>
      <c r="L306" t="s">
        <v>53</v>
      </c>
      <c r="M306">
        <v>2023</v>
      </c>
      <c r="N306" t="s">
        <v>44</v>
      </c>
    </row>
    <row r="307" spans="1:14" x14ac:dyDescent="0.3">
      <c r="A307" s="1">
        <v>44749</v>
      </c>
      <c r="B307" t="s">
        <v>18</v>
      </c>
      <c r="C307" t="s">
        <v>16</v>
      </c>
      <c r="D307" t="s">
        <v>17</v>
      </c>
      <c r="E307">
        <v>43</v>
      </c>
      <c r="F307">
        <v>21074.83</v>
      </c>
      <c r="G307" t="s">
        <v>12</v>
      </c>
      <c r="H307">
        <v>2</v>
      </c>
      <c r="I307">
        <v>8337.69</v>
      </c>
      <c r="J307">
        <v>12737.14</v>
      </c>
      <c r="K307" t="s">
        <v>63</v>
      </c>
      <c r="L307" t="s">
        <v>61</v>
      </c>
      <c r="M307">
        <v>2022</v>
      </c>
      <c r="N307" t="s">
        <v>43</v>
      </c>
    </row>
    <row r="308" spans="1:14" x14ac:dyDescent="0.3">
      <c r="A308" s="1">
        <v>44766</v>
      </c>
      <c r="B308" t="s">
        <v>18</v>
      </c>
      <c r="C308" t="s">
        <v>25</v>
      </c>
      <c r="D308" t="s">
        <v>30</v>
      </c>
      <c r="E308">
        <v>5</v>
      </c>
      <c r="F308">
        <v>1964.61</v>
      </c>
      <c r="G308" t="s">
        <v>20</v>
      </c>
      <c r="H308">
        <v>1</v>
      </c>
      <c r="I308">
        <v>857.05</v>
      </c>
      <c r="J308">
        <v>1107.56</v>
      </c>
      <c r="K308" t="s">
        <v>63</v>
      </c>
      <c r="L308" t="s">
        <v>61</v>
      </c>
      <c r="M308">
        <v>2022</v>
      </c>
      <c r="N308" t="s">
        <v>47</v>
      </c>
    </row>
    <row r="309" spans="1:14" x14ac:dyDescent="0.3">
      <c r="A309" s="1">
        <v>45026</v>
      </c>
      <c r="B309" t="s">
        <v>23</v>
      </c>
      <c r="C309" t="s">
        <v>25</v>
      </c>
      <c r="D309" t="s">
        <v>26</v>
      </c>
      <c r="E309">
        <v>45</v>
      </c>
      <c r="F309">
        <v>15158.99</v>
      </c>
      <c r="G309" t="s">
        <v>12</v>
      </c>
      <c r="H309">
        <v>1</v>
      </c>
      <c r="I309">
        <v>1994.26</v>
      </c>
      <c r="J309">
        <v>13164.73</v>
      </c>
      <c r="K309" t="s">
        <v>55</v>
      </c>
      <c r="L309" t="s">
        <v>51</v>
      </c>
      <c r="M309">
        <v>2023</v>
      </c>
      <c r="N309" t="s">
        <v>43</v>
      </c>
    </row>
    <row r="310" spans="1:14" x14ac:dyDescent="0.3">
      <c r="A310" s="1">
        <v>44776</v>
      </c>
      <c r="B310" t="s">
        <v>31</v>
      </c>
      <c r="C310" t="s">
        <v>13</v>
      </c>
      <c r="D310" t="s">
        <v>14</v>
      </c>
      <c r="E310">
        <v>16</v>
      </c>
      <c r="F310">
        <v>5605.58</v>
      </c>
      <c r="G310" t="s">
        <v>12</v>
      </c>
      <c r="H310">
        <v>3</v>
      </c>
      <c r="I310">
        <v>3507.71</v>
      </c>
      <c r="J310">
        <v>2097.87</v>
      </c>
      <c r="K310" t="s">
        <v>64</v>
      </c>
      <c r="L310" t="s">
        <v>61</v>
      </c>
      <c r="M310">
        <v>2022</v>
      </c>
      <c r="N310" t="s">
        <v>44</v>
      </c>
    </row>
    <row r="311" spans="1:14" x14ac:dyDescent="0.3">
      <c r="A311" s="1">
        <v>45218</v>
      </c>
      <c r="B311" t="s">
        <v>31</v>
      </c>
      <c r="C311" t="s">
        <v>10</v>
      </c>
      <c r="D311" t="s">
        <v>34</v>
      </c>
      <c r="E311">
        <v>29</v>
      </c>
      <c r="F311">
        <v>2392.39</v>
      </c>
      <c r="G311" t="s">
        <v>12</v>
      </c>
      <c r="H311">
        <v>2</v>
      </c>
      <c r="I311">
        <v>4809.43</v>
      </c>
      <c r="J311">
        <v>-2417.04</v>
      </c>
      <c r="K311" t="s">
        <v>62</v>
      </c>
      <c r="L311" t="s">
        <v>59</v>
      </c>
      <c r="M311">
        <v>2023</v>
      </c>
      <c r="N311" t="s">
        <v>44</v>
      </c>
    </row>
    <row r="312" spans="1:14" x14ac:dyDescent="0.3">
      <c r="A312" s="1">
        <v>44742</v>
      </c>
      <c r="B312" t="s">
        <v>23</v>
      </c>
      <c r="C312" t="s">
        <v>16</v>
      </c>
      <c r="D312" t="s">
        <v>24</v>
      </c>
      <c r="E312">
        <v>32</v>
      </c>
      <c r="F312">
        <v>8234.39</v>
      </c>
      <c r="G312" t="s">
        <v>12</v>
      </c>
      <c r="H312">
        <v>1</v>
      </c>
      <c r="I312">
        <v>7179.85</v>
      </c>
      <c r="J312">
        <v>1054.54</v>
      </c>
      <c r="K312" t="s">
        <v>50</v>
      </c>
      <c r="L312" t="s">
        <v>51</v>
      </c>
      <c r="M312">
        <v>2022</v>
      </c>
      <c r="N312" t="s">
        <v>44</v>
      </c>
    </row>
    <row r="313" spans="1:14" x14ac:dyDescent="0.3">
      <c r="A313" s="1">
        <v>44937</v>
      </c>
      <c r="B313" t="s">
        <v>15</v>
      </c>
      <c r="C313" t="s">
        <v>16</v>
      </c>
      <c r="D313" t="s">
        <v>17</v>
      </c>
      <c r="E313">
        <v>8</v>
      </c>
      <c r="F313">
        <v>2810.17</v>
      </c>
      <c r="G313" t="s">
        <v>12</v>
      </c>
      <c r="H313">
        <v>5</v>
      </c>
      <c r="I313">
        <v>1961.92</v>
      </c>
      <c r="J313">
        <v>848.25</v>
      </c>
      <c r="K313" t="s">
        <v>57</v>
      </c>
      <c r="L313" t="s">
        <v>53</v>
      </c>
      <c r="M313">
        <v>2023</v>
      </c>
      <c r="N313" t="s">
        <v>44</v>
      </c>
    </row>
    <row r="314" spans="1:14" x14ac:dyDescent="0.3">
      <c r="A314" s="1">
        <v>45096</v>
      </c>
      <c r="B314" t="s">
        <v>18</v>
      </c>
      <c r="C314" t="s">
        <v>16</v>
      </c>
      <c r="D314" t="s">
        <v>17</v>
      </c>
      <c r="E314">
        <v>2</v>
      </c>
      <c r="F314">
        <v>786.95</v>
      </c>
      <c r="G314" t="s">
        <v>12</v>
      </c>
      <c r="H314">
        <v>5</v>
      </c>
      <c r="I314">
        <v>210.96</v>
      </c>
      <c r="J314">
        <v>575.99</v>
      </c>
      <c r="K314" t="s">
        <v>50</v>
      </c>
      <c r="L314" t="s">
        <v>51</v>
      </c>
      <c r="M314">
        <v>2023</v>
      </c>
      <c r="N314" t="s">
        <v>45</v>
      </c>
    </row>
    <row r="315" spans="1:14" x14ac:dyDescent="0.3">
      <c r="A315" s="1">
        <v>45256</v>
      </c>
      <c r="B315" t="s">
        <v>9</v>
      </c>
      <c r="C315" t="s">
        <v>13</v>
      </c>
      <c r="D315" t="s">
        <v>14</v>
      </c>
      <c r="E315">
        <v>41</v>
      </c>
      <c r="F315">
        <v>18261.68</v>
      </c>
      <c r="G315" t="s">
        <v>12</v>
      </c>
      <c r="H315">
        <v>1</v>
      </c>
      <c r="I315">
        <v>8890.18</v>
      </c>
      <c r="J315">
        <v>9371.5</v>
      </c>
      <c r="K315" t="s">
        <v>65</v>
      </c>
      <c r="L315" t="s">
        <v>59</v>
      </c>
      <c r="M315">
        <v>2023</v>
      </c>
      <c r="N315" t="s">
        <v>43</v>
      </c>
    </row>
    <row r="316" spans="1:14" x14ac:dyDescent="0.3">
      <c r="A316" s="1">
        <v>44845</v>
      </c>
      <c r="B316" t="s">
        <v>15</v>
      </c>
      <c r="C316" t="s">
        <v>25</v>
      </c>
      <c r="D316" t="s">
        <v>30</v>
      </c>
      <c r="E316">
        <v>2</v>
      </c>
      <c r="F316">
        <v>331.27</v>
      </c>
      <c r="G316" t="s">
        <v>12</v>
      </c>
      <c r="H316">
        <v>2</v>
      </c>
      <c r="I316">
        <v>90.12</v>
      </c>
      <c r="J316">
        <v>241.15</v>
      </c>
      <c r="K316" t="s">
        <v>62</v>
      </c>
      <c r="L316" t="s">
        <v>59</v>
      </c>
      <c r="M316">
        <v>2022</v>
      </c>
      <c r="N316" t="s">
        <v>43</v>
      </c>
    </row>
    <row r="317" spans="1:14" x14ac:dyDescent="0.3">
      <c r="A317" s="1">
        <v>44617</v>
      </c>
      <c r="B317" t="s">
        <v>23</v>
      </c>
      <c r="C317" t="s">
        <v>25</v>
      </c>
      <c r="D317" t="s">
        <v>39</v>
      </c>
      <c r="E317">
        <v>29</v>
      </c>
      <c r="F317">
        <v>920.67</v>
      </c>
      <c r="G317" t="s">
        <v>20</v>
      </c>
      <c r="H317">
        <v>4</v>
      </c>
      <c r="I317">
        <v>5162.49</v>
      </c>
      <c r="J317">
        <v>-4241.82</v>
      </c>
      <c r="K317" t="s">
        <v>54</v>
      </c>
      <c r="L317" t="s">
        <v>53</v>
      </c>
      <c r="M317">
        <v>2022</v>
      </c>
      <c r="N317" t="s">
        <v>44</v>
      </c>
    </row>
    <row r="318" spans="1:14" x14ac:dyDescent="0.3">
      <c r="A318" s="1">
        <v>44574</v>
      </c>
      <c r="B318" t="s">
        <v>18</v>
      </c>
      <c r="C318" t="s">
        <v>16</v>
      </c>
      <c r="D318" t="s">
        <v>24</v>
      </c>
      <c r="E318">
        <v>50</v>
      </c>
      <c r="F318">
        <v>9307.27</v>
      </c>
      <c r="G318" t="s">
        <v>20</v>
      </c>
      <c r="H318">
        <v>3</v>
      </c>
      <c r="I318">
        <v>8795</v>
      </c>
      <c r="J318">
        <v>512.27</v>
      </c>
      <c r="K318" t="s">
        <v>57</v>
      </c>
      <c r="L318" t="s">
        <v>53</v>
      </c>
      <c r="M318">
        <v>2022</v>
      </c>
      <c r="N318" t="s">
        <v>44</v>
      </c>
    </row>
    <row r="319" spans="1:14" x14ac:dyDescent="0.3">
      <c r="A319" s="1">
        <v>44638</v>
      </c>
      <c r="B319" t="s">
        <v>18</v>
      </c>
      <c r="C319" t="s">
        <v>21</v>
      </c>
      <c r="D319" t="s">
        <v>22</v>
      </c>
      <c r="E319">
        <v>43</v>
      </c>
      <c r="F319">
        <v>18697.21</v>
      </c>
      <c r="G319" t="s">
        <v>20</v>
      </c>
      <c r="H319">
        <v>2</v>
      </c>
      <c r="I319">
        <v>9457.81</v>
      </c>
      <c r="J319">
        <v>9239.4</v>
      </c>
      <c r="K319" t="s">
        <v>52</v>
      </c>
      <c r="L319" t="s">
        <v>53</v>
      </c>
      <c r="M319">
        <v>2022</v>
      </c>
      <c r="N319" t="s">
        <v>44</v>
      </c>
    </row>
    <row r="320" spans="1:14" x14ac:dyDescent="0.3">
      <c r="A320" s="1">
        <v>44800</v>
      </c>
      <c r="B320" t="s">
        <v>9</v>
      </c>
      <c r="C320" t="s">
        <v>21</v>
      </c>
      <c r="D320" t="s">
        <v>22</v>
      </c>
      <c r="E320">
        <v>31</v>
      </c>
      <c r="F320">
        <v>10409.33</v>
      </c>
      <c r="G320" t="s">
        <v>20</v>
      </c>
      <c r="H320">
        <v>3</v>
      </c>
      <c r="I320">
        <v>3474.81</v>
      </c>
      <c r="J320">
        <v>6934.52</v>
      </c>
      <c r="K320" t="s">
        <v>64</v>
      </c>
      <c r="L320" t="s">
        <v>61</v>
      </c>
      <c r="M320">
        <v>2022</v>
      </c>
      <c r="N320" t="s">
        <v>44</v>
      </c>
    </row>
    <row r="321" spans="1:14" x14ac:dyDescent="0.3">
      <c r="A321" s="1">
        <v>44566</v>
      </c>
      <c r="B321" t="s">
        <v>15</v>
      </c>
      <c r="C321" t="s">
        <v>16</v>
      </c>
      <c r="D321" t="s">
        <v>17</v>
      </c>
      <c r="E321">
        <v>17</v>
      </c>
      <c r="F321">
        <v>4999.5600000000004</v>
      </c>
      <c r="G321" t="s">
        <v>12</v>
      </c>
      <c r="H321">
        <v>2</v>
      </c>
      <c r="I321">
        <v>814.81</v>
      </c>
      <c r="J321">
        <v>4184.75</v>
      </c>
      <c r="K321" t="s">
        <v>57</v>
      </c>
      <c r="L321" t="s">
        <v>53</v>
      </c>
      <c r="M321">
        <v>2022</v>
      </c>
      <c r="N321" t="s">
        <v>43</v>
      </c>
    </row>
    <row r="322" spans="1:14" x14ac:dyDescent="0.3">
      <c r="A322" s="1">
        <v>44697</v>
      </c>
      <c r="B322" t="s">
        <v>31</v>
      </c>
      <c r="C322" t="s">
        <v>21</v>
      </c>
      <c r="D322" t="s">
        <v>36</v>
      </c>
      <c r="E322">
        <v>28</v>
      </c>
      <c r="F322">
        <v>7772.9</v>
      </c>
      <c r="G322" t="s">
        <v>20</v>
      </c>
      <c r="H322">
        <v>2</v>
      </c>
      <c r="I322">
        <v>1287.1300000000001</v>
      </c>
      <c r="J322">
        <v>6485.77</v>
      </c>
      <c r="K322" t="s">
        <v>56</v>
      </c>
      <c r="L322" t="s">
        <v>51</v>
      </c>
      <c r="M322">
        <v>2022</v>
      </c>
      <c r="N322" t="s">
        <v>47</v>
      </c>
    </row>
    <row r="323" spans="1:14" x14ac:dyDescent="0.3">
      <c r="A323" s="1">
        <v>45038</v>
      </c>
      <c r="B323" t="s">
        <v>23</v>
      </c>
      <c r="C323" t="s">
        <v>13</v>
      </c>
      <c r="D323" t="s">
        <v>19</v>
      </c>
      <c r="E323">
        <v>36</v>
      </c>
      <c r="F323">
        <v>14841.19</v>
      </c>
      <c r="G323" t="s">
        <v>12</v>
      </c>
      <c r="H323">
        <v>4</v>
      </c>
      <c r="I323">
        <v>8090.37</v>
      </c>
      <c r="J323">
        <v>6750.82</v>
      </c>
      <c r="K323" t="s">
        <v>55</v>
      </c>
      <c r="L323" t="s">
        <v>51</v>
      </c>
      <c r="M323">
        <v>2023</v>
      </c>
      <c r="N323" t="s">
        <v>45</v>
      </c>
    </row>
    <row r="324" spans="1:14" x14ac:dyDescent="0.3">
      <c r="A324" s="1">
        <v>45255</v>
      </c>
      <c r="B324" t="s">
        <v>23</v>
      </c>
      <c r="C324" t="s">
        <v>25</v>
      </c>
      <c r="D324" t="s">
        <v>39</v>
      </c>
      <c r="E324">
        <v>44</v>
      </c>
      <c r="F324">
        <v>18310.849999999999</v>
      </c>
      <c r="G324" t="s">
        <v>12</v>
      </c>
      <c r="H324">
        <v>2</v>
      </c>
      <c r="I324">
        <v>10181.41</v>
      </c>
      <c r="J324">
        <v>8129.44</v>
      </c>
      <c r="K324" t="s">
        <v>65</v>
      </c>
      <c r="L324" t="s">
        <v>59</v>
      </c>
      <c r="M324">
        <v>2023</v>
      </c>
      <c r="N324" t="s">
        <v>44</v>
      </c>
    </row>
    <row r="325" spans="1:14" x14ac:dyDescent="0.3">
      <c r="A325" s="1">
        <v>44945</v>
      </c>
      <c r="B325" t="s">
        <v>31</v>
      </c>
      <c r="C325" t="s">
        <v>13</v>
      </c>
      <c r="D325" t="s">
        <v>19</v>
      </c>
      <c r="E325">
        <v>16</v>
      </c>
      <c r="F325">
        <v>6611.75</v>
      </c>
      <c r="G325" t="s">
        <v>12</v>
      </c>
      <c r="H325">
        <v>2</v>
      </c>
      <c r="I325">
        <v>1434.51</v>
      </c>
      <c r="J325">
        <v>5177.24</v>
      </c>
      <c r="K325" t="s">
        <v>57</v>
      </c>
      <c r="L325" t="s">
        <v>53</v>
      </c>
      <c r="M325">
        <v>2023</v>
      </c>
      <c r="N325" t="s">
        <v>47</v>
      </c>
    </row>
    <row r="326" spans="1:14" x14ac:dyDescent="0.3">
      <c r="A326" s="1">
        <v>45231</v>
      </c>
      <c r="B326" t="s">
        <v>23</v>
      </c>
      <c r="C326" t="s">
        <v>13</v>
      </c>
      <c r="D326" t="s">
        <v>40</v>
      </c>
      <c r="E326">
        <v>47</v>
      </c>
      <c r="F326">
        <v>16896.38</v>
      </c>
      <c r="G326" t="s">
        <v>20</v>
      </c>
      <c r="H326">
        <v>1</v>
      </c>
      <c r="I326">
        <v>5733.82</v>
      </c>
      <c r="J326">
        <v>11162.56</v>
      </c>
      <c r="K326" t="s">
        <v>65</v>
      </c>
      <c r="L326" t="s">
        <v>59</v>
      </c>
      <c r="M326">
        <v>2023</v>
      </c>
      <c r="N326" t="s">
        <v>43</v>
      </c>
    </row>
    <row r="327" spans="1:14" x14ac:dyDescent="0.3">
      <c r="A327" s="1">
        <v>44667</v>
      </c>
      <c r="B327" t="s">
        <v>23</v>
      </c>
      <c r="C327" t="s">
        <v>10</v>
      </c>
      <c r="D327" t="s">
        <v>35</v>
      </c>
      <c r="E327">
        <v>18</v>
      </c>
      <c r="F327">
        <v>5838.88</v>
      </c>
      <c r="G327" t="s">
        <v>20</v>
      </c>
      <c r="H327">
        <v>5</v>
      </c>
      <c r="I327">
        <v>1458.3</v>
      </c>
      <c r="J327">
        <v>4380.58</v>
      </c>
      <c r="K327" t="s">
        <v>55</v>
      </c>
      <c r="L327" t="s">
        <v>51</v>
      </c>
      <c r="M327">
        <v>2022</v>
      </c>
      <c r="N327" t="s">
        <v>45</v>
      </c>
    </row>
    <row r="328" spans="1:14" x14ac:dyDescent="0.3">
      <c r="A328" s="1">
        <v>44898</v>
      </c>
      <c r="B328" t="s">
        <v>18</v>
      </c>
      <c r="C328" t="s">
        <v>25</v>
      </c>
      <c r="D328" t="s">
        <v>38</v>
      </c>
      <c r="E328">
        <v>38</v>
      </c>
      <c r="F328">
        <v>1939.17</v>
      </c>
      <c r="G328" t="s">
        <v>20</v>
      </c>
      <c r="H328">
        <v>5</v>
      </c>
      <c r="I328">
        <v>5106.04</v>
      </c>
      <c r="J328">
        <v>-3166.87</v>
      </c>
      <c r="K328" t="s">
        <v>58</v>
      </c>
      <c r="L328" t="s">
        <v>59</v>
      </c>
      <c r="M328">
        <v>2022</v>
      </c>
      <c r="N328" t="s">
        <v>47</v>
      </c>
    </row>
    <row r="329" spans="1:14" x14ac:dyDescent="0.3">
      <c r="A329" s="1">
        <v>45277</v>
      </c>
      <c r="B329" t="s">
        <v>23</v>
      </c>
      <c r="C329" t="s">
        <v>16</v>
      </c>
      <c r="D329" t="s">
        <v>37</v>
      </c>
      <c r="E329">
        <v>22</v>
      </c>
      <c r="F329">
        <v>6154.39</v>
      </c>
      <c r="G329" t="s">
        <v>20</v>
      </c>
      <c r="H329">
        <v>1</v>
      </c>
      <c r="I329">
        <v>711.8</v>
      </c>
      <c r="J329">
        <v>5442.59</v>
      </c>
      <c r="K329" t="s">
        <v>58</v>
      </c>
      <c r="L329" t="s">
        <v>59</v>
      </c>
      <c r="M329">
        <v>2023</v>
      </c>
      <c r="N329" t="s">
        <v>47</v>
      </c>
    </row>
    <row r="330" spans="1:14" x14ac:dyDescent="0.3">
      <c r="A330" s="1">
        <v>44926</v>
      </c>
      <c r="B330" t="s">
        <v>15</v>
      </c>
      <c r="C330" t="s">
        <v>25</v>
      </c>
      <c r="D330" t="s">
        <v>26</v>
      </c>
      <c r="E330">
        <v>18</v>
      </c>
      <c r="F330">
        <v>8346.75</v>
      </c>
      <c r="G330" t="s">
        <v>20</v>
      </c>
      <c r="H330">
        <v>5</v>
      </c>
      <c r="I330">
        <v>2613.81</v>
      </c>
      <c r="J330">
        <v>5732.94</v>
      </c>
      <c r="K330" t="s">
        <v>58</v>
      </c>
      <c r="L330" t="s">
        <v>59</v>
      </c>
      <c r="M330">
        <v>2022</v>
      </c>
      <c r="N330" t="s">
        <v>47</v>
      </c>
    </row>
    <row r="331" spans="1:14" x14ac:dyDescent="0.3">
      <c r="A331" s="1">
        <v>44985</v>
      </c>
      <c r="B331" t="s">
        <v>23</v>
      </c>
      <c r="C331" t="s">
        <v>10</v>
      </c>
      <c r="D331" t="s">
        <v>11</v>
      </c>
      <c r="E331">
        <v>3</v>
      </c>
      <c r="F331">
        <v>810.1</v>
      </c>
      <c r="G331" t="s">
        <v>12</v>
      </c>
      <c r="H331">
        <v>2</v>
      </c>
      <c r="I331">
        <v>254.3</v>
      </c>
      <c r="J331">
        <v>555.79999999999995</v>
      </c>
      <c r="K331" t="s">
        <v>54</v>
      </c>
      <c r="L331" t="s">
        <v>53</v>
      </c>
      <c r="M331">
        <v>2023</v>
      </c>
      <c r="N331" t="s">
        <v>45</v>
      </c>
    </row>
    <row r="332" spans="1:14" x14ac:dyDescent="0.3">
      <c r="A332" s="1">
        <v>45003</v>
      </c>
      <c r="B332" t="s">
        <v>9</v>
      </c>
      <c r="C332" t="s">
        <v>13</v>
      </c>
      <c r="D332" t="s">
        <v>40</v>
      </c>
      <c r="E332">
        <v>26</v>
      </c>
      <c r="F332">
        <v>9457.94</v>
      </c>
      <c r="G332" t="s">
        <v>12</v>
      </c>
      <c r="H332">
        <v>4</v>
      </c>
      <c r="I332">
        <v>3680.79</v>
      </c>
      <c r="J332">
        <v>5777.15</v>
      </c>
      <c r="K332" t="s">
        <v>52</v>
      </c>
      <c r="L332" t="s">
        <v>53</v>
      </c>
      <c r="M332">
        <v>2023</v>
      </c>
      <c r="N332" t="s">
        <v>44</v>
      </c>
    </row>
    <row r="333" spans="1:14" x14ac:dyDescent="0.3">
      <c r="A333" s="1">
        <v>45052</v>
      </c>
      <c r="B333" t="s">
        <v>18</v>
      </c>
      <c r="C333" t="s">
        <v>25</v>
      </c>
      <c r="D333" t="s">
        <v>39</v>
      </c>
      <c r="E333">
        <v>50</v>
      </c>
      <c r="F333">
        <v>12805.76</v>
      </c>
      <c r="G333" t="s">
        <v>20</v>
      </c>
      <c r="H333">
        <v>1</v>
      </c>
      <c r="I333">
        <v>1234.1300000000001</v>
      </c>
      <c r="J333">
        <v>11571.63</v>
      </c>
      <c r="K333" t="s">
        <v>56</v>
      </c>
      <c r="L333" t="s">
        <v>51</v>
      </c>
      <c r="M333">
        <v>2023</v>
      </c>
      <c r="N333" t="s">
        <v>47</v>
      </c>
    </row>
    <row r="334" spans="1:14" x14ac:dyDescent="0.3">
      <c r="A334" s="1">
        <v>44598</v>
      </c>
      <c r="B334" t="s">
        <v>23</v>
      </c>
      <c r="C334" t="s">
        <v>21</v>
      </c>
      <c r="D334" t="s">
        <v>32</v>
      </c>
      <c r="E334">
        <v>1</v>
      </c>
      <c r="F334">
        <v>62.4</v>
      </c>
      <c r="G334" t="s">
        <v>20</v>
      </c>
      <c r="H334">
        <v>4</v>
      </c>
      <c r="I334">
        <v>106.01</v>
      </c>
      <c r="J334">
        <v>-43.61</v>
      </c>
      <c r="K334" t="s">
        <v>54</v>
      </c>
      <c r="L334" t="s">
        <v>53</v>
      </c>
      <c r="M334">
        <v>2022</v>
      </c>
      <c r="N334" t="s">
        <v>47</v>
      </c>
    </row>
    <row r="335" spans="1:14" x14ac:dyDescent="0.3">
      <c r="A335" s="1">
        <v>45221</v>
      </c>
      <c r="B335" t="s">
        <v>15</v>
      </c>
      <c r="C335" t="s">
        <v>13</v>
      </c>
      <c r="D335" t="s">
        <v>29</v>
      </c>
      <c r="E335">
        <v>21</v>
      </c>
      <c r="F335">
        <v>6083.9</v>
      </c>
      <c r="G335" t="s">
        <v>12</v>
      </c>
      <c r="H335">
        <v>1</v>
      </c>
      <c r="I335">
        <v>1731.11</v>
      </c>
      <c r="J335">
        <v>4352.79</v>
      </c>
      <c r="K335" t="s">
        <v>62</v>
      </c>
      <c r="L335" t="s">
        <v>59</v>
      </c>
      <c r="M335">
        <v>2023</v>
      </c>
      <c r="N335" t="s">
        <v>44</v>
      </c>
    </row>
    <row r="336" spans="1:14" x14ac:dyDescent="0.3">
      <c r="A336" s="1">
        <v>44692</v>
      </c>
      <c r="B336" t="s">
        <v>23</v>
      </c>
      <c r="C336" t="s">
        <v>13</v>
      </c>
      <c r="D336" t="s">
        <v>40</v>
      </c>
      <c r="E336">
        <v>8</v>
      </c>
      <c r="F336">
        <v>2228.06</v>
      </c>
      <c r="G336" t="s">
        <v>12</v>
      </c>
      <c r="H336">
        <v>1</v>
      </c>
      <c r="I336">
        <v>1574.39</v>
      </c>
      <c r="J336">
        <v>653.66999999999996</v>
      </c>
      <c r="K336" t="s">
        <v>56</v>
      </c>
      <c r="L336" t="s">
        <v>51</v>
      </c>
      <c r="M336">
        <v>2022</v>
      </c>
      <c r="N336" t="s">
        <v>44</v>
      </c>
    </row>
    <row r="337" spans="1:14" x14ac:dyDescent="0.3">
      <c r="A337" s="1">
        <v>44564</v>
      </c>
      <c r="B337" t="s">
        <v>15</v>
      </c>
      <c r="C337" t="s">
        <v>21</v>
      </c>
      <c r="D337" t="s">
        <v>36</v>
      </c>
      <c r="E337">
        <v>36</v>
      </c>
      <c r="F337">
        <v>14155.02</v>
      </c>
      <c r="G337" t="s">
        <v>20</v>
      </c>
      <c r="H337">
        <v>5</v>
      </c>
      <c r="I337">
        <v>6161.55</v>
      </c>
      <c r="J337">
        <v>7993.47</v>
      </c>
      <c r="K337" t="s">
        <v>57</v>
      </c>
      <c r="L337" t="s">
        <v>53</v>
      </c>
      <c r="M337">
        <v>2022</v>
      </c>
      <c r="N337" t="s">
        <v>44</v>
      </c>
    </row>
    <row r="338" spans="1:14" x14ac:dyDescent="0.3">
      <c r="A338" s="1">
        <v>45127</v>
      </c>
      <c r="B338" t="s">
        <v>31</v>
      </c>
      <c r="C338" t="s">
        <v>21</v>
      </c>
      <c r="D338" t="s">
        <v>22</v>
      </c>
      <c r="E338">
        <v>46</v>
      </c>
      <c r="F338">
        <v>7071.32</v>
      </c>
      <c r="G338" t="s">
        <v>20</v>
      </c>
      <c r="H338">
        <v>1</v>
      </c>
      <c r="I338">
        <v>3200.53</v>
      </c>
      <c r="J338">
        <v>3870.79</v>
      </c>
      <c r="K338" t="s">
        <v>63</v>
      </c>
      <c r="L338" t="s">
        <v>61</v>
      </c>
      <c r="M338">
        <v>2023</v>
      </c>
      <c r="N338" t="s">
        <v>44</v>
      </c>
    </row>
    <row r="339" spans="1:14" x14ac:dyDescent="0.3">
      <c r="A339" s="1">
        <v>44931</v>
      </c>
      <c r="B339" t="s">
        <v>9</v>
      </c>
      <c r="C339" t="s">
        <v>21</v>
      </c>
      <c r="D339" t="s">
        <v>33</v>
      </c>
      <c r="E339">
        <v>48</v>
      </c>
      <c r="F339">
        <v>6614.07</v>
      </c>
      <c r="G339" t="s">
        <v>12</v>
      </c>
      <c r="H339">
        <v>4</v>
      </c>
      <c r="I339">
        <v>2329.04</v>
      </c>
      <c r="J339">
        <v>4285.03</v>
      </c>
      <c r="K339" t="s">
        <v>57</v>
      </c>
      <c r="L339" t="s">
        <v>53</v>
      </c>
      <c r="M339">
        <v>2023</v>
      </c>
      <c r="N339" t="s">
        <v>44</v>
      </c>
    </row>
    <row r="340" spans="1:14" x14ac:dyDescent="0.3">
      <c r="A340" s="1">
        <v>45069</v>
      </c>
      <c r="B340" t="s">
        <v>18</v>
      </c>
      <c r="C340" t="s">
        <v>13</v>
      </c>
      <c r="D340" t="s">
        <v>14</v>
      </c>
      <c r="E340">
        <v>38</v>
      </c>
      <c r="F340">
        <v>531.97</v>
      </c>
      <c r="G340" t="s">
        <v>12</v>
      </c>
      <c r="H340">
        <v>5</v>
      </c>
      <c r="I340">
        <v>2607.6</v>
      </c>
      <c r="J340">
        <v>-2075.63</v>
      </c>
      <c r="K340" t="s">
        <v>56</v>
      </c>
      <c r="L340" t="s">
        <v>51</v>
      </c>
      <c r="M340">
        <v>2023</v>
      </c>
      <c r="N340" t="s">
        <v>43</v>
      </c>
    </row>
    <row r="341" spans="1:14" x14ac:dyDescent="0.3">
      <c r="A341" s="1">
        <v>44891</v>
      </c>
      <c r="B341" t="s">
        <v>15</v>
      </c>
      <c r="C341" t="s">
        <v>25</v>
      </c>
      <c r="D341" t="s">
        <v>30</v>
      </c>
      <c r="E341">
        <v>14</v>
      </c>
      <c r="F341">
        <v>3819.25</v>
      </c>
      <c r="G341" t="s">
        <v>12</v>
      </c>
      <c r="H341">
        <v>4</v>
      </c>
      <c r="I341">
        <v>1230.56</v>
      </c>
      <c r="J341">
        <v>2588.69</v>
      </c>
      <c r="K341" t="s">
        <v>65</v>
      </c>
      <c r="L341" t="s">
        <v>59</v>
      </c>
      <c r="M341">
        <v>2022</v>
      </c>
      <c r="N341" t="s">
        <v>44</v>
      </c>
    </row>
    <row r="342" spans="1:14" x14ac:dyDescent="0.3">
      <c r="A342" s="1">
        <v>44660</v>
      </c>
      <c r="B342" t="s">
        <v>31</v>
      </c>
      <c r="C342" t="s">
        <v>10</v>
      </c>
      <c r="D342" t="s">
        <v>11</v>
      </c>
      <c r="E342">
        <v>31</v>
      </c>
      <c r="F342">
        <v>6545.6</v>
      </c>
      <c r="G342" t="s">
        <v>12</v>
      </c>
      <c r="H342">
        <v>2</v>
      </c>
      <c r="I342">
        <v>1573.92</v>
      </c>
      <c r="J342">
        <v>4971.68</v>
      </c>
      <c r="K342" t="s">
        <v>55</v>
      </c>
      <c r="L342" t="s">
        <v>51</v>
      </c>
      <c r="M342">
        <v>2022</v>
      </c>
      <c r="N342" t="s">
        <v>44</v>
      </c>
    </row>
    <row r="343" spans="1:14" x14ac:dyDescent="0.3">
      <c r="A343" s="1">
        <v>44880</v>
      </c>
      <c r="B343" t="s">
        <v>18</v>
      </c>
      <c r="C343" t="s">
        <v>10</v>
      </c>
      <c r="D343" t="s">
        <v>28</v>
      </c>
      <c r="E343">
        <v>48</v>
      </c>
      <c r="F343">
        <v>21547.26</v>
      </c>
      <c r="G343" t="s">
        <v>20</v>
      </c>
      <c r="H343">
        <v>5</v>
      </c>
      <c r="I343">
        <v>9876.16</v>
      </c>
      <c r="J343">
        <v>11671.1</v>
      </c>
      <c r="K343" t="s">
        <v>65</v>
      </c>
      <c r="L343" t="s">
        <v>59</v>
      </c>
      <c r="M343">
        <v>2022</v>
      </c>
      <c r="N343" t="s">
        <v>47</v>
      </c>
    </row>
    <row r="344" spans="1:14" x14ac:dyDescent="0.3">
      <c r="A344" s="1">
        <v>44860</v>
      </c>
      <c r="B344" t="s">
        <v>23</v>
      </c>
      <c r="C344" t="s">
        <v>13</v>
      </c>
      <c r="D344" t="s">
        <v>14</v>
      </c>
      <c r="E344">
        <v>3</v>
      </c>
      <c r="F344">
        <v>179.93</v>
      </c>
      <c r="G344" t="s">
        <v>20</v>
      </c>
      <c r="H344">
        <v>1</v>
      </c>
      <c r="I344">
        <v>38.520000000000003</v>
      </c>
      <c r="J344">
        <v>141.41</v>
      </c>
      <c r="K344" t="s">
        <v>62</v>
      </c>
      <c r="L344" t="s">
        <v>59</v>
      </c>
      <c r="M344">
        <v>2022</v>
      </c>
      <c r="N344" t="s">
        <v>47</v>
      </c>
    </row>
    <row r="345" spans="1:14" x14ac:dyDescent="0.3">
      <c r="A345" s="1">
        <v>45142</v>
      </c>
      <c r="B345" t="s">
        <v>9</v>
      </c>
      <c r="C345" t="s">
        <v>10</v>
      </c>
      <c r="D345" t="s">
        <v>34</v>
      </c>
      <c r="E345">
        <v>17</v>
      </c>
      <c r="F345">
        <v>2968.27</v>
      </c>
      <c r="G345" t="s">
        <v>20</v>
      </c>
      <c r="H345">
        <v>1</v>
      </c>
      <c r="I345">
        <v>1310.78</v>
      </c>
      <c r="J345">
        <v>1657.49</v>
      </c>
      <c r="K345" t="s">
        <v>64</v>
      </c>
      <c r="L345" t="s">
        <v>61</v>
      </c>
      <c r="M345">
        <v>2023</v>
      </c>
      <c r="N345" t="s">
        <v>45</v>
      </c>
    </row>
    <row r="346" spans="1:14" x14ac:dyDescent="0.3">
      <c r="A346" s="1">
        <v>45236</v>
      </c>
      <c r="B346" t="s">
        <v>18</v>
      </c>
      <c r="C346" t="s">
        <v>25</v>
      </c>
      <c r="D346" t="s">
        <v>38</v>
      </c>
      <c r="E346">
        <v>17</v>
      </c>
      <c r="F346">
        <v>5371.71</v>
      </c>
      <c r="G346" t="s">
        <v>12</v>
      </c>
      <c r="H346">
        <v>3</v>
      </c>
      <c r="I346">
        <v>3484.51</v>
      </c>
      <c r="J346">
        <v>1887.2</v>
      </c>
      <c r="K346" t="s">
        <v>65</v>
      </c>
      <c r="L346" t="s">
        <v>59</v>
      </c>
      <c r="M346">
        <v>2023</v>
      </c>
      <c r="N346" t="s">
        <v>44</v>
      </c>
    </row>
    <row r="347" spans="1:14" x14ac:dyDescent="0.3">
      <c r="A347" s="1">
        <v>45166</v>
      </c>
      <c r="B347" t="s">
        <v>23</v>
      </c>
      <c r="C347" t="s">
        <v>13</v>
      </c>
      <c r="D347" t="s">
        <v>19</v>
      </c>
      <c r="E347">
        <v>47</v>
      </c>
      <c r="F347">
        <v>17697.169999999998</v>
      </c>
      <c r="G347" t="s">
        <v>20</v>
      </c>
      <c r="H347">
        <v>5</v>
      </c>
      <c r="I347">
        <v>628.79999999999995</v>
      </c>
      <c r="J347">
        <v>17068.37</v>
      </c>
      <c r="K347" t="s">
        <v>64</v>
      </c>
      <c r="L347" t="s">
        <v>61</v>
      </c>
      <c r="M347">
        <v>2023</v>
      </c>
      <c r="N347" t="s">
        <v>44</v>
      </c>
    </row>
    <row r="348" spans="1:14" x14ac:dyDescent="0.3">
      <c r="A348" s="1">
        <v>44858</v>
      </c>
      <c r="B348" t="s">
        <v>23</v>
      </c>
      <c r="C348" t="s">
        <v>13</v>
      </c>
      <c r="D348" t="s">
        <v>14</v>
      </c>
      <c r="E348">
        <v>36</v>
      </c>
      <c r="F348">
        <v>12910.8</v>
      </c>
      <c r="G348" t="s">
        <v>12</v>
      </c>
      <c r="H348">
        <v>3</v>
      </c>
      <c r="I348">
        <v>5841.7</v>
      </c>
      <c r="J348">
        <v>7069.1</v>
      </c>
      <c r="K348" t="s">
        <v>62</v>
      </c>
      <c r="L348" t="s">
        <v>59</v>
      </c>
      <c r="M348">
        <v>2022</v>
      </c>
      <c r="N348" t="s">
        <v>45</v>
      </c>
    </row>
    <row r="349" spans="1:14" x14ac:dyDescent="0.3">
      <c r="A349" s="1">
        <v>44840</v>
      </c>
      <c r="B349" t="s">
        <v>18</v>
      </c>
      <c r="C349" t="s">
        <v>16</v>
      </c>
      <c r="D349" t="s">
        <v>37</v>
      </c>
      <c r="E349">
        <v>10</v>
      </c>
      <c r="F349">
        <v>696.24</v>
      </c>
      <c r="G349" t="s">
        <v>12</v>
      </c>
      <c r="H349">
        <v>5</v>
      </c>
      <c r="I349">
        <v>1355.39</v>
      </c>
      <c r="J349">
        <v>-659.15</v>
      </c>
      <c r="K349" t="s">
        <v>62</v>
      </c>
      <c r="L349" t="s">
        <v>59</v>
      </c>
      <c r="M349">
        <v>2022</v>
      </c>
      <c r="N349" t="s">
        <v>44</v>
      </c>
    </row>
    <row r="350" spans="1:14" x14ac:dyDescent="0.3">
      <c r="A350" s="1">
        <v>45198</v>
      </c>
      <c r="B350" t="s">
        <v>18</v>
      </c>
      <c r="C350" t="s">
        <v>16</v>
      </c>
      <c r="D350" t="s">
        <v>27</v>
      </c>
      <c r="E350">
        <v>2</v>
      </c>
      <c r="F350">
        <v>412.42</v>
      </c>
      <c r="G350" t="s">
        <v>12</v>
      </c>
      <c r="H350">
        <v>3</v>
      </c>
      <c r="I350">
        <v>268.42</v>
      </c>
      <c r="J350">
        <v>144</v>
      </c>
      <c r="K350" t="s">
        <v>60</v>
      </c>
      <c r="L350" t="s">
        <v>61</v>
      </c>
      <c r="M350">
        <v>2023</v>
      </c>
      <c r="N350" t="s">
        <v>44</v>
      </c>
    </row>
    <row r="351" spans="1:14" x14ac:dyDescent="0.3">
      <c r="A351" s="1">
        <v>44752</v>
      </c>
      <c r="B351" t="s">
        <v>23</v>
      </c>
      <c r="C351" t="s">
        <v>25</v>
      </c>
      <c r="D351" t="s">
        <v>38</v>
      </c>
      <c r="E351">
        <v>12</v>
      </c>
      <c r="F351">
        <v>5793.04</v>
      </c>
      <c r="G351" t="s">
        <v>12</v>
      </c>
      <c r="H351">
        <v>2</v>
      </c>
      <c r="I351">
        <v>1949.83</v>
      </c>
      <c r="J351">
        <v>3843.21</v>
      </c>
      <c r="K351" t="s">
        <v>63</v>
      </c>
      <c r="L351" t="s">
        <v>61</v>
      </c>
      <c r="M351">
        <v>2022</v>
      </c>
      <c r="N351" t="s">
        <v>44</v>
      </c>
    </row>
    <row r="352" spans="1:14" x14ac:dyDescent="0.3">
      <c r="A352" s="1">
        <v>45089</v>
      </c>
      <c r="B352" t="s">
        <v>15</v>
      </c>
      <c r="C352" t="s">
        <v>25</v>
      </c>
      <c r="D352" t="s">
        <v>26</v>
      </c>
      <c r="E352">
        <v>45</v>
      </c>
      <c r="F352">
        <v>8357.02</v>
      </c>
      <c r="G352" t="s">
        <v>20</v>
      </c>
      <c r="H352">
        <v>5</v>
      </c>
      <c r="I352">
        <v>10068.52</v>
      </c>
      <c r="J352">
        <v>-1711.5</v>
      </c>
      <c r="K352" t="s">
        <v>50</v>
      </c>
      <c r="L352" t="s">
        <v>51</v>
      </c>
      <c r="M352">
        <v>2023</v>
      </c>
      <c r="N352" t="s">
        <v>45</v>
      </c>
    </row>
    <row r="353" spans="1:14" x14ac:dyDescent="0.3">
      <c r="A353" s="1">
        <v>45009</v>
      </c>
      <c r="B353" t="s">
        <v>15</v>
      </c>
      <c r="C353" t="s">
        <v>13</v>
      </c>
      <c r="D353" t="s">
        <v>14</v>
      </c>
      <c r="E353">
        <v>15</v>
      </c>
      <c r="F353">
        <v>382.38</v>
      </c>
      <c r="G353" t="s">
        <v>12</v>
      </c>
      <c r="H353">
        <v>1</v>
      </c>
      <c r="I353">
        <v>3427.84</v>
      </c>
      <c r="J353">
        <v>-3045.46</v>
      </c>
      <c r="K353" t="s">
        <v>52</v>
      </c>
      <c r="L353" t="s">
        <v>53</v>
      </c>
      <c r="M353">
        <v>2023</v>
      </c>
      <c r="N353" t="s">
        <v>45</v>
      </c>
    </row>
    <row r="354" spans="1:14" x14ac:dyDescent="0.3">
      <c r="A354" s="1">
        <v>44961</v>
      </c>
      <c r="B354" t="s">
        <v>15</v>
      </c>
      <c r="C354" t="s">
        <v>10</v>
      </c>
      <c r="D354" t="s">
        <v>28</v>
      </c>
      <c r="E354">
        <v>14</v>
      </c>
      <c r="F354">
        <v>2251.04</v>
      </c>
      <c r="G354" t="s">
        <v>20</v>
      </c>
      <c r="H354">
        <v>2</v>
      </c>
      <c r="I354">
        <v>2570.9</v>
      </c>
      <c r="J354">
        <v>-319.86</v>
      </c>
      <c r="K354" t="s">
        <v>54</v>
      </c>
      <c r="L354" t="s">
        <v>53</v>
      </c>
      <c r="M354">
        <v>2023</v>
      </c>
      <c r="N354" t="s">
        <v>45</v>
      </c>
    </row>
    <row r="355" spans="1:14" x14ac:dyDescent="0.3">
      <c r="A355" s="1">
        <v>45142</v>
      </c>
      <c r="B355" t="s">
        <v>9</v>
      </c>
      <c r="C355" t="s">
        <v>10</v>
      </c>
      <c r="D355" t="s">
        <v>34</v>
      </c>
      <c r="E355">
        <v>31</v>
      </c>
      <c r="F355">
        <v>7265.78</v>
      </c>
      <c r="G355" t="s">
        <v>12</v>
      </c>
      <c r="H355">
        <v>2</v>
      </c>
      <c r="I355">
        <v>4587.03</v>
      </c>
      <c r="J355">
        <v>2678.75</v>
      </c>
      <c r="K355" t="s">
        <v>64</v>
      </c>
      <c r="L355" t="s">
        <v>61</v>
      </c>
      <c r="M355">
        <v>2023</v>
      </c>
      <c r="N355" t="s">
        <v>44</v>
      </c>
    </row>
    <row r="356" spans="1:14" x14ac:dyDescent="0.3">
      <c r="A356" s="1">
        <v>44937</v>
      </c>
      <c r="B356" t="s">
        <v>31</v>
      </c>
      <c r="C356" t="s">
        <v>16</v>
      </c>
      <c r="D356" t="s">
        <v>27</v>
      </c>
      <c r="E356">
        <v>42</v>
      </c>
      <c r="F356">
        <v>9768.7199999999993</v>
      </c>
      <c r="G356" t="s">
        <v>12</v>
      </c>
      <c r="H356">
        <v>3</v>
      </c>
      <c r="I356">
        <v>7235.91</v>
      </c>
      <c r="J356">
        <v>2532.81</v>
      </c>
      <c r="K356" t="s">
        <v>57</v>
      </c>
      <c r="L356" t="s">
        <v>53</v>
      </c>
      <c r="M356">
        <v>2023</v>
      </c>
      <c r="N356" t="s">
        <v>45</v>
      </c>
    </row>
    <row r="357" spans="1:14" x14ac:dyDescent="0.3">
      <c r="A357" s="1">
        <v>45082</v>
      </c>
      <c r="B357" t="s">
        <v>18</v>
      </c>
      <c r="C357" t="s">
        <v>16</v>
      </c>
      <c r="D357" t="s">
        <v>17</v>
      </c>
      <c r="E357">
        <v>38</v>
      </c>
      <c r="F357">
        <v>18773.87</v>
      </c>
      <c r="G357" t="s">
        <v>12</v>
      </c>
      <c r="H357">
        <v>2</v>
      </c>
      <c r="I357">
        <v>5212.4399999999996</v>
      </c>
      <c r="J357">
        <v>13561.43</v>
      </c>
      <c r="K357" t="s">
        <v>50</v>
      </c>
      <c r="L357" t="s">
        <v>51</v>
      </c>
      <c r="M357">
        <v>2023</v>
      </c>
      <c r="N357" t="s">
        <v>45</v>
      </c>
    </row>
    <row r="358" spans="1:14" x14ac:dyDescent="0.3">
      <c r="A358" s="1">
        <v>45287</v>
      </c>
      <c r="B358" t="s">
        <v>15</v>
      </c>
      <c r="C358" t="s">
        <v>16</v>
      </c>
      <c r="D358" t="s">
        <v>17</v>
      </c>
      <c r="E358">
        <v>35</v>
      </c>
      <c r="F358">
        <v>11689.44</v>
      </c>
      <c r="G358" t="s">
        <v>20</v>
      </c>
      <c r="H358">
        <v>1</v>
      </c>
      <c r="I358">
        <v>7320.71</v>
      </c>
      <c r="J358">
        <v>4368.7299999999996</v>
      </c>
      <c r="K358" t="s">
        <v>58</v>
      </c>
      <c r="L358" t="s">
        <v>59</v>
      </c>
      <c r="M358">
        <v>2023</v>
      </c>
      <c r="N358" t="s">
        <v>45</v>
      </c>
    </row>
    <row r="359" spans="1:14" x14ac:dyDescent="0.3">
      <c r="A359" s="1">
        <v>45249</v>
      </c>
      <c r="B359" t="s">
        <v>31</v>
      </c>
      <c r="C359" t="s">
        <v>10</v>
      </c>
      <c r="D359" t="s">
        <v>11</v>
      </c>
      <c r="E359">
        <v>49</v>
      </c>
      <c r="F359">
        <v>17583.650000000001</v>
      </c>
      <c r="G359" t="s">
        <v>12</v>
      </c>
      <c r="H359">
        <v>4</v>
      </c>
      <c r="I359">
        <v>4971.3500000000004</v>
      </c>
      <c r="J359">
        <v>12612.3</v>
      </c>
      <c r="K359" t="s">
        <v>65</v>
      </c>
      <c r="L359" t="s">
        <v>59</v>
      </c>
      <c r="M359">
        <v>2023</v>
      </c>
      <c r="N359" t="s">
        <v>44</v>
      </c>
    </row>
    <row r="360" spans="1:14" x14ac:dyDescent="0.3">
      <c r="A360" s="1">
        <v>45143</v>
      </c>
      <c r="B360" t="s">
        <v>23</v>
      </c>
      <c r="C360" t="s">
        <v>16</v>
      </c>
      <c r="D360" t="s">
        <v>37</v>
      </c>
      <c r="E360">
        <v>20</v>
      </c>
      <c r="F360">
        <v>4844.7299999999996</v>
      </c>
      <c r="G360" t="s">
        <v>12</v>
      </c>
      <c r="H360">
        <v>1</v>
      </c>
      <c r="I360">
        <v>4241.8599999999997</v>
      </c>
      <c r="J360">
        <v>602.87</v>
      </c>
      <c r="K360" t="s">
        <v>64</v>
      </c>
      <c r="L360" t="s">
        <v>61</v>
      </c>
      <c r="M360">
        <v>2023</v>
      </c>
      <c r="N360" t="s">
        <v>45</v>
      </c>
    </row>
    <row r="361" spans="1:14" x14ac:dyDescent="0.3">
      <c r="A361" s="1">
        <v>44916</v>
      </c>
      <c r="B361" t="s">
        <v>9</v>
      </c>
      <c r="C361" t="s">
        <v>13</v>
      </c>
      <c r="D361" t="s">
        <v>14</v>
      </c>
      <c r="E361">
        <v>23</v>
      </c>
      <c r="F361">
        <v>5878.76</v>
      </c>
      <c r="G361" t="s">
        <v>20</v>
      </c>
      <c r="H361">
        <v>2</v>
      </c>
      <c r="I361">
        <v>2789.62</v>
      </c>
      <c r="J361">
        <v>3089.14</v>
      </c>
      <c r="K361" t="s">
        <v>58</v>
      </c>
      <c r="L361" t="s">
        <v>59</v>
      </c>
      <c r="M361">
        <v>2022</v>
      </c>
      <c r="N361" t="s">
        <v>45</v>
      </c>
    </row>
    <row r="362" spans="1:14" x14ac:dyDescent="0.3">
      <c r="A362" s="1">
        <v>44939</v>
      </c>
      <c r="B362" t="s">
        <v>18</v>
      </c>
      <c r="C362" t="s">
        <v>13</v>
      </c>
      <c r="D362" t="s">
        <v>40</v>
      </c>
      <c r="E362">
        <v>22</v>
      </c>
      <c r="F362">
        <v>1805.91</v>
      </c>
      <c r="G362" t="s">
        <v>12</v>
      </c>
      <c r="H362">
        <v>5</v>
      </c>
      <c r="I362">
        <v>595.19000000000005</v>
      </c>
      <c r="J362">
        <v>1210.72</v>
      </c>
      <c r="K362" t="s">
        <v>57</v>
      </c>
      <c r="L362" t="s">
        <v>53</v>
      </c>
      <c r="M362">
        <v>2023</v>
      </c>
      <c r="N362" t="s">
        <v>44</v>
      </c>
    </row>
    <row r="363" spans="1:14" x14ac:dyDescent="0.3">
      <c r="A363" s="1">
        <v>44956</v>
      </c>
      <c r="B363" t="s">
        <v>31</v>
      </c>
      <c r="C363" t="s">
        <v>25</v>
      </c>
      <c r="D363" t="s">
        <v>26</v>
      </c>
      <c r="E363">
        <v>34</v>
      </c>
      <c r="F363">
        <v>15855.99</v>
      </c>
      <c r="G363" t="s">
        <v>20</v>
      </c>
      <c r="H363">
        <v>3</v>
      </c>
      <c r="I363">
        <v>7683.1</v>
      </c>
      <c r="J363">
        <v>8172.89</v>
      </c>
      <c r="K363" t="s">
        <v>57</v>
      </c>
      <c r="L363" t="s">
        <v>53</v>
      </c>
      <c r="M363">
        <v>2023</v>
      </c>
      <c r="N363" t="s">
        <v>44</v>
      </c>
    </row>
    <row r="364" spans="1:14" x14ac:dyDescent="0.3">
      <c r="A364" s="1">
        <v>44584</v>
      </c>
      <c r="B364" t="s">
        <v>31</v>
      </c>
      <c r="C364" t="s">
        <v>16</v>
      </c>
      <c r="D364" t="s">
        <v>17</v>
      </c>
      <c r="E364">
        <v>40</v>
      </c>
      <c r="F364">
        <v>13967.14</v>
      </c>
      <c r="G364" t="s">
        <v>20</v>
      </c>
      <c r="H364">
        <v>5</v>
      </c>
      <c r="I364">
        <v>1180.31</v>
      </c>
      <c r="J364">
        <v>12786.83</v>
      </c>
      <c r="K364" t="s">
        <v>57</v>
      </c>
      <c r="L364" t="s">
        <v>53</v>
      </c>
      <c r="M364">
        <v>2022</v>
      </c>
      <c r="N364" t="s">
        <v>45</v>
      </c>
    </row>
    <row r="365" spans="1:14" x14ac:dyDescent="0.3">
      <c r="A365" s="1">
        <v>45154</v>
      </c>
      <c r="B365" t="s">
        <v>9</v>
      </c>
      <c r="C365" t="s">
        <v>25</v>
      </c>
      <c r="D365" t="s">
        <v>39</v>
      </c>
      <c r="E365">
        <v>7</v>
      </c>
      <c r="F365">
        <v>570.85</v>
      </c>
      <c r="G365" t="s">
        <v>12</v>
      </c>
      <c r="H365">
        <v>5</v>
      </c>
      <c r="I365">
        <v>203.4</v>
      </c>
      <c r="J365">
        <v>367.45</v>
      </c>
      <c r="K365" t="s">
        <v>64</v>
      </c>
      <c r="L365" t="s">
        <v>61</v>
      </c>
      <c r="M365">
        <v>2023</v>
      </c>
      <c r="N365" t="s">
        <v>45</v>
      </c>
    </row>
    <row r="366" spans="1:14" x14ac:dyDescent="0.3">
      <c r="A366" s="1">
        <v>44721</v>
      </c>
      <c r="B366" t="s">
        <v>15</v>
      </c>
      <c r="C366" t="s">
        <v>21</v>
      </c>
      <c r="D366" t="s">
        <v>36</v>
      </c>
      <c r="E366">
        <v>18</v>
      </c>
      <c r="F366">
        <v>2486.08</v>
      </c>
      <c r="G366" t="s">
        <v>12</v>
      </c>
      <c r="H366">
        <v>5</v>
      </c>
      <c r="I366">
        <v>3471</v>
      </c>
      <c r="J366">
        <v>-984.92</v>
      </c>
      <c r="K366" t="s">
        <v>50</v>
      </c>
      <c r="L366" t="s">
        <v>51</v>
      </c>
      <c r="M366">
        <v>2022</v>
      </c>
      <c r="N366" t="s">
        <v>45</v>
      </c>
    </row>
    <row r="367" spans="1:14" x14ac:dyDescent="0.3">
      <c r="A367" s="1">
        <v>45038</v>
      </c>
      <c r="B367" t="s">
        <v>23</v>
      </c>
      <c r="C367" t="s">
        <v>13</v>
      </c>
      <c r="D367" t="s">
        <v>40</v>
      </c>
      <c r="E367">
        <v>9</v>
      </c>
      <c r="F367">
        <v>531.45000000000005</v>
      </c>
      <c r="G367" t="s">
        <v>20</v>
      </c>
      <c r="H367">
        <v>4</v>
      </c>
      <c r="I367">
        <v>910.43</v>
      </c>
      <c r="J367">
        <v>-378.98</v>
      </c>
      <c r="K367" t="s">
        <v>55</v>
      </c>
      <c r="L367" t="s">
        <v>51</v>
      </c>
      <c r="M367">
        <v>2023</v>
      </c>
      <c r="N367" t="s">
        <v>45</v>
      </c>
    </row>
    <row r="368" spans="1:14" x14ac:dyDescent="0.3">
      <c r="A368" s="1">
        <v>45097</v>
      </c>
      <c r="B368" t="s">
        <v>18</v>
      </c>
      <c r="C368" t="s">
        <v>16</v>
      </c>
      <c r="D368" t="s">
        <v>37</v>
      </c>
      <c r="E368">
        <v>18</v>
      </c>
      <c r="F368">
        <v>8413.65</v>
      </c>
      <c r="G368" t="s">
        <v>12</v>
      </c>
      <c r="H368">
        <v>3</v>
      </c>
      <c r="I368">
        <v>328.84</v>
      </c>
      <c r="J368">
        <v>8084.81</v>
      </c>
      <c r="K368" t="s">
        <v>50</v>
      </c>
      <c r="L368" t="s">
        <v>51</v>
      </c>
      <c r="M368">
        <v>2023</v>
      </c>
      <c r="N368" t="s">
        <v>44</v>
      </c>
    </row>
    <row r="369" spans="1:14" x14ac:dyDescent="0.3">
      <c r="A369" s="1">
        <v>44626</v>
      </c>
      <c r="B369" t="s">
        <v>9</v>
      </c>
      <c r="C369" t="s">
        <v>13</v>
      </c>
      <c r="D369" t="s">
        <v>19</v>
      </c>
      <c r="E369">
        <v>39</v>
      </c>
      <c r="F369">
        <v>2857.47</v>
      </c>
      <c r="G369" t="s">
        <v>12</v>
      </c>
      <c r="H369">
        <v>5</v>
      </c>
      <c r="I369">
        <v>7190.77</v>
      </c>
      <c r="J369">
        <v>-4333.3</v>
      </c>
      <c r="K369" t="s">
        <v>52</v>
      </c>
      <c r="L369" t="s">
        <v>53</v>
      </c>
      <c r="M369">
        <v>2022</v>
      </c>
      <c r="N369" t="s">
        <v>43</v>
      </c>
    </row>
    <row r="370" spans="1:14" x14ac:dyDescent="0.3">
      <c r="A370" s="1">
        <v>44783</v>
      </c>
      <c r="B370" t="s">
        <v>23</v>
      </c>
      <c r="C370" t="s">
        <v>25</v>
      </c>
      <c r="D370" t="s">
        <v>30</v>
      </c>
      <c r="E370">
        <v>43</v>
      </c>
      <c r="F370">
        <v>17232.45</v>
      </c>
      <c r="G370" t="s">
        <v>12</v>
      </c>
      <c r="H370">
        <v>1</v>
      </c>
      <c r="I370">
        <v>1721.78</v>
      </c>
      <c r="J370">
        <v>15510.67</v>
      </c>
      <c r="K370" t="s">
        <v>64</v>
      </c>
      <c r="L370" t="s">
        <v>61</v>
      </c>
      <c r="M370">
        <v>2022</v>
      </c>
      <c r="N370" t="s">
        <v>44</v>
      </c>
    </row>
    <row r="371" spans="1:14" x14ac:dyDescent="0.3">
      <c r="A371" s="1">
        <v>45222</v>
      </c>
      <c r="B371" t="s">
        <v>18</v>
      </c>
      <c r="C371" t="s">
        <v>13</v>
      </c>
      <c r="D371" t="s">
        <v>29</v>
      </c>
      <c r="E371">
        <v>44</v>
      </c>
      <c r="F371">
        <v>20514.66</v>
      </c>
      <c r="G371" t="s">
        <v>12</v>
      </c>
      <c r="H371">
        <v>5</v>
      </c>
      <c r="I371">
        <v>2210.1999999999998</v>
      </c>
      <c r="J371">
        <v>18304.46</v>
      </c>
      <c r="K371" t="s">
        <v>62</v>
      </c>
      <c r="L371" t="s">
        <v>59</v>
      </c>
      <c r="M371">
        <v>2023</v>
      </c>
      <c r="N371" t="s">
        <v>43</v>
      </c>
    </row>
    <row r="372" spans="1:14" x14ac:dyDescent="0.3">
      <c r="A372" s="1">
        <v>44881</v>
      </c>
      <c r="B372" t="s">
        <v>9</v>
      </c>
      <c r="C372" t="s">
        <v>13</v>
      </c>
      <c r="D372" t="s">
        <v>14</v>
      </c>
      <c r="E372">
        <v>30</v>
      </c>
      <c r="F372">
        <v>14840.77</v>
      </c>
      <c r="G372" t="s">
        <v>12</v>
      </c>
      <c r="H372">
        <v>2</v>
      </c>
      <c r="I372">
        <v>2835.75</v>
      </c>
      <c r="J372">
        <v>12005.02</v>
      </c>
      <c r="K372" t="s">
        <v>65</v>
      </c>
      <c r="L372" t="s">
        <v>59</v>
      </c>
      <c r="M372">
        <v>2022</v>
      </c>
      <c r="N372" t="s">
        <v>44</v>
      </c>
    </row>
    <row r="373" spans="1:14" x14ac:dyDescent="0.3">
      <c r="A373" s="1">
        <v>45135</v>
      </c>
      <c r="B373" t="s">
        <v>18</v>
      </c>
      <c r="C373" t="s">
        <v>10</v>
      </c>
      <c r="D373" t="s">
        <v>35</v>
      </c>
      <c r="E373">
        <v>22</v>
      </c>
      <c r="F373">
        <v>5192.7299999999996</v>
      </c>
      <c r="G373" t="s">
        <v>12</v>
      </c>
      <c r="H373">
        <v>1</v>
      </c>
      <c r="I373">
        <v>2004.47</v>
      </c>
      <c r="J373">
        <v>3188.26</v>
      </c>
      <c r="K373" t="s">
        <v>63</v>
      </c>
      <c r="L373" t="s">
        <v>61</v>
      </c>
      <c r="M373">
        <v>2023</v>
      </c>
      <c r="N373" t="s">
        <v>45</v>
      </c>
    </row>
    <row r="374" spans="1:14" x14ac:dyDescent="0.3">
      <c r="A374" s="1">
        <v>45097</v>
      </c>
      <c r="B374" t="s">
        <v>18</v>
      </c>
      <c r="C374" t="s">
        <v>10</v>
      </c>
      <c r="D374" t="s">
        <v>35</v>
      </c>
      <c r="E374">
        <v>41</v>
      </c>
      <c r="F374">
        <v>19582.03</v>
      </c>
      <c r="G374" t="s">
        <v>12</v>
      </c>
      <c r="H374">
        <v>5</v>
      </c>
      <c r="I374">
        <v>2286.62</v>
      </c>
      <c r="J374">
        <v>17295.41</v>
      </c>
      <c r="K374" t="s">
        <v>50</v>
      </c>
      <c r="L374" t="s">
        <v>51</v>
      </c>
      <c r="M374">
        <v>2023</v>
      </c>
      <c r="N374" t="s">
        <v>44</v>
      </c>
    </row>
    <row r="375" spans="1:14" x14ac:dyDescent="0.3">
      <c r="A375" s="1">
        <v>44927</v>
      </c>
      <c r="B375" t="s">
        <v>18</v>
      </c>
      <c r="C375" t="s">
        <v>21</v>
      </c>
      <c r="D375" t="s">
        <v>33</v>
      </c>
      <c r="E375">
        <v>30</v>
      </c>
      <c r="F375">
        <v>8658.7900000000009</v>
      </c>
      <c r="G375" t="s">
        <v>20</v>
      </c>
      <c r="H375">
        <v>1</v>
      </c>
      <c r="I375">
        <v>2535.1999999999998</v>
      </c>
      <c r="J375">
        <v>6123.59</v>
      </c>
      <c r="K375" t="s">
        <v>57</v>
      </c>
      <c r="L375" t="s">
        <v>53</v>
      </c>
      <c r="M375">
        <v>2023</v>
      </c>
      <c r="N375" t="s">
        <v>44</v>
      </c>
    </row>
    <row r="376" spans="1:14" x14ac:dyDescent="0.3">
      <c r="A376" s="1">
        <v>44862</v>
      </c>
      <c r="B376" t="s">
        <v>23</v>
      </c>
      <c r="C376" t="s">
        <v>10</v>
      </c>
      <c r="D376" t="s">
        <v>28</v>
      </c>
      <c r="E376">
        <v>1</v>
      </c>
      <c r="F376">
        <v>210.42</v>
      </c>
      <c r="G376" t="s">
        <v>12</v>
      </c>
      <c r="H376">
        <v>5</v>
      </c>
      <c r="I376">
        <v>134.4</v>
      </c>
      <c r="J376">
        <v>76.02</v>
      </c>
      <c r="K376" t="s">
        <v>62</v>
      </c>
      <c r="L376" t="s">
        <v>59</v>
      </c>
      <c r="M376">
        <v>2022</v>
      </c>
      <c r="N376" t="s">
        <v>44</v>
      </c>
    </row>
    <row r="377" spans="1:14" x14ac:dyDescent="0.3">
      <c r="A377" s="1">
        <v>44895</v>
      </c>
      <c r="B377" t="s">
        <v>31</v>
      </c>
      <c r="C377" t="s">
        <v>13</v>
      </c>
      <c r="D377" t="s">
        <v>40</v>
      </c>
      <c r="E377">
        <v>22</v>
      </c>
      <c r="F377">
        <v>1957.1</v>
      </c>
      <c r="G377" t="s">
        <v>12</v>
      </c>
      <c r="H377">
        <v>2</v>
      </c>
      <c r="I377">
        <v>3798.32</v>
      </c>
      <c r="J377">
        <v>-1841.22</v>
      </c>
      <c r="K377" t="s">
        <v>65</v>
      </c>
      <c r="L377" t="s">
        <v>59</v>
      </c>
      <c r="M377">
        <v>2022</v>
      </c>
      <c r="N377" t="s">
        <v>44</v>
      </c>
    </row>
    <row r="378" spans="1:14" x14ac:dyDescent="0.3">
      <c r="A378" s="1">
        <v>45282</v>
      </c>
      <c r="B378" t="s">
        <v>9</v>
      </c>
      <c r="C378" t="s">
        <v>25</v>
      </c>
      <c r="D378" t="s">
        <v>26</v>
      </c>
      <c r="E378">
        <v>20</v>
      </c>
      <c r="F378">
        <v>8455.3700000000008</v>
      </c>
      <c r="G378" t="s">
        <v>20</v>
      </c>
      <c r="H378">
        <v>4</v>
      </c>
      <c r="I378">
        <v>3737.5</v>
      </c>
      <c r="J378">
        <v>4717.87</v>
      </c>
      <c r="K378" t="s">
        <v>58</v>
      </c>
      <c r="L378" t="s">
        <v>59</v>
      </c>
      <c r="M378">
        <v>2023</v>
      </c>
      <c r="N378" t="s">
        <v>44</v>
      </c>
    </row>
    <row r="379" spans="1:14" x14ac:dyDescent="0.3">
      <c r="A379" s="1">
        <v>45057</v>
      </c>
      <c r="B379" t="s">
        <v>23</v>
      </c>
      <c r="C379" t="s">
        <v>21</v>
      </c>
      <c r="D379" t="s">
        <v>33</v>
      </c>
      <c r="E379">
        <v>40</v>
      </c>
      <c r="F379">
        <v>2986.74</v>
      </c>
      <c r="G379" t="s">
        <v>12</v>
      </c>
      <c r="H379">
        <v>1</v>
      </c>
      <c r="I379">
        <v>9374.59</v>
      </c>
      <c r="J379">
        <v>-6387.85</v>
      </c>
      <c r="K379" t="s">
        <v>56</v>
      </c>
      <c r="L379" t="s">
        <v>51</v>
      </c>
      <c r="M379">
        <v>2023</v>
      </c>
      <c r="N379" t="s">
        <v>44</v>
      </c>
    </row>
    <row r="380" spans="1:14" x14ac:dyDescent="0.3">
      <c r="A380" s="1">
        <v>44601</v>
      </c>
      <c r="B380" t="s">
        <v>15</v>
      </c>
      <c r="C380" t="s">
        <v>21</v>
      </c>
      <c r="D380" t="s">
        <v>32</v>
      </c>
      <c r="E380">
        <v>24</v>
      </c>
      <c r="F380">
        <v>3489.36</v>
      </c>
      <c r="G380" t="s">
        <v>12</v>
      </c>
      <c r="H380">
        <v>3</v>
      </c>
      <c r="I380">
        <v>5414.25</v>
      </c>
      <c r="J380">
        <v>-1924.89</v>
      </c>
      <c r="K380" t="s">
        <v>54</v>
      </c>
      <c r="L380" t="s">
        <v>53</v>
      </c>
      <c r="M380">
        <v>2022</v>
      </c>
      <c r="N380" t="s">
        <v>44</v>
      </c>
    </row>
    <row r="381" spans="1:14" x14ac:dyDescent="0.3">
      <c r="A381" s="1">
        <v>45082</v>
      </c>
      <c r="B381" t="s">
        <v>31</v>
      </c>
      <c r="C381" t="s">
        <v>25</v>
      </c>
      <c r="D381" t="s">
        <v>38</v>
      </c>
      <c r="E381">
        <v>30</v>
      </c>
      <c r="F381">
        <v>14453.64</v>
      </c>
      <c r="G381" t="s">
        <v>12</v>
      </c>
      <c r="H381">
        <v>4</v>
      </c>
      <c r="I381">
        <v>1258.4000000000001</v>
      </c>
      <c r="J381">
        <v>13195.24</v>
      </c>
      <c r="K381" t="s">
        <v>50</v>
      </c>
      <c r="L381" t="s">
        <v>51</v>
      </c>
      <c r="M381">
        <v>2023</v>
      </c>
      <c r="N381" t="s">
        <v>44</v>
      </c>
    </row>
    <row r="382" spans="1:14" x14ac:dyDescent="0.3">
      <c r="A382" s="1">
        <v>45184</v>
      </c>
      <c r="B382" t="s">
        <v>31</v>
      </c>
      <c r="C382" t="s">
        <v>16</v>
      </c>
      <c r="D382" t="s">
        <v>37</v>
      </c>
      <c r="E382">
        <v>6</v>
      </c>
      <c r="F382">
        <v>1409.28</v>
      </c>
      <c r="G382" t="s">
        <v>12</v>
      </c>
      <c r="H382">
        <v>3</v>
      </c>
      <c r="I382">
        <v>640.24</v>
      </c>
      <c r="J382">
        <v>769.04</v>
      </c>
      <c r="K382" t="s">
        <v>60</v>
      </c>
      <c r="L382" t="s">
        <v>61</v>
      </c>
      <c r="M382">
        <v>2023</v>
      </c>
      <c r="N382" t="s">
        <v>44</v>
      </c>
    </row>
    <row r="383" spans="1:14" x14ac:dyDescent="0.3">
      <c r="A383" s="1">
        <v>45160</v>
      </c>
      <c r="B383" t="s">
        <v>18</v>
      </c>
      <c r="C383" t="s">
        <v>21</v>
      </c>
      <c r="D383" t="s">
        <v>33</v>
      </c>
      <c r="E383">
        <v>1</v>
      </c>
      <c r="F383">
        <v>461.44</v>
      </c>
      <c r="G383" t="s">
        <v>12</v>
      </c>
      <c r="H383">
        <v>2</v>
      </c>
      <c r="I383">
        <v>24.23</v>
      </c>
      <c r="J383">
        <v>437.21</v>
      </c>
      <c r="K383" t="s">
        <v>64</v>
      </c>
      <c r="L383" t="s">
        <v>61</v>
      </c>
      <c r="M383">
        <v>2023</v>
      </c>
      <c r="N383" t="s">
        <v>43</v>
      </c>
    </row>
    <row r="384" spans="1:14" x14ac:dyDescent="0.3">
      <c r="A384" s="1">
        <v>44722</v>
      </c>
      <c r="B384" t="s">
        <v>15</v>
      </c>
      <c r="C384" t="s">
        <v>13</v>
      </c>
      <c r="D384" t="s">
        <v>29</v>
      </c>
      <c r="E384">
        <v>50</v>
      </c>
      <c r="F384">
        <v>11598.03</v>
      </c>
      <c r="G384" t="s">
        <v>12</v>
      </c>
      <c r="H384">
        <v>4</v>
      </c>
      <c r="I384">
        <v>5284.22</v>
      </c>
      <c r="J384">
        <v>6313.81</v>
      </c>
      <c r="K384" t="s">
        <v>50</v>
      </c>
      <c r="L384" t="s">
        <v>51</v>
      </c>
      <c r="M384">
        <v>2022</v>
      </c>
      <c r="N384" t="s">
        <v>45</v>
      </c>
    </row>
    <row r="385" spans="1:14" x14ac:dyDescent="0.3">
      <c r="A385" s="1">
        <v>45193</v>
      </c>
      <c r="B385" t="s">
        <v>9</v>
      </c>
      <c r="C385" t="s">
        <v>25</v>
      </c>
      <c r="D385" t="s">
        <v>38</v>
      </c>
      <c r="E385">
        <v>14</v>
      </c>
      <c r="F385">
        <v>5997.51</v>
      </c>
      <c r="G385" t="s">
        <v>12</v>
      </c>
      <c r="H385">
        <v>3</v>
      </c>
      <c r="I385">
        <v>280.92</v>
      </c>
      <c r="J385">
        <v>5716.59</v>
      </c>
      <c r="K385" t="s">
        <v>60</v>
      </c>
      <c r="L385" t="s">
        <v>61</v>
      </c>
      <c r="M385">
        <v>2023</v>
      </c>
      <c r="N385" t="s">
        <v>44</v>
      </c>
    </row>
    <row r="386" spans="1:14" x14ac:dyDescent="0.3">
      <c r="A386" s="1">
        <v>44932</v>
      </c>
      <c r="B386" t="s">
        <v>18</v>
      </c>
      <c r="C386" t="s">
        <v>16</v>
      </c>
      <c r="D386" t="s">
        <v>27</v>
      </c>
      <c r="E386">
        <v>35</v>
      </c>
      <c r="F386">
        <v>4680.2700000000004</v>
      </c>
      <c r="G386" t="s">
        <v>20</v>
      </c>
      <c r="H386">
        <v>5</v>
      </c>
      <c r="I386">
        <v>1412.05</v>
      </c>
      <c r="J386">
        <v>3268.22</v>
      </c>
      <c r="K386" t="s">
        <v>57</v>
      </c>
      <c r="L386" t="s">
        <v>53</v>
      </c>
      <c r="M386">
        <v>2023</v>
      </c>
      <c r="N386" t="s">
        <v>44</v>
      </c>
    </row>
    <row r="387" spans="1:14" x14ac:dyDescent="0.3">
      <c r="A387" s="1">
        <v>44593</v>
      </c>
      <c r="B387" t="s">
        <v>18</v>
      </c>
      <c r="C387" t="s">
        <v>25</v>
      </c>
      <c r="D387" t="s">
        <v>26</v>
      </c>
      <c r="E387">
        <v>47</v>
      </c>
      <c r="F387">
        <v>23032.400000000001</v>
      </c>
      <c r="G387" t="s">
        <v>12</v>
      </c>
      <c r="H387">
        <v>5</v>
      </c>
      <c r="I387">
        <v>8096.19</v>
      </c>
      <c r="J387">
        <v>14936.21</v>
      </c>
      <c r="K387" t="s">
        <v>54</v>
      </c>
      <c r="L387" t="s">
        <v>53</v>
      </c>
      <c r="M387">
        <v>2022</v>
      </c>
      <c r="N387" t="s">
        <v>46</v>
      </c>
    </row>
    <row r="388" spans="1:14" x14ac:dyDescent="0.3">
      <c r="A388" s="1">
        <v>45210</v>
      </c>
      <c r="B388" t="s">
        <v>23</v>
      </c>
      <c r="C388" t="s">
        <v>13</v>
      </c>
      <c r="D388" t="s">
        <v>40</v>
      </c>
      <c r="E388">
        <v>47</v>
      </c>
      <c r="F388">
        <v>14222.06</v>
      </c>
      <c r="G388" t="s">
        <v>20</v>
      </c>
      <c r="H388">
        <v>5</v>
      </c>
      <c r="I388">
        <v>11722.86</v>
      </c>
      <c r="J388">
        <v>2499.1999999999998</v>
      </c>
      <c r="K388" t="s">
        <v>62</v>
      </c>
      <c r="L388" t="s">
        <v>59</v>
      </c>
      <c r="M388">
        <v>2023</v>
      </c>
      <c r="N388" t="s">
        <v>44</v>
      </c>
    </row>
    <row r="389" spans="1:14" x14ac:dyDescent="0.3">
      <c r="A389" s="1">
        <v>45265</v>
      </c>
      <c r="B389" t="s">
        <v>15</v>
      </c>
      <c r="C389" t="s">
        <v>16</v>
      </c>
      <c r="D389" t="s">
        <v>24</v>
      </c>
      <c r="E389">
        <v>41</v>
      </c>
      <c r="F389">
        <v>4641.2299999999996</v>
      </c>
      <c r="G389" t="s">
        <v>12</v>
      </c>
      <c r="H389">
        <v>3</v>
      </c>
      <c r="I389">
        <v>7618.64</v>
      </c>
      <c r="J389">
        <v>-2977.41</v>
      </c>
      <c r="K389" t="s">
        <v>58</v>
      </c>
      <c r="L389" t="s">
        <v>59</v>
      </c>
      <c r="M389">
        <v>2023</v>
      </c>
      <c r="N389" t="s">
        <v>44</v>
      </c>
    </row>
    <row r="390" spans="1:14" x14ac:dyDescent="0.3">
      <c r="A390" s="1">
        <v>44607</v>
      </c>
      <c r="B390" t="s">
        <v>15</v>
      </c>
      <c r="C390" t="s">
        <v>16</v>
      </c>
      <c r="D390" t="s">
        <v>27</v>
      </c>
      <c r="E390">
        <v>31</v>
      </c>
      <c r="F390">
        <v>11007.55</v>
      </c>
      <c r="G390" t="s">
        <v>20</v>
      </c>
      <c r="H390">
        <v>3</v>
      </c>
      <c r="I390">
        <v>7314.55</v>
      </c>
      <c r="J390">
        <v>3693</v>
      </c>
      <c r="K390" t="s">
        <v>54</v>
      </c>
      <c r="L390" t="s">
        <v>53</v>
      </c>
      <c r="M390">
        <v>2022</v>
      </c>
      <c r="N390" t="s">
        <v>45</v>
      </c>
    </row>
    <row r="391" spans="1:14" x14ac:dyDescent="0.3">
      <c r="A391" s="1">
        <v>44975</v>
      </c>
      <c r="B391" t="s">
        <v>9</v>
      </c>
      <c r="C391" t="s">
        <v>13</v>
      </c>
      <c r="D391" t="s">
        <v>19</v>
      </c>
      <c r="E391">
        <v>30</v>
      </c>
      <c r="F391">
        <v>2286.1999999999998</v>
      </c>
      <c r="G391" t="s">
        <v>20</v>
      </c>
      <c r="H391">
        <v>1</v>
      </c>
      <c r="I391">
        <v>4204.26</v>
      </c>
      <c r="J391">
        <v>-1918.06</v>
      </c>
      <c r="K391" t="s">
        <v>54</v>
      </c>
      <c r="L391" t="s">
        <v>53</v>
      </c>
      <c r="M391">
        <v>2023</v>
      </c>
      <c r="N391" t="s">
        <v>44</v>
      </c>
    </row>
    <row r="392" spans="1:14" x14ac:dyDescent="0.3">
      <c r="A392" s="1">
        <v>44860</v>
      </c>
      <c r="B392" t="s">
        <v>15</v>
      </c>
      <c r="C392" t="s">
        <v>10</v>
      </c>
      <c r="D392" t="s">
        <v>34</v>
      </c>
      <c r="E392">
        <v>45</v>
      </c>
      <c r="F392">
        <v>18746.27</v>
      </c>
      <c r="G392" t="s">
        <v>12</v>
      </c>
      <c r="H392">
        <v>1</v>
      </c>
      <c r="I392">
        <v>740.44</v>
      </c>
      <c r="J392">
        <v>18005.830000000002</v>
      </c>
      <c r="K392" t="s">
        <v>62</v>
      </c>
      <c r="L392" t="s">
        <v>59</v>
      </c>
      <c r="M392">
        <v>2022</v>
      </c>
      <c r="N392" t="s">
        <v>44</v>
      </c>
    </row>
    <row r="393" spans="1:14" x14ac:dyDescent="0.3">
      <c r="A393" s="1">
        <v>45101</v>
      </c>
      <c r="B393" t="s">
        <v>15</v>
      </c>
      <c r="C393" t="s">
        <v>13</v>
      </c>
      <c r="D393" t="s">
        <v>29</v>
      </c>
      <c r="E393">
        <v>20</v>
      </c>
      <c r="F393">
        <v>7153.84</v>
      </c>
      <c r="G393" t="s">
        <v>12</v>
      </c>
      <c r="H393">
        <v>1</v>
      </c>
      <c r="I393">
        <v>4658.2299999999996</v>
      </c>
      <c r="J393">
        <v>2495.61</v>
      </c>
      <c r="K393" t="s">
        <v>50</v>
      </c>
      <c r="L393" t="s">
        <v>51</v>
      </c>
      <c r="M393">
        <v>2023</v>
      </c>
      <c r="N393" t="s">
        <v>45</v>
      </c>
    </row>
    <row r="394" spans="1:14" x14ac:dyDescent="0.3">
      <c r="A394" s="1">
        <v>44759</v>
      </c>
      <c r="B394" t="s">
        <v>23</v>
      </c>
      <c r="C394" t="s">
        <v>16</v>
      </c>
      <c r="D394" t="s">
        <v>37</v>
      </c>
      <c r="E394">
        <v>43</v>
      </c>
      <c r="F394">
        <v>10889.27</v>
      </c>
      <c r="G394" t="s">
        <v>20</v>
      </c>
      <c r="H394">
        <v>1</v>
      </c>
      <c r="I394">
        <v>9288.2199999999993</v>
      </c>
      <c r="J394">
        <v>1601.05</v>
      </c>
      <c r="K394" t="s">
        <v>63</v>
      </c>
      <c r="L394" t="s">
        <v>61</v>
      </c>
      <c r="M394">
        <v>2022</v>
      </c>
      <c r="N394" t="s">
        <v>44</v>
      </c>
    </row>
    <row r="395" spans="1:14" x14ac:dyDescent="0.3">
      <c r="A395" s="1">
        <v>44815</v>
      </c>
      <c r="B395" t="s">
        <v>31</v>
      </c>
      <c r="C395" t="s">
        <v>13</v>
      </c>
      <c r="D395" t="s">
        <v>29</v>
      </c>
      <c r="E395">
        <v>5</v>
      </c>
      <c r="F395">
        <v>72.78</v>
      </c>
      <c r="G395" t="s">
        <v>12</v>
      </c>
      <c r="H395">
        <v>4</v>
      </c>
      <c r="I395">
        <v>1145.26</v>
      </c>
      <c r="J395">
        <v>-1072.48</v>
      </c>
      <c r="K395" t="s">
        <v>60</v>
      </c>
      <c r="L395" t="s">
        <v>61</v>
      </c>
      <c r="M395">
        <v>2022</v>
      </c>
      <c r="N395" t="s">
        <v>44</v>
      </c>
    </row>
    <row r="396" spans="1:14" x14ac:dyDescent="0.3">
      <c r="A396" s="1">
        <v>44944</v>
      </c>
      <c r="B396" t="s">
        <v>18</v>
      </c>
      <c r="C396" t="s">
        <v>16</v>
      </c>
      <c r="D396" t="s">
        <v>24</v>
      </c>
      <c r="E396">
        <v>38</v>
      </c>
      <c r="F396">
        <v>5971.38</v>
      </c>
      <c r="G396" t="s">
        <v>20</v>
      </c>
      <c r="H396">
        <v>5</v>
      </c>
      <c r="I396">
        <v>4265.24</v>
      </c>
      <c r="J396">
        <v>1706.14</v>
      </c>
      <c r="K396" t="s">
        <v>57</v>
      </c>
      <c r="L396" t="s">
        <v>53</v>
      </c>
      <c r="M396">
        <v>2023</v>
      </c>
      <c r="N396" t="s">
        <v>45</v>
      </c>
    </row>
    <row r="397" spans="1:14" x14ac:dyDescent="0.3">
      <c r="A397" s="1">
        <v>44862</v>
      </c>
      <c r="B397" t="s">
        <v>18</v>
      </c>
      <c r="C397" t="s">
        <v>25</v>
      </c>
      <c r="D397" t="s">
        <v>30</v>
      </c>
      <c r="E397">
        <v>27</v>
      </c>
      <c r="F397">
        <v>13312.4</v>
      </c>
      <c r="G397" t="s">
        <v>20</v>
      </c>
      <c r="H397">
        <v>3</v>
      </c>
      <c r="I397">
        <v>4266.6000000000004</v>
      </c>
      <c r="J397">
        <v>9045.7999999999993</v>
      </c>
      <c r="K397" t="s">
        <v>62</v>
      </c>
      <c r="L397" t="s">
        <v>59</v>
      </c>
      <c r="M397">
        <v>2022</v>
      </c>
      <c r="N397" t="s">
        <v>44</v>
      </c>
    </row>
    <row r="398" spans="1:14" x14ac:dyDescent="0.3">
      <c r="A398" s="1">
        <v>44618</v>
      </c>
      <c r="B398" t="s">
        <v>31</v>
      </c>
      <c r="C398" t="s">
        <v>21</v>
      </c>
      <c r="D398" t="s">
        <v>36</v>
      </c>
      <c r="E398">
        <v>46</v>
      </c>
      <c r="F398">
        <v>4697.76</v>
      </c>
      <c r="G398" t="s">
        <v>20</v>
      </c>
      <c r="H398">
        <v>1</v>
      </c>
      <c r="I398">
        <v>4921.1899999999996</v>
      </c>
      <c r="J398">
        <v>-223.43</v>
      </c>
      <c r="K398" t="s">
        <v>54</v>
      </c>
      <c r="L398" t="s">
        <v>53</v>
      </c>
      <c r="M398">
        <v>2022</v>
      </c>
      <c r="N398" t="s">
        <v>45</v>
      </c>
    </row>
    <row r="399" spans="1:14" x14ac:dyDescent="0.3">
      <c r="A399" s="1">
        <v>44760</v>
      </c>
      <c r="B399" t="s">
        <v>18</v>
      </c>
      <c r="C399" t="s">
        <v>13</v>
      </c>
      <c r="D399" t="s">
        <v>29</v>
      </c>
      <c r="E399">
        <v>25</v>
      </c>
      <c r="F399">
        <v>10726.19</v>
      </c>
      <c r="G399" t="s">
        <v>12</v>
      </c>
      <c r="H399">
        <v>5</v>
      </c>
      <c r="I399">
        <v>2439.87</v>
      </c>
      <c r="J399">
        <v>8286.32</v>
      </c>
      <c r="K399" t="s">
        <v>63</v>
      </c>
      <c r="L399" t="s">
        <v>61</v>
      </c>
      <c r="M399">
        <v>2022</v>
      </c>
      <c r="N399" t="s">
        <v>45</v>
      </c>
    </row>
    <row r="400" spans="1:14" x14ac:dyDescent="0.3">
      <c r="A400" s="1">
        <v>44652</v>
      </c>
      <c r="B400" t="s">
        <v>23</v>
      </c>
      <c r="C400" t="s">
        <v>16</v>
      </c>
      <c r="D400" t="s">
        <v>17</v>
      </c>
      <c r="E400">
        <v>16</v>
      </c>
      <c r="F400">
        <v>1476.66</v>
      </c>
      <c r="G400" t="s">
        <v>12</v>
      </c>
      <c r="H400">
        <v>5</v>
      </c>
      <c r="I400">
        <v>2761.04</v>
      </c>
      <c r="J400">
        <v>-1284.3800000000001</v>
      </c>
      <c r="K400" t="s">
        <v>55</v>
      </c>
      <c r="L400" t="s">
        <v>51</v>
      </c>
      <c r="M400">
        <v>2022</v>
      </c>
      <c r="N400" t="s">
        <v>44</v>
      </c>
    </row>
    <row r="401" spans="1:14" x14ac:dyDescent="0.3">
      <c r="A401" s="1">
        <v>44923</v>
      </c>
      <c r="B401" t="s">
        <v>15</v>
      </c>
      <c r="C401" t="s">
        <v>13</v>
      </c>
      <c r="D401" t="s">
        <v>29</v>
      </c>
      <c r="E401">
        <v>16</v>
      </c>
      <c r="F401">
        <v>1537.34</v>
      </c>
      <c r="G401" t="s">
        <v>20</v>
      </c>
      <c r="H401">
        <v>2</v>
      </c>
      <c r="I401">
        <v>2463.7399999999998</v>
      </c>
      <c r="J401">
        <v>-926.4</v>
      </c>
      <c r="K401" t="s">
        <v>58</v>
      </c>
      <c r="L401" t="s">
        <v>59</v>
      </c>
      <c r="M401">
        <v>2022</v>
      </c>
      <c r="N401" t="s">
        <v>44</v>
      </c>
    </row>
    <row r="402" spans="1:14" x14ac:dyDescent="0.3">
      <c r="A402" s="1">
        <v>44893</v>
      </c>
      <c r="B402" t="s">
        <v>31</v>
      </c>
      <c r="C402" t="s">
        <v>21</v>
      </c>
      <c r="D402" t="s">
        <v>22</v>
      </c>
      <c r="E402">
        <v>12</v>
      </c>
      <c r="F402">
        <v>3917.78</v>
      </c>
      <c r="G402" t="s">
        <v>20</v>
      </c>
      <c r="H402">
        <v>2</v>
      </c>
      <c r="I402">
        <v>783.84</v>
      </c>
      <c r="J402">
        <v>3133.94</v>
      </c>
      <c r="K402" t="s">
        <v>65</v>
      </c>
      <c r="L402" t="s">
        <v>59</v>
      </c>
      <c r="M402">
        <v>2022</v>
      </c>
      <c r="N402" t="s">
        <v>44</v>
      </c>
    </row>
    <row r="403" spans="1:14" x14ac:dyDescent="0.3">
      <c r="A403" s="1">
        <v>44627</v>
      </c>
      <c r="B403" t="s">
        <v>15</v>
      </c>
      <c r="C403" t="s">
        <v>21</v>
      </c>
      <c r="D403" t="s">
        <v>22</v>
      </c>
      <c r="E403">
        <v>39</v>
      </c>
      <c r="F403">
        <v>16696.03</v>
      </c>
      <c r="G403" t="s">
        <v>12</v>
      </c>
      <c r="H403">
        <v>1</v>
      </c>
      <c r="I403">
        <v>1943.71</v>
      </c>
      <c r="J403">
        <v>14752.32</v>
      </c>
      <c r="K403" t="s">
        <v>52</v>
      </c>
      <c r="L403" t="s">
        <v>53</v>
      </c>
      <c r="M403">
        <v>2022</v>
      </c>
      <c r="N403" t="s">
        <v>44</v>
      </c>
    </row>
    <row r="404" spans="1:14" x14ac:dyDescent="0.3">
      <c r="A404" s="1">
        <v>45223</v>
      </c>
      <c r="B404" t="s">
        <v>31</v>
      </c>
      <c r="C404" t="s">
        <v>13</v>
      </c>
      <c r="D404" t="s">
        <v>40</v>
      </c>
      <c r="E404">
        <v>37</v>
      </c>
      <c r="F404">
        <v>13636.54</v>
      </c>
      <c r="G404" t="s">
        <v>12</v>
      </c>
      <c r="H404">
        <v>1</v>
      </c>
      <c r="I404">
        <v>5475.09</v>
      </c>
      <c r="J404">
        <v>8161.45</v>
      </c>
      <c r="K404" t="s">
        <v>62</v>
      </c>
      <c r="L404" t="s">
        <v>59</v>
      </c>
      <c r="M404">
        <v>2023</v>
      </c>
      <c r="N404" t="s">
        <v>45</v>
      </c>
    </row>
    <row r="405" spans="1:14" x14ac:dyDescent="0.3">
      <c r="A405" s="1">
        <v>45229</v>
      </c>
      <c r="B405" t="s">
        <v>23</v>
      </c>
      <c r="C405" t="s">
        <v>21</v>
      </c>
      <c r="D405" t="s">
        <v>36</v>
      </c>
      <c r="E405">
        <v>5</v>
      </c>
      <c r="F405">
        <v>2131.21</v>
      </c>
      <c r="G405" t="s">
        <v>20</v>
      </c>
      <c r="H405">
        <v>2</v>
      </c>
      <c r="I405">
        <v>88.63</v>
      </c>
      <c r="J405">
        <v>2042.58</v>
      </c>
      <c r="K405" t="s">
        <v>62</v>
      </c>
      <c r="L405" t="s">
        <v>59</v>
      </c>
      <c r="M405">
        <v>2023</v>
      </c>
      <c r="N405" t="s">
        <v>47</v>
      </c>
    </row>
    <row r="406" spans="1:14" x14ac:dyDescent="0.3">
      <c r="A406" s="1">
        <v>45142</v>
      </c>
      <c r="B406" t="s">
        <v>31</v>
      </c>
      <c r="C406" t="s">
        <v>25</v>
      </c>
      <c r="D406" t="s">
        <v>30</v>
      </c>
      <c r="E406">
        <v>20</v>
      </c>
      <c r="F406">
        <v>9791.25</v>
      </c>
      <c r="G406" t="s">
        <v>12</v>
      </c>
      <c r="H406">
        <v>5</v>
      </c>
      <c r="I406">
        <v>2590.04</v>
      </c>
      <c r="J406">
        <v>7201.21</v>
      </c>
      <c r="K406" t="s">
        <v>64</v>
      </c>
      <c r="L406" t="s">
        <v>61</v>
      </c>
      <c r="M406">
        <v>2023</v>
      </c>
      <c r="N406" t="s">
        <v>44</v>
      </c>
    </row>
    <row r="407" spans="1:14" x14ac:dyDescent="0.3">
      <c r="A407" s="1">
        <v>44566</v>
      </c>
      <c r="B407" t="s">
        <v>18</v>
      </c>
      <c r="C407" t="s">
        <v>13</v>
      </c>
      <c r="D407" t="s">
        <v>29</v>
      </c>
      <c r="E407">
        <v>11</v>
      </c>
      <c r="F407">
        <v>5473.25</v>
      </c>
      <c r="G407" t="s">
        <v>20</v>
      </c>
      <c r="H407">
        <v>2</v>
      </c>
      <c r="I407">
        <v>977.54</v>
      </c>
      <c r="J407">
        <v>4495.71</v>
      </c>
      <c r="K407" t="s">
        <v>57</v>
      </c>
      <c r="L407" t="s">
        <v>53</v>
      </c>
      <c r="M407">
        <v>2022</v>
      </c>
      <c r="N407" t="s">
        <v>46</v>
      </c>
    </row>
    <row r="408" spans="1:14" x14ac:dyDescent="0.3">
      <c r="A408" s="1">
        <v>44830</v>
      </c>
      <c r="B408" t="s">
        <v>18</v>
      </c>
      <c r="C408" t="s">
        <v>13</v>
      </c>
      <c r="D408" t="s">
        <v>14</v>
      </c>
      <c r="E408">
        <v>27</v>
      </c>
      <c r="F408">
        <v>11219.24</v>
      </c>
      <c r="G408" t="s">
        <v>12</v>
      </c>
      <c r="H408">
        <v>2</v>
      </c>
      <c r="I408">
        <v>2022.51</v>
      </c>
      <c r="J408">
        <v>9196.73</v>
      </c>
      <c r="K408" t="s">
        <v>60</v>
      </c>
      <c r="L408" t="s">
        <v>61</v>
      </c>
      <c r="M408">
        <v>2022</v>
      </c>
      <c r="N408" t="s">
        <v>45</v>
      </c>
    </row>
    <row r="409" spans="1:14" x14ac:dyDescent="0.3">
      <c r="A409" s="1">
        <v>44805</v>
      </c>
      <c r="B409" t="s">
        <v>23</v>
      </c>
      <c r="C409" t="s">
        <v>16</v>
      </c>
      <c r="D409" t="s">
        <v>17</v>
      </c>
      <c r="E409">
        <v>20</v>
      </c>
      <c r="F409">
        <v>4100.8100000000004</v>
      </c>
      <c r="G409" t="s">
        <v>20</v>
      </c>
      <c r="H409">
        <v>2</v>
      </c>
      <c r="I409">
        <v>2805.21</v>
      </c>
      <c r="J409">
        <v>1295.5999999999999</v>
      </c>
      <c r="K409" t="s">
        <v>60</v>
      </c>
      <c r="L409" t="s">
        <v>61</v>
      </c>
      <c r="M409">
        <v>2022</v>
      </c>
      <c r="N409" t="s">
        <v>45</v>
      </c>
    </row>
    <row r="410" spans="1:14" x14ac:dyDescent="0.3">
      <c r="A410" s="1">
        <v>44562</v>
      </c>
      <c r="B410" t="s">
        <v>9</v>
      </c>
      <c r="C410" t="s">
        <v>13</v>
      </c>
      <c r="D410" t="s">
        <v>29</v>
      </c>
      <c r="E410">
        <v>12</v>
      </c>
      <c r="F410">
        <v>5913.59</v>
      </c>
      <c r="G410" t="s">
        <v>20</v>
      </c>
      <c r="H410">
        <v>2</v>
      </c>
      <c r="I410">
        <v>321.54000000000002</v>
      </c>
      <c r="J410">
        <v>5592.05</v>
      </c>
      <c r="K410" t="s">
        <v>57</v>
      </c>
      <c r="L410" t="s">
        <v>53</v>
      </c>
      <c r="M410">
        <v>2022</v>
      </c>
      <c r="N410" t="s">
        <v>44</v>
      </c>
    </row>
    <row r="411" spans="1:14" x14ac:dyDescent="0.3">
      <c r="A411" s="1">
        <v>44571</v>
      </c>
      <c r="B411" t="s">
        <v>23</v>
      </c>
      <c r="C411" t="s">
        <v>25</v>
      </c>
      <c r="D411" t="s">
        <v>30</v>
      </c>
      <c r="E411">
        <v>33</v>
      </c>
      <c r="F411">
        <v>8568.1</v>
      </c>
      <c r="G411" t="s">
        <v>12</v>
      </c>
      <c r="H411">
        <v>4</v>
      </c>
      <c r="I411">
        <v>4654.46</v>
      </c>
      <c r="J411">
        <v>3913.64</v>
      </c>
      <c r="K411" t="s">
        <v>57</v>
      </c>
      <c r="L411" t="s">
        <v>53</v>
      </c>
      <c r="M411">
        <v>2022</v>
      </c>
      <c r="N411" t="s">
        <v>44</v>
      </c>
    </row>
    <row r="412" spans="1:14" x14ac:dyDescent="0.3">
      <c r="A412" s="1">
        <v>44886</v>
      </c>
      <c r="B412" t="s">
        <v>9</v>
      </c>
      <c r="C412" t="s">
        <v>16</v>
      </c>
      <c r="D412" t="s">
        <v>24</v>
      </c>
      <c r="E412">
        <v>28</v>
      </c>
      <c r="F412">
        <v>3941.99</v>
      </c>
      <c r="G412" t="s">
        <v>12</v>
      </c>
      <c r="H412">
        <v>5</v>
      </c>
      <c r="I412">
        <v>6696.26</v>
      </c>
      <c r="J412">
        <v>-2754.27</v>
      </c>
      <c r="K412" t="s">
        <v>65</v>
      </c>
      <c r="L412" t="s">
        <v>59</v>
      </c>
      <c r="M412">
        <v>2022</v>
      </c>
      <c r="N412" t="s">
        <v>45</v>
      </c>
    </row>
    <row r="413" spans="1:14" x14ac:dyDescent="0.3">
      <c r="A413" s="1">
        <v>44901</v>
      </c>
      <c r="B413" t="s">
        <v>31</v>
      </c>
      <c r="C413" t="s">
        <v>16</v>
      </c>
      <c r="D413" t="s">
        <v>27</v>
      </c>
      <c r="E413">
        <v>11</v>
      </c>
      <c r="F413">
        <v>4351.8599999999997</v>
      </c>
      <c r="G413" t="s">
        <v>20</v>
      </c>
      <c r="H413">
        <v>1</v>
      </c>
      <c r="I413">
        <v>2253.02</v>
      </c>
      <c r="J413">
        <v>2098.84</v>
      </c>
      <c r="K413" t="s">
        <v>58</v>
      </c>
      <c r="L413" t="s">
        <v>59</v>
      </c>
      <c r="M413">
        <v>2022</v>
      </c>
      <c r="N413" t="s">
        <v>46</v>
      </c>
    </row>
    <row r="414" spans="1:14" x14ac:dyDescent="0.3">
      <c r="A414" s="1">
        <v>44698</v>
      </c>
      <c r="B414" t="s">
        <v>9</v>
      </c>
      <c r="C414" t="s">
        <v>25</v>
      </c>
      <c r="D414" t="s">
        <v>30</v>
      </c>
      <c r="E414">
        <v>20</v>
      </c>
      <c r="F414">
        <v>3622.76</v>
      </c>
      <c r="G414" t="s">
        <v>12</v>
      </c>
      <c r="H414">
        <v>3</v>
      </c>
      <c r="I414">
        <v>719.37</v>
      </c>
      <c r="J414">
        <v>2903.39</v>
      </c>
      <c r="K414" t="s">
        <v>56</v>
      </c>
      <c r="L414" t="s">
        <v>51</v>
      </c>
      <c r="M414">
        <v>2022</v>
      </c>
      <c r="N414" t="s">
        <v>44</v>
      </c>
    </row>
    <row r="415" spans="1:14" x14ac:dyDescent="0.3">
      <c r="A415" s="1">
        <v>45148</v>
      </c>
      <c r="B415" t="s">
        <v>9</v>
      </c>
      <c r="C415" t="s">
        <v>25</v>
      </c>
      <c r="D415" t="s">
        <v>38</v>
      </c>
      <c r="E415">
        <v>22</v>
      </c>
      <c r="F415">
        <v>10966.05</v>
      </c>
      <c r="G415" t="s">
        <v>20</v>
      </c>
      <c r="H415">
        <v>2</v>
      </c>
      <c r="I415">
        <v>3434.59</v>
      </c>
      <c r="J415">
        <v>7531.46</v>
      </c>
      <c r="K415" t="s">
        <v>64</v>
      </c>
      <c r="L415" t="s">
        <v>61</v>
      </c>
      <c r="M415">
        <v>2023</v>
      </c>
      <c r="N415" t="s">
        <v>44</v>
      </c>
    </row>
    <row r="416" spans="1:14" x14ac:dyDescent="0.3">
      <c r="A416" s="1">
        <v>44990</v>
      </c>
      <c r="B416" t="s">
        <v>9</v>
      </c>
      <c r="C416" t="s">
        <v>10</v>
      </c>
      <c r="D416" t="s">
        <v>35</v>
      </c>
      <c r="E416">
        <v>31</v>
      </c>
      <c r="F416">
        <v>2402.61</v>
      </c>
      <c r="G416" t="s">
        <v>20</v>
      </c>
      <c r="H416">
        <v>2</v>
      </c>
      <c r="I416">
        <v>2110.4499999999998</v>
      </c>
      <c r="J416">
        <v>292.16000000000003</v>
      </c>
      <c r="K416" t="s">
        <v>52</v>
      </c>
      <c r="L416" t="s">
        <v>53</v>
      </c>
      <c r="M416">
        <v>2023</v>
      </c>
      <c r="N416" t="s">
        <v>45</v>
      </c>
    </row>
    <row r="417" spans="1:14" x14ac:dyDescent="0.3">
      <c r="A417" s="1">
        <v>44705</v>
      </c>
      <c r="B417" t="s">
        <v>18</v>
      </c>
      <c r="C417" t="s">
        <v>10</v>
      </c>
      <c r="D417" t="s">
        <v>28</v>
      </c>
      <c r="E417">
        <v>25</v>
      </c>
      <c r="F417">
        <v>3876.68</v>
      </c>
      <c r="G417" t="s">
        <v>12</v>
      </c>
      <c r="H417">
        <v>2</v>
      </c>
      <c r="I417">
        <v>2204.5</v>
      </c>
      <c r="J417">
        <v>1672.18</v>
      </c>
      <c r="K417" t="s">
        <v>56</v>
      </c>
      <c r="L417" t="s">
        <v>51</v>
      </c>
      <c r="M417">
        <v>2022</v>
      </c>
      <c r="N417" t="s">
        <v>44</v>
      </c>
    </row>
    <row r="418" spans="1:14" x14ac:dyDescent="0.3">
      <c r="A418" s="1">
        <v>44897</v>
      </c>
      <c r="B418" t="s">
        <v>18</v>
      </c>
      <c r="C418" t="s">
        <v>13</v>
      </c>
      <c r="D418" t="s">
        <v>14</v>
      </c>
      <c r="E418">
        <v>4</v>
      </c>
      <c r="F418">
        <v>1845.82</v>
      </c>
      <c r="G418" t="s">
        <v>12</v>
      </c>
      <c r="H418">
        <v>5</v>
      </c>
      <c r="I418">
        <v>90.28</v>
      </c>
      <c r="J418">
        <v>1755.54</v>
      </c>
      <c r="K418" t="s">
        <v>58</v>
      </c>
      <c r="L418" t="s">
        <v>59</v>
      </c>
      <c r="M418">
        <v>2022</v>
      </c>
      <c r="N418" t="s">
        <v>45</v>
      </c>
    </row>
    <row r="419" spans="1:14" x14ac:dyDescent="0.3">
      <c r="A419" s="1">
        <v>44804</v>
      </c>
      <c r="B419" t="s">
        <v>9</v>
      </c>
      <c r="C419" t="s">
        <v>13</v>
      </c>
      <c r="D419" t="s">
        <v>14</v>
      </c>
      <c r="E419">
        <v>1</v>
      </c>
      <c r="F419">
        <v>450.25</v>
      </c>
      <c r="G419" t="s">
        <v>20</v>
      </c>
      <c r="H419">
        <v>3</v>
      </c>
      <c r="I419">
        <v>151.77000000000001</v>
      </c>
      <c r="J419">
        <v>298.48</v>
      </c>
      <c r="K419" t="s">
        <v>64</v>
      </c>
      <c r="L419" t="s">
        <v>61</v>
      </c>
      <c r="M419">
        <v>2022</v>
      </c>
      <c r="N419" t="s">
        <v>45</v>
      </c>
    </row>
    <row r="420" spans="1:14" x14ac:dyDescent="0.3">
      <c r="A420" s="1">
        <v>45244</v>
      </c>
      <c r="B420" t="s">
        <v>18</v>
      </c>
      <c r="C420" t="s">
        <v>13</v>
      </c>
      <c r="D420" t="s">
        <v>19</v>
      </c>
      <c r="E420">
        <v>48</v>
      </c>
      <c r="F420">
        <v>7274.42</v>
      </c>
      <c r="G420" t="s">
        <v>20</v>
      </c>
      <c r="H420">
        <v>1</v>
      </c>
      <c r="I420">
        <v>4475.6000000000004</v>
      </c>
      <c r="J420">
        <v>2798.82</v>
      </c>
      <c r="K420" t="s">
        <v>65</v>
      </c>
      <c r="L420" t="s">
        <v>59</v>
      </c>
      <c r="M420">
        <v>2023</v>
      </c>
      <c r="N420" t="s">
        <v>44</v>
      </c>
    </row>
    <row r="421" spans="1:14" x14ac:dyDescent="0.3">
      <c r="A421" s="1">
        <v>44647</v>
      </c>
      <c r="B421" t="s">
        <v>23</v>
      </c>
      <c r="C421" t="s">
        <v>25</v>
      </c>
      <c r="D421" t="s">
        <v>30</v>
      </c>
      <c r="E421">
        <v>22</v>
      </c>
      <c r="F421">
        <v>6709.83</v>
      </c>
      <c r="G421" t="s">
        <v>20</v>
      </c>
      <c r="H421">
        <v>3</v>
      </c>
      <c r="I421">
        <v>3373.01</v>
      </c>
      <c r="J421">
        <v>3336.82</v>
      </c>
      <c r="K421" t="s">
        <v>52</v>
      </c>
      <c r="L421" t="s">
        <v>53</v>
      </c>
      <c r="M421">
        <v>2022</v>
      </c>
      <c r="N421" t="s">
        <v>46</v>
      </c>
    </row>
    <row r="422" spans="1:14" x14ac:dyDescent="0.3">
      <c r="A422" s="1">
        <v>44689</v>
      </c>
      <c r="B422" t="s">
        <v>23</v>
      </c>
      <c r="C422" t="s">
        <v>10</v>
      </c>
      <c r="D422" t="s">
        <v>11</v>
      </c>
      <c r="E422">
        <v>30</v>
      </c>
      <c r="F422">
        <v>370.26</v>
      </c>
      <c r="G422" t="s">
        <v>20</v>
      </c>
      <c r="H422">
        <v>1</v>
      </c>
      <c r="I422">
        <v>870.08</v>
      </c>
      <c r="J422">
        <v>-499.82</v>
      </c>
      <c r="K422" t="s">
        <v>56</v>
      </c>
      <c r="L422" t="s">
        <v>51</v>
      </c>
      <c r="M422">
        <v>2022</v>
      </c>
      <c r="N422" t="s">
        <v>44</v>
      </c>
    </row>
    <row r="423" spans="1:14" x14ac:dyDescent="0.3">
      <c r="A423" s="1">
        <v>44779</v>
      </c>
      <c r="B423" t="s">
        <v>23</v>
      </c>
      <c r="C423" t="s">
        <v>13</v>
      </c>
      <c r="D423" t="s">
        <v>29</v>
      </c>
      <c r="E423">
        <v>37</v>
      </c>
      <c r="F423">
        <v>2916.65</v>
      </c>
      <c r="G423" t="s">
        <v>12</v>
      </c>
      <c r="H423">
        <v>2</v>
      </c>
      <c r="I423">
        <v>6850.91</v>
      </c>
      <c r="J423">
        <v>-3934.26</v>
      </c>
      <c r="K423" t="s">
        <v>64</v>
      </c>
      <c r="L423" t="s">
        <v>61</v>
      </c>
      <c r="M423">
        <v>2022</v>
      </c>
      <c r="N423" t="s">
        <v>44</v>
      </c>
    </row>
    <row r="424" spans="1:14" x14ac:dyDescent="0.3">
      <c r="A424" s="1">
        <v>44850</v>
      </c>
      <c r="B424" t="s">
        <v>23</v>
      </c>
      <c r="C424" t="s">
        <v>13</v>
      </c>
      <c r="D424" t="s">
        <v>14</v>
      </c>
      <c r="E424">
        <v>44</v>
      </c>
      <c r="F424">
        <v>8885.34</v>
      </c>
      <c r="G424" t="s">
        <v>20</v>
      </c>
      <c r="H424">
        <v>5</v>
      </c>
      <c r="I424">
        <v>2892.8</v>
      </c>
      <c r="J424">
        <v>5992.54</v>
      </c>
      <c r="K424" t="s">
        <v>62</v>
      </c>
      <c r="L424" t="s">
        <v>59</v>
      </c>
      <c r="M424">
        <v>2022</v>
      </c>
      <c r="N424" t="s">
        <v>46</v>
      </c>
    </row>
    <row r="425" spans="1:14" x14ac:dyDescent="0.3">
      <c r="A425" s="1">
        <v>44714</v>
      </c>
      <c r="B425" t="s">
        <v>23</v>
      </c>
      <c r="C425" t="s">
        <v>13</v>
      </c>
      <c r="D425" t="s">
        <v>29</v>
      </c>
      <c r="E425">
        <v>17</v>
      </c>
      <c r="F425">
        <v>6268.52</v>
      </c>
      <c r="G425" t="s">
        <v>12</v>
      </c>
      <c r="H425">
        <v>4</v>
      </c>
      <c r="I425">
        <v>3881.89</v>
      </c>
      <c r="J425">
        <v>2386.63</v>
      </c>
      <c r="K425" t="s">
        <v>50</v>
      </c>
      <c r="L425" t="s">
        <v>51</v>
      </c>
      <c r="M425">
        <v>2022</v>
      </c>
      <c r="N425" t="s">
        <v>46</v>
      </c>
    </row>
    <row r="426" spans="1:14" x14ac:dyDescent="0.3">
      <c r="A426" s="1">
        <v>45052</v>
      </c>
      <c r="B426" t="s">
        <v>18</v>
      </c>
      <c r="C426" t="s">
        <v>13</v>
      </c>
      <c r="D426" t="s">
        <v>29</v>
      </c>
      <c r="E426">
        <v>10</v>
      </c>
      <c r="F426">
        <v>3188.74</v>
      </c>
      <c r="G426" t="s">
        <v>20</v>
      </c>
      <c r="H426">
        <v>2</v>
      </c>
      <c r="I426">
        <v>865.98</v>
      </c>
      <c r="J426">
        <v>2322.7600000000002</v>
      </c>
      <c r="K426" t="s">
        <v>56</v>
      </c>
      <c r="L426" t="s">
        <v>51</v>
      </c>
      <c r="M426">
        <v>2023</v>
      </c>
      <c r="N426" t="s">
        <v>44</v>
      </c>
    </row>
    <row r="427" spans="1:14" x14ac:dyDescent="0.3">
      <c r="A427" s="1">
        <v>45022</v>
      </c>
      <c r="B427" t="s">
        <v>23</v>
      </c>
      <c r="C427" t="s">
        <v>25</v>
      </c>
      <c r="D427" t="s">
        <v>26</v>
      </c>
      <c r="E427">
        <v>30</v>
      </c>
      <c r="F427">
        <v>506.52</v>
      </c>
      <c r="G427" t="s">
        <v>12</v>
      </c>
      <c r="H427">
        <v>1</v>
      </c>
      <c r="I427">
        <v>1447.45</v>
      </c>
      <c r="J427">
        <v>-940.93</v>
      </c>
      <c r="K427" t="s">
        <v>55</v>
      </c>
      <c r="L427" t="s">
        <v>51</v>
      </c>
      <c r="M427">
        <v>2023</v>
      </c>
      <c r="N427" t="s">
        <v>45</v>
      </c>
    </row>
    <row r="428" spans="1:14" x14ac:dyDescent="0.3">
      <c r="A428" s="1">
        <v>45020</v>
      </c>
      <c r="B428" t="s">
        <v>9</v>
      </c>
      <c r="C428" t="s">
        <v>10</v>
      </c>
      <c r="D428" t="s">
        <v>28</v>
      </c>
      <c r="E428">
        <v>37</v>
      </c>
      <c r="F428">
        <v>17522.77</v>
      </c>
      <c r="G428" t="s">
        <v>20</v>
      </c>
      <c r="H428">
        <v>5</v>
      </c>
      <c r="I428">
        <v>3667.34</v>
      </c>
      <c r="J428">
        <v>13855.43</v>
      </c>
      <c r="K428" t="s">
        <v>55</v>
      </c>
      <c r="L428" t="s">
        <v>51</v>
      </c>
      <c r="M428">
        <v>2023</v>
      </c>
      <c r="N428" t="s">
        <v>44</v>
      </c>
    </row>
    <row r="429" spans="1:14" x14ac:dyDescent="0.3">
      <c r="A429" s="1">
        <v>45140</v>
      </c>
      <c r="B429" t="s">
        <v>9</v>
      </c>
      <c r="C429" t="s">
        <v>25</v>
      </c>
      <c r="D429" t="s">
        <v>39</v>
      </c>
      <c r="E429">
        <v>20</v>
      </c>
      <c r="F429">
        <v>7145.59</v>
      </c>
      <c r="G429" t="s">
        <v>20</v>
      </c>
      <c r="H429">
        <v>5</v>
      </c>
      <c r="I429">
        <v>2202.11</v>
      </c>
      <c r="J429">
        <v>4943.4799999999996</v>
      </c>
      <c r="K429" t="s">
        <v>64</v>
      </c>
      <c r="L429" t="s">
        <v>61</v>
      </c>
      <c r="M429">
        <v>2023</v>
      </c>
      <c r="N429" t="s">
        <v>45</v>
      </c>
    </row>
    <row r="430" spans="1:14" x14ac:dyDescent="0.3">
      <c r="A430" s="1">
        <v>44593</v>
      </c>
      <c r="B430" t="s">
        <v>18</v>
      </c>
      <c r="C430" t="s">
        <v>16</v>
      </c>
      <c r="D430" t="s">
        <v>17</v>
      </c>
      <c r="E430">
        <v>1</v>
      </c>
      <c r="F430">
        <v>79.05</v>
      </c>
      <c r="G430" t="s">
        <v>20</v>
      </c>
      <c r="H430">
        <v>3</v>
      </c>
      <c r="I430">
        <v>136.38999999999999</v>
      </c>
      <c r="J430">
        <v>-57.34</v>
      </c>
      <c r="K430" t="s">
        <v>54</v>
      </c>
      <c r="L430" t="s">
        <v>53</v>
      </c>
      <c r="M430">
        <v>2022</v>
      </c>
      <c r="N430" t="s">
        <v>46</v>
      </c>
    </row>
    <row r="431" spans="1:14" x14ac:dyDescent="0.3">
      <c r="A431" s="1">
        <v>44722</v>
      </c>
      <c r="B431" t="s">
        <v>31</v>
      </c>
      <c r="C431" t="s">
        <v>16</v>
      </c>
      <c r="D431" t="s">
        <v>27</v>
      </c>
      <c r="E431">
        <v>5</v>
      </c>
      <c r="F431">
        <v>759.23</v>
      </c>
      <c r="G431" t="s">
        <v>20</v>
      </c>
      <c r="H431">
        <v>4</v>
      </c>
      <c r="I431">
        <v>217.1</v>
      </c>
      <c r="J431">
        <v>542.13</v>
      </c>
      <c r="K431" t="s">
        <v>50</v>
      </c>
      <c r="L431" t="s">
        <v>51</v>
      </c>
      <c r="M431">
        <v>2022</v>
      </c>
      <c r="N431" t="s">
        <v>46</v>
      </c>
    </row>
    <row r="432" spans="1:14" x14ac:dyDescent="0.3">
      <c r="A432" s="1">
        <v>45168</v>
      </c>
      <c r="B432" t="s">
        <v>31</v>
      </c>
      <c r="C432" t="s">
        <v>16</v>
      </c>
      <c r="D432" t="s">
        <v>17</v>
      </c>
      <c r="E432">
        <v>36</v>
      </c>
      <c r="F432">
        <v>11180.46</v>
      </c>
      <c r="G432" t="s">
        <v>12</v>
      </c>
      <c r="H432">
        <v>2</v>
      </c>
      <c r="I432">
        <v>5220.08</v>
      </c>
      <c r="J432">
        <v>5960.38</v>
      </c>
      <c r="K432" t="s">
        <v>64</v>
      </c>
      <c r="L432" t="s">
        <v>61</v>
      </c>
      <c r="M432">
        <v>2023</v>
      </c>
      <c r="N432" t="s">
        <v>46</v>
      </c>
    </row>
    <row r="433" spans="1:14" x14ac:dyDescent="0.3">
      <c r="A433" s="1">
        <v>44884</v>
      </c>
      <c r="B433" t="s">
        <v>18</v>
      </c>
      <c r="C433" t="s">
        <v>10</v>
      </c>
      <c r="D433" t="s">
        <v>34</v>
      </c>
      <c r="E433">
        <v>44</v>
      </c>
      <c r="F433">
        <v>20388.86</v>
      </c>
      <c r="G433" t="s">
        <v>20</v>
      </c>
      <c r="H433">
        <v>4</v>
      </c>
      <c r="I433">
        <v>9790.35</v>
      </c>
      <c r="J433">
        <v>10598.51</v>
      </c>
      <c r="K433" t="s">
        <v>65</v>
      </c>
      <c r="L433" t="s">
        <v>59</v>
      </c>
      <c r="M433">
        <v>2022</v>
      </c>
      <c r="N433" t="s">
        <v>46</v>
      </c>
    </row>
    <row r="434" spans="1:14" x14ac:dyDescent="0.3">
      <c r="A434" s="1">
        <v>44774</v>
      </c>
      <c r="B434" t="s">
        <v>31</v>
      </c>
      <c r="C434" t="s">
        <v>13</v>
      </c>
      <c r="D434" t="s">
        <v>14</v>
      </c>
      <c r="E434">
        <v>21</v>
      </c>
      <c r="F434">
        <v>2817.91</v>
      </c>
      <c r="G434" t="s">
        <v>20</v>
      </c>
      <c r="H434">
        <v>2</v>
      </c>
      <c r="I434">
        <v>1342.6</v>
      </c>
      <c r="J434">
        <v>1475.31</v>
      </c>
      <c r="K434" t="s">
        <v>64</v>
      </c>
      <c r="L434" t="s">
        <v>61</v>
      </c>
      <c r="M434">
        <v>2022</v>
      </c>
      <c r="N434" t="s">
        <v>44</v>
      </c>
    </row>
    <row r="435" spans="1:14" x14ac:dyDescent="0.3">
      <c r="A435" s="1">
        <v>45183</v>
      </c>
      <c r="B435" t="s">
        <v>23</v>
      </c>
      <c r="C435" t="s">
        <v>10</v>
      </c>
      <c r="D435" t="s">
        <v>35</v>
      </c>
      <c r="E435">
        <v>48</v>
      </c>
      <c r="F435">
        <v>13907.65</v>
      </c>
      <c r="G435" t="s">
        <v>20</v>
      </c>
      <c r="H435">
        <v>4</v>
      </c>
      <c r="I435">
        <v>11438.25</v>
      </c>
      <c r="J435">
        <v>2469.4</v>
      </c>
      <c r="K435" t="s">
        <v>60</v>
      </c>
      <c r="L435" t="s">
        <v>61</v>
      </c>
      <c r="M435">
        <v>2023</v>
      </c>
      <c r="N435" t="s">
        <v>44</v>
      </c>
    </row>
    <row r="436" spans="1:14" x14ac:dyDescent="0.3">
      <c r="A436" s="1">
        <v>44607</v>
      </c>
      <c r="B436" t="s">
        <v>23</v>
      </c>
      <c r="C436" t="s">
        <v>13</v>
      </c>
      <c r="D436" t="s">
        <v>29</v>
      </c>
      <c r="E436">
        <v>44</v>
      </c>
      <c r="F436">
        <v>10043.77</v>
      </c>
      <c r="G436" t="s">
        <v>12</v>
      </c>
      <c r="H436">
        <v>4</v>
      </c>
      <c r="I436">
        <v>1187.22</v>
      </c>
      <c r="J436">
        <v>8856.5499999999993</v>
      </c>
      <c r="K436" t="s">
        <v>54</v>
      </c>
      <c r="L436" t="s">
        <v>53</v>
      </c>
      <c r="M436">
        <v>2022</v>
      </c>
      <c r="N436" t="s">
        <v>47</v>
      </c>
    </row>
    <row r="437" spans="1:14" x14ac:dyDescent="0.3">
      <c r="A437" s="1">
        <v>44638</v>
      </c>
      <c r="B437" t="s">
        <v>9</v>
      </c>
      <c r="C437" t="s">
        <v>25</v>
      </c>
      <c r="D437" t="s">
        <v>39</v>
      </c>
      <c r="E437">
        <v>45</v>
      </c>
      <c r="F437">
        <v>6946.85</v>
      </c>
      <c r="G437" t="s">
        <v>20</v>
      </c>
      <c r="H437">
        <v>5</v>
      </c>
      <c r="I437">
        <v>4001.77</v>
      </c>
      <c r="J437">
        <v>2945.08</v>
      </c>
      <c r="K437" t="s">
        <v>52</v>
      </c>
      <c r="L437" t="s">
        <v>53</v>
      </c>
      <c r="M437">
        <v>2022</v>
      </c>
      <c r="N437" t="s">
        <v>45</v>
      </c>
    </row>
    <row r="438" spans="1:14" x14ac:dyDescent="0.3">
      <c r="A438" s="1">
        <v>45179</v>
      </c>
      <c r="B438" t="s">
        <v>15</v>
      </c>
      <c r="C438" t="s">
        <v>21</v>
      </c>
      <c r="D438" t="s">
        <v>33</v>
      </c>
      <c r="E438">
        <v>11</v>
      </c>
      <c r="F438">
        <v>3523.86</v>
      </c>
      <c r="G438" t="s">
        <v>12</v>
      </c>
      <c r="H438">
        <v>4</v>
      </c>
      <c r="I438">
        <v>2117.54</v>
      </c>
      <c r="J438">
        <v>1406.32</v>
      </c>
      <c r="K438" t="s">
        <v>60</v>
      </c>
      <c r="L438" t="s">
        <v>61</v>
      </c>
      <c r="M438">
        <v>2023</v>
      </c>
      <c r="N438" t="s">
        <v>47</v>
      </c>
    </row>
    <row r="439" spans="1:14" x14ac:dyDescent="0.3">
      <c r="A439" s="1">
        <v>45074</v>
      </c>
      <c r="B439" t="s">
        <v>9</v>
      </c>
      <c r="C439" t="s">
        <v>21</v>
      </c>
      <c r="D439" t="s">
        <v>36</v>
      </c>
      <c r="E439">
        <v>10</v>
      </c>
      <c r="F439">
        <v>4500.2</v>
      </c>
      <c r="G439" t="s">
        <v>12</v>
      </c>
      <c r="H439">
        <v>2</v>
      </c>
      <c r="I439">
        <v>1821.12</v>
      </c>
      <c r="J439">
        <v>2679.08</v>
      </c>
      <c r="K439" t="s">
        <v>56</v>
      </c>
      <c r="L439" t="s">
        <v>51</v>
      </c>
      <c r="M439">
        <v>2023</v>
      </c>
      <c r="N439" t="s">
        <v>44</v>
      </c>
    </row>
    <row r="440" spans="1:14" x14ac:dyDescent="0.3">
      <c r="A440" s="1">
        <v>45262</v>
      </c>
      <c r="B440" t="s">
        <v>15</v>
      </c>
      <c r="C440" t="s">
        <v>13</v>
      </c>
      <c r="D440" t="s">
        <v>19</v>
      </c>
      <c r="E440">
        <v>12</v>
      </c>
      <c r="F440">
        <v>4956.16</v>
      </c>
      <c r="G440" t="s">
        <v>20</v>
      </c>
      <c r="H440">
        <v>1</v>
      </c>
      <c r="I440">
        <v>2674.3</v>
      </c>
      <c r="J440">
        <v>2281.86</v>
      </c>
      <c r="K440" t="s">
        <v>58</v>
      </c>
      <c r="L440" t="s">
        <v>59</v>
      </c>
      <c r="M440">
        <v>2023</v>
      </c>
      <c r="N440" t="s">
        <v>46</v>
      </c>
    </row>
    <row r="441" spans="1:14" x14ac:dyDescent="0.3">
      <c r="A441" s="1">
        <v>45080</v>
      </c>
      <c r="B441" t="s">
        <v>9</v>
      </c>
      <c r="C441" t="s">
        <v>25</v>
      </c>
      <c r="D441" t="s">
        <v>26</v>
      </c>
      <c r="E441">
        <v>39</v>
      </c>
      <c r="F441">
        <v>440.53</v>
      </c>
      <c r="G441" t="s">
        <v>12</v>
      </c>
      <c r="H441">
        <v>4</v>
      </c>
      <c r="I441">
        <v>1201.1400000000001</v>
      </c>
      <c r="J441">
        <v>-760.61</v>
      </c>
      <c r="K441" t="s">
        <v>50</v>
      </c>
      <c r="L441" t="s">
        <v>51</v>
      </c>
      <c r="M441">
        <v>2023</v>
      </c>
      <c r="N441" t="s">
        <v>46</v>
      </c>
    </row>
    <row r="442" spans="1:14" x14ac:dyDescent="0.3">
      <c r="A442" s="1">
        <v>44810</v>
      </c>
      <c r="B442" t="s">
        <v>9</v>
      </c>
      <c r="C442" t="s">
        <v>16</v>
      </c>
      <c r="D442" t="s">
        <v>37</v>
      </c>
      <c r="E442">
        <v>50</v>
      </c>
      <c r="F442">
        <v>12151.36</v>
      </c>
      <c r="G442" t="s">
        <v>20</v>
      </c>
      <c r="H442">
        <v>4</v>
      </c>
      <c r="I442">
        <v>498.37</v>
      </c>
      <c r="J442">
        <v>11652.99</v>
      </c>
      <c r="K442" t="s">
        <v>60</v>
      </c>
      <c r="L442" t="s">
        <v>61</v>
      </c>
      <c r="M442">
        <v>2022</v>
      </c>
      <c r="N442" t="s">
        <v>47</v>
      </c>
    </row>
    <row r="443" spans="1:14" x14ac:dyDescent="0.3">
      <c r="A443" s="1">
        <v>44860</v>
      </c>
      <c r="B443" t="s">
        <v>9</v>
      </c>
      <c r="C443" t="s">
        <v>25</v>
      </c>
      <c r="D443" t="s">
        <v>39</v>
      </c>
      <c r="E443">
        <v>32</v>
      </c>
      <c r="F443">
        <v>12404.55</v>
      </c>
      <c r="G443" t="s">
        <v>20</v>
      </c>
      <c r="H443">
        <v>1</v>
      </c>
      <c r="I443">
        <v>5754.85</v>
      </c>
      <c r="J443">
        <v>6649.7</v>
      </c>
      <c r="K443" t="s">
        <v>62</v>
      </c>
      <c r="L443" t="s">
        <v>59</v>
      </c>
      <c r="M443">
        <v>2022</v>
      </c>
      <c r="N443" t="s">
        <v>44</v>
      </c>
    </row>
    <row r="444" spans="1:14" x14ac:dyDescent="0.3">
      <c r="A444" s="1">
        <v>45196</v>
      </c>
      <c r="B444" t="s">
        <v>9</v>
      </c>
      <c r="C444" t="s">
        <v>13</v>
      </c>
      <c r="D444" t="s">
        <v>14</v>
      </c>
      <c r="E444">
        <v>7</v>
      </c>
      <c r="F444">
        <v>579.41999999999996</v>
      </c>
      <c r="G444" t="s">
        <v>20</v>
      </c>
      <c r="H444">
        <v>5</v>
      </c>
      <c r="I444">
        <v>848.54</v>
      </c>
      <c r="J444">
        <v>-269.12</v>
      </c>
      <c r="K444" t="s">
        <v>60</v>
      </c>
      <c r="L444" t="s">
        <v>61</v>
      </c>
      <c r="M444">
        <v>2023</v>
      </c>
      <c r="N444" t="s">
        <v>47</v>
      </c>
    </row>
    <row r="445" spans="1:14" x14ac:dyDescent="0.3">
      <c r="A445" s="1">
        <v>44986</v>
      </c>
      <c r="B445" t="s">
        <v>15</v>
      </c>
      <c r="C445" t="s">
        <v>16</v>
      </c>
      <c r="D445" t="s">
        <v>17</v>
      </c>
      <c r="E445">
        <v>33</v>
      </c>
      <c r="F445">
        <v>13718.2</v>
      </c>
      <c r="G445" t="s">
        <v>20</v>
      </c>
      <c r="H445">
        <v>1</v>
      </c>
      <c r="I445">
        <v>2876.19</v>
      </c>
      <c r="J445">
        <v>10842.01</v>
      </c>
      <c r="K445" t="s">
        <v>52</v>
      </c>
      <c r="L445" t="s">
        <v>53</v>
      </c>
      <c r="M445">
        <v>2023</v>
      </c>
      <c r="N445" t="s">
        <v>44</v>
      </c>
    </row>
    <row r="446" spans="1:14" x14ac:dyDescent="0.3">
      <c r="A446" s="1">
        <v>45045</v>
      </c>
      <c r="B446" t="s">
        <v>23</v>
      </c>
      <c r="C446" t="s">
        <v>21</v>
      </c>
      <c r="D446" t="s">
        <v>36</v>
      </c>
      <c r="E446">
        <v>4</v>
      </c>
      <c r="F446">
        <v>1448.93</v>
      </c>
      <c r="G446" t="s">
        <v>20</v>
      </c>
      <c r="H446">
        <v>1</v>
      </c>
      <c r="I446">
        <v>621.11</v>
      </c>
      <c r="J446">
        <v>827.82</v>
      </c>
      <c r="K446" t="s">
        <v>55</v>
      </c>
      <c r="L446" t="s">
        <v>51</v>
      </c>
      <c r="M446">
        <v>2023</v>
      </c>
      <c r="N446" t="s">
        <v>45</v>
      </c>
    </row>
    <row r="447" spans="1:14" x14ac:dyDescent="0.3">
      <c r="A447" s="1">
        <v>45104</v>
      </c>
      <c r="B447" t="s">
        <v>15</v>
      </c>
      <c r="C447" t="s">
        <v>10</v>
      </c>
      <c r="D447" t="s">
        <v>11</v>
      </c>
      <c r="E447">
        <v>19</v>
      </c>
      <c r="F447">
        <v>2782.17</v>
      </c>
      <c r="G447" t="s">
        <v>20</v>
      </c>
      <c r="H447">
        <v>4</v>
      </c>
      <c r="I447">
        <v>3778.79</v>
      </c>
      <c r="J447">
        <v>-996.62</v>
      </c>
      <c r="K447" t="s">
        <v>50</v>
      </c>
      <c r="L447" t="s">
        <v>51</v>
      </c>
      <c r="M447">
        <v>2023</v>
      </c>
      <c r="N447" t="s">
        <v>44</v>
      </c>
    </row>
    <row r="448" spans="1:14" x14ac:dyDescent="0.3">
      <c r="A448" s="1">
        <v>45128</v>
      </c>
      <c r="B448" t="s">
        <v>23</v>
      </c>
      <c r="C448" t="s">
        <v>21</v>
      </c>
      <c r="D448" t="s">
        <v>22</v>
      </c>
      <c r="E448">
        <v>22</v>
      </c>
      <c r="F448">
        <v>585.08000000000004</v>
      </c>
      <c r="G448" t="s">
        <v>12</v>
      </c>
      <c r="H448">
        <v>4</v>
      </c>
      <c r="I448">
        <v>2842.81</v>
      </c>
      <c r="J448">
        <v>-2257.73</v>
      </c>
      <c r="K448" t="s">
        <v>63</v>
      </c>
      <c r="L448" t="s">
        <v>61</v>
      </c>
      <c r="M448">
        <v>2023</v>
      </c>
      <c r="N448" t="s">
        <v>45</v>
      </c>
    </row>
    <row r="449" spans="1:14" x14ac:dyDescent="0.3">
      <c r="A449" s="1">
        <v>45049</v>
      </c>
      <c r="B449" t="s">
        <v>9</v>
      </c>
      <c r="C449" t="s">
        <v>21</v>
      </c>
      <c r="D449" t="s">
        <v>33</v>
      </c>
      <c r="E449">
        <v>23</v>
      </c>
      <c r="F449">
        <v>1910.01</v>
      </c>
      <c r="G449" t="s">
        <v>20</v>
      </c>
      <c r="H449">
        <v>4</v>
      </c>
      <c r="I449">
        <v>3298.56</v>
      </c>
      <c r="J449">
        <v>-1388.55</v>
      </c>
      <c r="K449" t="s">
        <v>56</v>
      </c>
      <c r="L449" t="s">
        <v>51</v>
      </c>
      <c r="M449">
        <v>2023</v>
      </c>
      <c r="N449" t="s">
        <v>44</v>
      </c>
    </row>
    <row r="450" spans="1:14" x14ac:dyDescent="0.3">
      <c r="A450" s="1">
        <v>44786</v>
      </c>
      <c r="B450" t="s">
        <v>23</v>
      </c>
      <c r="C450" t="s">
        <v>16</v>
      </c>
      <c r="D450" t="s">
        <v>27</v>
      </c>
      <c r="E450">
        <v>10</v>
      </c>
      <c r="F450">
        <v>3647.6</v>
      </c>
      <c r="G450" t="s">
        <v>12</v>
      </c>
      <c r="H450">
        <v>5</v>
      </c>
      <c r="I450">
        <v>2455.5</v>
      </c>
      <c r="J450">
        <v>1192.0999999999999</v>
      </c>
      <c r="K450" t="s">
        <v>64</v>
      </c>
      <c r="L450" t="s">
        <v>61</v>
      </c>
      <c r="M450">
        <v>2022</v>
      </c>
      <c r="N450" t="s">
        <v>47</v>
      </c>
    </row>
    <row r="451" spans="1:14" x14ac:dyDescent="0.3">
      <c r="A451" s="1">
        <v>45230</v>
      </c>
      <c r="B451" t="s">
        <v>31</v>
      </c>
      <c r="C451" t="s">
        <v>13</v>
      </c>
      <c r="D451" t="s">
        <v>29</v>
      </c>
      <c r="E451">
        <v>2</v>
      </c>
      <c r="F451">
        <v>941.25</v>
      </c>
      <c r="G451" t="s">
        <v>20</v>
      </c>
      <c r="H451">
        <v>4</v>
      </c>
      <c r="I451">
        <v>291.66000000000003</v>
      </c>
      <c r="J451">
        <v>649.59</v>
      </c>
      <c r="K451" t="s">
        <v>62</v>
      </c>
      <c r="L451" t="s">
        <v>59</v>
      </c>
      <c r="M451">
        <v>2023</v>
      </c>
      <c r="N451" t="s">
        <v>44</v>
      </c>
    </row>
    <row r="452" spans="1:14" x14ac:dyDescent="0.3">
      <c r="A452" s="1">
        <v>44681</v>
      </c>
      <c r="B452" t="s">
        <v>31</v>
      </c>
      <c r="C452" t="s">
        <v>21</v>
      </c>
      <c r="D452" t="s">
        <v>36</v>
      </c>
      <c r="E452">
        <v>46</v>
      </c>
      <c r="F452">
        <v>18326.61</v>
      </c>
      <c r="G452" t="s">
        <v>12</v>
      </c>
      <c r="H452">
        <v>1</v>
      </c>
      <c r="I452">
        <v>4438.04</v>
      </c>
      <c r="J452">
        <v>13888.57</v>
      </c>
      <c r="K452" t="s">
        <v>55</v>
      </c>
      <c r="L452" t="s">
        <v>51</v>
      </c>
      <c r="M452">
        <v>2022</v>
      </c>
      <c r="N452" t="s">
        <v>45</v>
      </c>
    </row>
    <row r="453" spans="1:14" x14ac:dyDescent="0.3">
      <c r="A453" s="1">
        <v>44736</v>
      </c>
      <c r="B453" t="s">
        <v>15</v>
      </c>
      <c r="C453" t="s">
        <v>16</v>
      </c>
      <c r="D453" t="s">
        <v>37</v>
      </c>
      <c r="E453">
        <v>1</v>
      </c>
      <c r="F453">
        <v>148.19999999999999</v>
      </c>
      <c r="G453" t="s">
        <v>12</v>
      </c>
      <c r="H453">
        <v>1</v>
      </c>
      <c r="I453">
        <v>39.71</v>
      </c>
      <c r="J453">
        <v>108.49</v>
      </c>
      <c r="K453" t="s">
        <v>50</v>
      </c>
      <c r="L453" t="s">
        <v>51</v>
      </c>
      <c r="M453">
        <v>2022</v>
      </c>
      <c r="N453" t="s">
        <v>46</v>
      </c>
    </row>
    <row r="454" spans="1:14" x14ac:dyDescent="0.3">
      <c r="A454" s="1">
        <v>44848</v>
      </c>
      <c r="B454" t="s">
        <v>31</v>
      </c>
      <c r="C454" t="s">
        <v>25</v>
      </c>
      <c r="D454" t="s">
        <v>26</v>
      </c>
      <c r="E454">
        <v>14</v>
      </c>
      <c r="F454">
        <v>1490.5</v>
      </c>
      <c r="G454" t="s">
        <v>12</v>
      </c>
      <c r="H454">
        <v>4</v>
      </c>
      <c r="I454">
        <v>486.5</v>
      </c>
      <c r="J454">
        <v>1004</v>
      </c>
      <c r="K454" t="s">
        <v>62</v>
      </c>
      <c r="L454" t="s">
        <v>59</v>
      </c>
      <c r="M454">
        <v>2022</v>
      </c>
      <c r="N454" t="s">
        <v>46</v>
      </c>
    </row>
    <row r="455" spans="1:14" x14ac:dyDescent="0.3">
      <c r="A455" s="1">
        <v>45275</v>
      </c>
      <c r="B455" t="s">
        <v>9</v>
      </c>
      <c r="C455" t="s">
        <v>21</v>
      </c>
      <c r="D455" t="s">
        <v>33</v>
      </c>
      <c r="E455">
        <v>49</v>
      </c>
      <c r="F455">
        <v>1718.77</v>
      </c>
      <c r="G455" t="s">
        <v>12</v>
      </c>
      <c r="H455">
        <v>5</v>
      </c>
      <c r="I455">
        <v>9389.77</v>
      </c>
      <c r="J455">
        <v>-7671</v>
      </c>
      <c r="K455" t="s">
        <v>58</v>
      </c>
      <c r="L455" t="s">
        <v>59</v>
      </c>
      <c r="M455">
        <v>2023</v>
      </c>
      <c r="N455" t="s">
        <v>44</v>
      </c>
    </row>
    <row r="456" spans="1:14" x14ac:dyDescent="0.3">
      <c r="A456" s="1">
        <v>45243</v>
      </c>
      <c r="B456" t="s">
        <v>23</v>
      </c>
      <c r="C456" t="s">
        <v>13</v>
      </c>
      <c r="D456" t="s">
        <v>29</v>
      </c>
      <c r="E456">
        <v>1</v>
      </c>
      <c r="F456">
        <v>381.13</v>
      </c>
      <c r="G456" t="s">
        <v>20</v>
      </c>
      <c r="H456">
        <v>4</v>
      </c>
      <c r="I456">
        <v>172.82</v>
      </c>
      <c r="J456">
        <v>208.31</v>
      </c>
      <c r="K456" t="s">
        <v>65</v>
      </c>
      <c r="L456" t="s">
        <v>59</v>
      </c>
      <c r="M456">
        <v>2023</v>
      </c>
      <c r="N456" t="s">
        <v>44</v>
      </c>
    </row>
    <row r="457" spans="1:14" x14ac:dyDescent="0.3">
      <c r="A457" s="1">
        <v>45083</v>
      </c>
      <c r="B457" t="s">
        <v>23</v>
      </c>
      <c r="C457" t="s">
        <v>16</v>
      </c>
      <c r="D457" t="s">
        <v>17</v>
      </c>
      <c r="E457">
        <v>38</v>
      </c>
      <c r="F457">
        <v>16480.75</v>
      </c>
      <c r="G457" t="s">
        <v>12</v>
      </c>
      <c r="H457">
        <v>5</v>
      </c>
      <c r="I457">
        <v>1739.28</v>
      </c>
      <c r="J457">
        <v>14741.47</v>
      </c>
      <c r="K457" t="s">
        <v>50</v>
      </c>
      <c r="L457" t="s">
        <v>51</v>
      </c>
      <c r="M457">
        <v>2023</v>
      </c>
      <c r="N457" t="s">
        <v>44</v>
      </c>
    </row>
    <row r="458" spans="1:14" x14ac:dyDescent="0.3">
      <c r="A458" s="1">
        <v>45192</v>
      </c>
      <c r="B458" t="s">
        <v>31</v>
      </c>
      <c r="C458" t="s">
        <v>25</v>
      </c>
      <c r="D458" t="s">
        <v>39</v>
      </c>
      <c r="E458">
        <v>9</v>
      </c>
      <c r="F458">
        <v>3343.31</v>
      </c>
      <c r="G458" t="s">
        <v>12</v>
      </c>
      <c r="H458">
        <v>5</v>
      </c>
      <c r="I458">
        <v>1206.45</v>
      </c>
      <c r="J458">
        <v>2136.86</v>
      </c>
      <c r="K458" t="s">
        <v>60</v>
      </c>
      <c r="L458" t="s">
        <v>61</v>
      </c>
      <c r="M458">
        <v>2023</v>
      </c>
      <c r="N458" t="s">
        <v>46</v>
      </c>
    </row>
    <row r="459" spans="1:14" x14ac:dyDescent="0.3">
      <c r="A459" s="1">
        <v>44722</v>
      </c>
      <c r="B459" t="s">
        <v>23</v>
      </c>
      <c r="C459" t="s">
        <v>10</v>
      </c>
      <c r="D459" t="s">
        <v>11</v>
      </c>
      <c r="E459">
        <v>20</v>
      </c>
      <c r="F459">
        <v>9535.0499999999993</v>
      </c>
      <c r="G459" t="s">
        <v>12</v>
      </c>
      <c r="H459">
        <v>3</v>
      </c>
      <c r="I459">
        <v>1619.31</v>
      </c>
      <c r="J459">
        <v>7915.74</v>
      </c>
      <c r="K459" t="s">
        <v>50</v>
      </c>
      <c r="L459" t="s">
        <v>51</v>
      </c>
      <c r="M459">
        <v>2022</v>
      </c>
      <c r="N459" t="s">
        <v>44</v>
      </c>
    </row>
    <row r="460" spans="1:14" x14ac:dyDescent="0.3">
      <c r="A460" s="1">
        <v>44889</v>
      </c>
      <c r="B460" t="s">
        <v>9</v>
      </c>
      <c r="C460" t="s">
        <v>10</v>
      </c>
      <c r="D460" t="s">
        <v>11</v>
      </c>
      <c r="E460">
        <v>33</v>
      </c>
      <c r="F460">
        <v>2498.54</v>
      </c>
      <c r="G460" t="s">
        <v>20</v>
      </c>
      <c r="H460">
        <v>5</v>
      </c>
      <c r="I460">
        <v>6840.5</v>
      </c>
      <c r="J460">
        <v>-4341.96</v>
      </c>
      <c r="K460" t="s">
        <v>65</v>
      </c>
      <c r="L460" t="s">
        <v>59</v>
      </c>
      <c r="M460">
        <v>2022</v>
      </c>
      <c r="N460" t="s">
        <v>44</v>
      </c>
    </row>
    <row r="461" spans="1:14" x14ac:dyDescent="0.3">
      <c r="A461" s="1">
        <v>45031</v>
      </c>
      <c r="B461" t="s">
        <v>9</v>
      </c>
      <c r="C461" t="s">
        <v>10</v>
      </c>
      <c r="D461" t="s">
        <v>35</v>
      </c>
      <c r="E461">
        <v>16</v>
      </c>
      <c r="F461">
        <v>2508.1799999999998</v>
      </c>
      <c r="G461" t="s">
        <v>20</v>
      </c>
      <c r="H461">
        <v>5</v>
      </c>
      <c r="I461">
        <v>3918.62</v>
      </c>
      <c r="J461">
        <v>-1410.44</v>
      </c>
      <c r="K461" t="s">
        <v>55</v>
      </c>
      <c r="L461" t="s">
        <v>51</v>
      </c>
      <c r="M461">
        <v>2023</v>
      </c>
      <c r="N461" t="s">
        <v>44</v>
      </c>
    </row>
    <row r="462" spans="1:14" x14ac:dyDescent="0.3">
      <c r="A462" s="1">
        <v>45025</v>
      </c>
      <c r="B462" t="s">
        <v>9</v>
      </c>
      <c r="C462" t="s">
        <v>13</v>
      </c>
      <c r="D462" t="s">
        <v>14</v>
      </c>
      <c r="E462">
        <v>29</v>
      </c>
      <c r="F462">
        <v>2954.67</v>
      </c>
      <c r="G462" t="s">
        <v>12</v>
      </c>
      <c r="H462">
        <v>2</v>
      </c>
      <c r="I462">
        <v>2435.1799999999998</v>
      </c>
      <c r="J462">
        <v>519.49</v>
      </c>
      <c r="K462" t="s">
        <v>55</v>
      </c>
      <c r="L462" t="s">
        <v>51</v>
      </c>
      <c r="M462">
        <v>2023</v>
      </c>
      <c r="N462" t="s">
        <v>44</v>
      </c>
    </row>
    <row r="463" spans="1:14" x14ac:dyDescent="0.3">
      <c r="A463" s="1">
        <v>45221</v>
      </c>
      <c r="B463" t="s">
        <v>15</v>
      </c>
      <c r="C463" t="s">
        <v>13</v>
      </c>
      <c r="D463" t="s">
        <v>19</v>
      </c>
      <c r="E463">
        <v>26</v>
      </c>
      <c r="F463">
        <v>10568.85</v>
      </c>
      <c r="G463" t="s">
        <v>12</v>
      </c>
      <c r="H463">
        <v>1</v>
      </c>
      <c r="I463">
        <v>622.84</v>
      </c>
      <c r="J463">
        <v>9946.01</v>
      </c>
      <c r="K463" t="s">
        <v>62</v>
      </c>
      <c r="L463" t="s">
        <v>59</v>
      </c>
      <c r="M463">
        <v>2023</v>
      </c>
      <c r="N463" t="s">
        <v>44</v>
      </c>
    </row>
    <row r="464" spans="1:14" x14ac:dyDescent="0.3">
      <c r="A464" s="1">
        <v>45099</v>
      </c>
      <c r="B464" t="s">
        <v>15</v>
      </c>
      <c r="C464" t="s">
        <v>10</v>
      </c>
      <c r="D464" t="s">
        <v>34</v>
      </c>
      <c r="E464">
        <v>14</v>
      </c>
      <c r="F464">
        <v>5658.07</v>
      </c>
      <c r="G464" t="s">
        <v>20</v>
      </c>
      <c r="H464">
        <v>2</v>
      </c>
      <c r="I464">
        <v>818.8</v>
      </c>
      <c r="J464">
        <v>4839.2700000000004</v>
      </c>
      <c r="K464" t="s">
        <v>50</v>
      </c>
      <c r="L464" t="s">
        <v>51</v>
      </c>
      <c r="M464">
        <v>2023</v>
      </c>
      <c r="N464" t="s">
        <v>44</v>
      </c>
    </row>
    <row r="465" spans="1:14" x14ac:dyDescent="0.3">
      <c r="A465" s="1">
        <v>44701</v>
      </c>
      <c r="B465" t="s">
        <v>15</v>
      </c>
      <c r="C465" t="s">
        <v>13</v>
      </c>
      <c r="D465" t="s">
        <v>19</v>
      </c>
      <c r="E465">
        <v>20</v>
      </c>
      <c r="F465">
        <v>8322.41</v>
      </c>
      <c r="G465" t="s">
        <v>20</v>
      </c>
      <c r="H465">
        <v>3</v>
      </c>
      <c r="I465">
        <v>3327.07</v>
      </c>
      <c r="J465">
        <v>4995.34</v>
      </c>
      <c r="K465" t="s">
        <v>56</v>
      </c>
      <c r="L465" t="s">
        <v>51</v>
      </c>
      <c r="M465">
        <v>2022</v>
      </c>
      <c r="N465" t="s">
        <v>46</v>
      </c>
    </row>
    <row r="466" spans="1:14" x14ac:dyDescent="0.3">
      <c r="A466" s="1">
        <v>45029</v>
      </c>
      <c r="B466" t="s">
        <v>18</v>
      </c>
      <c r="C466" t="s">
        <v>13</v>
      </c>
      <c r="D466" t="s">
        <v>29</v>
      </c>
      <c r="E466">
        <v>38</v>
      </c>
      <c r="F466">
        <v>7339.99</v>
      </c>
      <c r="G466" t="s">
        <v>20</v>
      </c>
      <c r="H466">
        <v>2</v>
      </c>
      <c r="I466">
        <v>5818.78</v>
      </c>
      <c r="J466">
        <v>1521.21</v>
      </c>
      <c r="K466" t="s">
        <v>55</v>
      </c>
      <c r="L466" t="s">
        <v>51</v>
      </c>
      <c r="M466">
        <v>2023</v>
      </c>
      <c r="N466" t="s">
        <v>47</v>
      </c>
    </row>
    <row r="467" spans="1:14" x14ac:dyDescent="0.3">
      <c r="A467" s="1">
        <v>44756</v>
      </c>
      <c r="B467" t="s">
        <v>18</v>
      </c>
      <c r="C467" t="s">
        <v>25</v>
      </c>
      <c r="D467" t="s">
        <v>38</v>
      </c>
      <c r="E467">
        <v>7</v>
      </c>
      <c r="F467">
        <v>1590.94</v>
      </c>
      <c r="G467" t="s">
        <v>12</v>
      </c>
      <c r="H467">
        <v>3</v>
      </c>
      <c r="I467">
        <v>42.35</v>
      </c>
      <c r="J467">
        <v>1548.59</v>
      </c>
      <c r="K467" t="s">
        <v>63</v>
      </c>
      <c r="L467" t="s">
        <v>61</v>
      </c>
      <c r="M467">
        <v>2022</v>
      </c>
      <c r="N467" t="s">
        <v>45</v>
      </c>
    </row>
    <row r="468" spans="1:14" x14ac:dyDescent="0.3">
      <c r="A468" s="1">
        <v>44945</v>
      </c>
      <c r="B468" t="s">
        <v>15</v>
      </c>
      <c r="C468" t="s">
        <v>25</v>
      </c>
      <c r="D468" t="s">
        <v>26</v>
      </c>
      <c r="E468">
        <v>35</v>
      </c>
      <c r="F468">
        <v>11263.52</v>
      </c>
      <c r="G468" t="s">
        <v>12</v>
      </c>
      <c r="H468">
        <v>1</v>
      </c>
      <c r="I468">
        <v>7263</v>
      </c>
      <c r="J468">
        <v>4000.52</v>
      </c>
      <c r="K468" t="s">
        <v>57</v>
      </c>
      <c r="L468" t="s">
        <v>53</v>
      </c>
      <c r="M468">
        <v>2023</v>
      </c>
      <c r="N468" t="s">
        <v>44</v>
      </c>
    </row>
    <row r="469" spans="1:14" x14ac:dyDescent="0.3">
      <c r="A469" s="1">
        <v>45197</v>
      </c>
      <c r="B469" t="s">
        <v>9</v>
      </c>
      <c r="C469" t="s">
        <v>13</v>
      </c>
      <c r="D469" t="s">
        <v>14</v>
      </c>
      <c r="E469">
        <v>19</v>
      </c>
      <c r="F469">
        <v>2796.6</v>
      </c>
      <c r="G469" t="s">
        <v>20</v>
      </c>
      <c r="H469">
        <v>1</v>
      </c>
      <c r="I469">
        <v>2528.44</v>
      </c>
      <c r="J469">
        <v>268.16000000000003</v>
      </c>
      <c r="K469" t="s">
        <v>60</v>
      </c>
      <c r="L469" t="s">
        <v>61</v>
      </c>
      <c r="M469">
        <v>2023</v>
      </c>
      <c r="N469" t="s">
        <v>44</v>
      </c>
    </row>
    <row r="470" spans="1:14" x14ac:dyDescent="0.3">
      <c r="A470" s="1">
        <v>45135</v>
      </c>
      <c r="B470" t="s">
        <v>15</v>
      </c>
      <c r="C470" t="s">
        <v>21</v>
      </c>
      <c r="D470" t="s">
        <v>32</v>
      </c>
      <c r="E470">
        <v>3</v>
      </c>
      <c r="F470">
        <v>856.22</v>
      </c>
      <c r="G470" t="s">
        <v>20</v>
      </c>
      <c r="H470">
        <v>5</v>
      </c>
      <c r="I470">
        <v>314.85000000000002</v>
      </c>
      <c r="J470">
        <v>541.37</v>
      </c>
      <c r="K470" t="s">
        <v>63</v>
      </c>
      <c r="L470" t="s">
        <v>61</v>
      </c>
      <c r="M470">
        <v>2023</v>
      </c>
      <c r="N470" t="s">
        <v>44</v>
      </c>
    </row>
    <row r="471" spans="1:14" x14ac:dyDescent="0.3">
      <c r="A471" s="1">
        <v>44824</v>
      </c>
      <c r="B471" t="s">
        <v>31</v>
      </c>
      <c r="C471" t="s">
        <v>25</v>
      </c>
      <c r="D471" t="s">
        <v>30</v>
      </c>
      <c r="E471">
        <v>22</v>
      </c>
      <c r="F471">
        <v>5503.13</v>
      </c>
      <c r="G471" t="s">
        <v>12</v>
      </c>
      <c r="H471">
        <v>5</v>
      </c>
      <c r="I471">
        <v>1176.48</v>
      </c>
      <c r="J471">
        <v>4326.6499999999996</v>
      </c>
      <c r="K471" t="s">
        <v>60</v>
      </c>
      <c r="L471" t="s">
        <v>61</v>
      </c>
      <c r="M471">
        <v>2022</v>
      </c>
      <c r="N471" t="s">
        <v>47</v>
      </c>
    </row>
    <row r="472" spans="1:14" x14ac:dyDescent="0.3">
      <c r="A472" s="1">
        <v>44573</v>
      </c>
      <c r="B472" t="s">
        <v>18</v>
      </c>
      <c r="C472" t="s">
        <v>10</v>
      </c>
      <c r="D472" t="s">
        <v>34</v>
      </c>
      <c r="E472">
        <v>40</v>
      </c>
      <c r="F472">
        <v>13807.58</v>
      </c>
      <c r="G472" t="s">
        <v>12</v>
      </c>
      <c r="H472">
        <v>2</v>
      </c>
      <c r="I472">
        <v>3375.88</v>
      </c>
      <c r="J472">
        <v>10431.700000000001</v>
      </c>
      <c r="K472" t="s">
        <v>57</v>
      </c>
      <c r="L472" t="s">
        <v>53</v>
      </c>
      <c r="M472">
        <v>2022</v>
      </c>
      <c r="N472" t="s">
        <v>47</v>
      </c>
    </row>
    <row r="473" spans="1:14" x14ac:dyDescent="0.3">
      <c r="A473" s="1">
        <v>44957</v>
      </c>
      <c r="B473" t="s">
        <v>23</v>
      </c>
      <c r="C473" t="s">
        <v>13</v>
      </c>
      <c r="D473" t="s">
        <v>19</v>
      </c>
      <c r="E473">
        <v>7</v>
      </c>
      <c r="F473">
        <v>767.65</v>
      </c>
      <c r="G473" t="s">
        <v>20</v>
      </c>
      <c r="H473">
        <v>4</v>
      </c>
      <c r="I473">
        <v>311.29000000000002</v>
      </c>
      <c r="J473">
        <v>456.36</v>
      </c>
      <c r="K473" t="s">
        <v>57</v>
      </c>
      <c r="L473" t="s">
        <v>53</v>
      </c>
      <c r="M473">
        <v>2023</v>
      </c>
      <c r="N473" t="s">
        <v>44</v>
      </c>
    </row>
    <row r="474" spans="1:14" x14ac:dyDescent="0.3">
      <c r="A474" s="1">
        <v>44807</v>
      </c>
      <c r="B474" t="s">
        <v>9</v>
      </c>
      <c r="C474" t="s">
        <v>10</v>
      </c>
      <c r="D474" t="s">
        <v>11</v>
      </c>
      <c r="E474">
        <v>45</v>
      </c>
      <c r="F474">
        <v>11830.81</v>
      </c>
      <c r="G474" t="s">
        <v>20</v>
      </c>
      <c r="H474">
        <v>5</v>
      </c>
      <c r="I474">
        <v>8881.5</v>
      </c>
      <c r="J474">
        <v>2949.31</v>
      </c>
      <c r="K474" t="s">
        <v>60</v>
      </c>
      <c r="L474" t="s">
        <v>61</v>
      </c>
      <c r="M474">
        <v>2022</v>
      </c>
      <c r="N474" t="s">
        <v>45</v>
      </c>
    </row>
    <row r="475" spans="1:14" x14ac:dyDescent="0.3">
      <c r="A475" s="1">
        <v>44668</v>
      </c>
      <c r="B475" t="s">
        <v>23</v>
      </c>
      <c r="C475" t="s">
        <v>21</v>
      </c>
      <c r="D475" t="s">
        <v>32</v>
      </c>
      <c r="E475">
        <v>24</v>
      </c>
      <c r="F475">
        <v>5008.9399999999996</v>
      </c>
      <c r="G475" t="s">
        <v>12</v>
      </c>
      <c r="H475">
        <v>3</v>
      </c>
      <c r="I475">
        <v>5836.38</v>
      </c>
      <c r="J475">
        <v>-827.44</v>
      </c>
      <c r="K475" t="s">
        <v>55</v>
      </c>
      <c r="L475" t="s">
        <v>51</v>
      </c>
      <c r="M475">
        <v>2022</v>
      </c>
      <c r="N475" t="s">
        <v>45</v>
      </c>
    </row>
    <row r="476" spans="1:14" x14ac:dyDescent="0.3">
      <c r="A476" s="1">
        <v>45187</v>
      </c>
      <c r="B476" t="s">
        <v>9</v>
      </c>
      <c r="C476" t="s">
        <v>16</v>
      </c>
      <c r="D476" t="s">
        <v>17</v>
      </c>
      <c r="E476">
        <v>5</v>
      </c>
      <c r="F476">
        <v>722.63</v>
      </c>
      <c r="G476" t="s">
        <v>20</v>
      </c>
      <c r="H476">
        <v>4</v>
      </c>
      <c r="I476">
        <v>524.29</v>
      </c>
      <c r="J476">
        <v>198.34</v>
      </c>
      <c r="K476" t="s">
        <v>60</v>
      </c>
      <c r="L476" t="s">
        <v>61</v>
      </c>
      <c r="M476">
        <v>2023</v>
      </c>
      <c r="N476" t="s">
        <v>44</v>
      </c>
    </row>
    <row r="477" spans="1:14" x14ac:dyDescent="0.3">
      <c r="A477" s="1">
        <v>45070</v>
      </c>
      <c r="B477" t="s">
        <v>23</v>
      </c>
      <c r="C477" t="s">
        <v>16</v>
      </c>
      <c r="D477" t="s">
        <v>37</v>
      </c>
      <c r="E477">
        <v>17</v>
      </c>
      <c r="F477">
        <v>2334.44</v>
      </c>
      <c r="G477" t="s">
        <v>20</v>
      </c>
      <c r="H477">
        <v>1</v>
      </c>
      <c r="I477">
        <v>4246.01</v>
      </c>
      <c r="J477">
        <v>-1911.57</v>
      </c>
      <c r="K477" t="s">
        <v>56</v>
      </c>
      <c r="L477" t="s">
        <v>51</v>
      </c>
      <c r="M477">
        <v>2023</v>
      </c>
      <c r="N477" t="s">
        <v>47</v>
      </c>
    </row>
    <row r="478" spans="1:14" x14ac:dyDescent="0.3">
      <c r="A478" s="1">
        <v>45244</v>
      </c>
      <c r="B478" t="s">
        <v>9</v>
      </c>
      <c r="C478" t="s">
        <v>25</v>
      </c>
      <c r="D478" t="s">
        <v>39</v>
      </c>
      <c r="E478">
        <v>10</v>
      </c>
      <c r="F478">
        <v>2716.21</v>
      </c>
      <c r="G478" t="s">
        <v>20</v>
      </c>
      <c r="H478">
        <v>2</v>
      </c>
      <c r="I478">
        <v>1755.08</v>
      </c>
      <c r="J478">
        <v>961.13</v>
      </c>
      <c r="K478" t="s">
        <v>65</v>
      </c>
      <c r="L478" t="s">
        <v>59</v>
      </c>
      <c r="M478">
        <v>2023</v>
      </c>
      <c r="N478" t="s">
        <v>44</v>
      </c>
    </row>
    <row r="479" spans="1:14" x14ac:dyDescent="0.3">
      <c r="A479" s="1">
        <v>44948</v>
      </c>
      <c r="B479" t="s">
        <v>9</v>
      </c>
      <c r="C479" t="s">
        <v>10</v>
      </c>
      <c r="D479" t="s">
        <v>34</v>
      </c>
      <c r="E479">
        <v>8</v>
      </c>
      <c r="F479">
        <v>508.86</v>
      </c>
      <c r="G479" t="s">
        <v>12</v>
      </c>
      <c r="H479">
        <v>2</v>
      </c>
      <c r="I479">
        <v>547.76</v>
      </c>
      <c r="J479">
        <v>-38.9</v>
      </c>
      <c r="K479" t="s">
        <v>57</v>
      </c>
      <c r="L479" t="s">
        <v>53</v>
      </c>
      <c r="M479">
        <v>2023</v>
      </c>
      <c r="N479" t="s">
        <v>45</v>
      </c>
    </row>
    <row r="480" spans="1:14" x14ac:dyDescent="0.3">
      <c r="A480" s="1">
        <v>45131</v>
      </c>
      <c r="B480" t="s">
        <v>31</v>
      </c>
      <c r="C480" t="s">
        <v>25</v>
      </c>
      <c r="D480" t="s">
        <v>39</v>
      </c>
      <c r="E480">
        <v>32</v>
      </c>
      <c r="F480">
        <v>10133.14</v>
      </c>
      <c r="G480" t="s">
        <v>20</v>
      </c>
      <c r="H480">
        <v>5</v>
      </c>
      <c r="I480">
        <v>3991.78</v>
      </c>
      <c r="J480">
        <v>6141.36</v>
      </c>
      <c r="K480" t="s">
        <v>63</v>
      </c>
      <c r="L480" t="s">
        <v>61</v>
      </c>
      <c r="M480">
        <v>2023</v>
      </c>
      <c r="N480" t="s">
        <v>44</v>
      </c>
    </row>
    <row r="481" spans="1:14" x14ac:dyDescent="0.3">
      <c r="A481" s="1">
        <v>44847</v>
      </c>
      <c r="B481" t="s">
        <v>9</v>
      </c>
      <c r="C481" t="s">
        <v>25</v>
      </c>
      <c r="D481" t="s">
        <v>39</v>
      </c>
      <c r="E481">
        <v>34</v>
      </c>
      <c r="F481">
        <v>11349.27</v>
      </c>
      <c r="G481" t="s">
        <v>12</v>
      </c>
      <c r="H481">
        <v>2</v>
      </c>
      <c r="I481">
        <v>6944.08</v>
      </c>
      <c r="J481">
        <v>4405.1899999999996</v>
      </c>
      <c r="K481" t="s">
        <v>62</v>
      </c>
      <c r="L481" t="s">
        <v>59</v>
      </c>
      <c r="M481">
        <v>2022</v>
      </c>
      <c r="N481" t="s">
        <v>47</v>
      </c>
    </row>
    <row r="482" spans="1:14" x14ac:dyDescent="0.3">
      <c r="A482" s="1">
        <v>45049</v>
      </c>
      <c r="B482" t="s">
        <v>18</v>
      </c>
      <c r="C482" t="s">
        <v>25</v>
      </c>
      <c r="D482" t="s">
        <v>30</v>
      </c>
      <c r="E482">
        <v>11</v>
      </c>
      <c r="F482">
        <v>1611.29</v>
      </c>
      <c r="G482" t="s">
        <v>20</v>
      </c>
      <c r="H482">
        <v>2</v>
      </c>
      <c r="I482">
        <v>2495.19</v>
      </c>
      <c r="J482">
        <v>-883.9</v>
      </c>
      <c r="K482" t="s">
        <v>56</v>
      </c>
      <c r="L482" t="s">
        <v>51</v>
      </c>
      <c r="M482">
        <v>2023</v>
      </c>
      <c r="N482" t="s">
        <v>47</v>
      </c>
    </row>
    <row r="483" spans="1:14" x14ac:dyDescent="0.3">
      <c r="A483" s="1">
        <v>45058</v>
      </c>
      <c r="B483" t="s">
        <v>23</v>
      </c>
      <c r="C483" t="s">
        <v>21</v>
      </c>
      <c r="D483" t="s">
        <v>22</v>
      </c>
      <c r="E483">
        <v>48</v>
      </c>
      <c r="F483">
        <v>12956.18</v>
      </c>
      <c r="G483" t="s">
        <v>20</v>
      </c>
      <c r="H483">
        <v>2</v>
      </c>
      <c r="I483">
        <v>4388.87</v>
      </c>
      <c r="J483">
        <v>8567.31</v>
      </c>
      <c r="K483" t="s">
        <v>56</v>
      </c>
      <c r="L483" t="s">
        <v>51</v>
      </c>
      <c r="M483">
        <v>2023</v>
      </c>
      <c r="N483" t="s">
        <v>45</v>
      </c>
    </row>
    <row r="484" spans="1:14" x14ac:dyDescent="0.3">
      <c r="A484" s="1">
        <v>44642</v>
      </c>
      <c r="B484" t="s">
        <v>9</v>
      </c>
      <c r="C484" t="s">
        <v>21</v>
      </c>
      <c r="D484" t="s">
        <v>32</v>
      </c>
      <c r="E484">
        <v>44</v>
      </c>
      <c r="F484">
        <v>14710.25</v>
      </c>
      <c r="G484" t="s">
        <v>20</v>
      </c>
      <c r="H484">
        <v>3</v>
      </c>
      <c r="I484">
        <v>10431.969999999999</v>
      </c>
      <c r="J484">
        <v>4278.28</v>
      </c>
      <c r="K484" t="s">
        <v>52</v>
      </c>
      <c r="L484" t="s">
        <v>53</v>
      </c>
      <c r="M484">
        <v>2022</v>
      </c>
      <c r="N484" t="s">
        <v>45</v>
      </c>
    </row>
    <row r="485" spans="1:14" x14ac:dyDescent="0.3">
      <c r="A485" s="1">
        <v>45031</v>
      </c>
      <c r="B485" t="s">
        <v>9</v>
      </c>
      <c r="C485" t="s">
        <v>10</v>
      </c>
      <c r="D485" t="s">
        <v>34</v>
      </c>
      <c r="E485">
        <v>20</v>
      </c>
      <c r="F485">
        <v>6120.62</v>
      </c>
      <c r="G485" t="s">
        <v>20</v>
      </c>
      <c r="H485">
        <v>5</v>
      </c>
      <c r="I485">
        <v>4938.21</v>
      </c>
      <c r="J485">
        <v>1182.4100000000001</v>
      </c>
      <c r="K485" t="s">
        <v>55</v>
      </c>
      <c r="L485" t="s">
        <v>51</v>
      </c>
      <c r="M485">
        <v>2023</v>
      </c>
      <c r="N485" t="s">
        <v>44</v>
      </c>
    </row>
    <row r="486" spans="1:14" x14ac:dyDescent="0.3">
      <c r="A486" s="1">
        <v>44656</v>
      </c>
      <c r="B486" t="s">
        <v>31</v>
      </c>
      <c r="C486" t="s">
        <v>16</v>
      </c>
      <c r="D486" t="s">
        <v>27</v>
      </c>
      <c r="E486">
        <v>30</v>
      </c>
      <c r="F486">
        <v>12238.16</v>
      </c>
      <c r="G486" t="s">
        <v>12</v>
      </c>
      <c r="H486">
        <v>3</v>
      </c>
      <c r="I486">
        <v>5166.46</v>
      </c>
      <c r="J486">
        <v>7071.7</v>
      </c>
      <c r="K486" t="s">
        <v>55</v>
      </c>
      <c r="L486" t="s">
        <v>51</v>
      </c>
      <c r="M486">
        <v>2022</v>
      </c>
      <c r="N486" t="s">
        <v>47</v>
      </c>
    </row>
    <row r="487" spans="1:14" x14ac:dyDescent="0.3">
      <c r="A487" s="1">
        <v>45226</v>
      </c>
      <c r="B487" t="s">
        <v>18</v>
      </c>
      <c r="C487" t="s">
        <v>13</v>
      </c>
      <c r="D487" t="s">
        <v>40</v>
      </c>
      <c r="E487">
        <v>39</v>
      </c>
      <c r="F487">
        <v>15878.38</v>
      </c>
      <c r="G487" t="s">
        <v>20</v>
      </c>
      <c r="H487">
        <v>5</v>
      </c>
      <c r="I487">
        <v>8700.1299999999992</v>
      </c>
      <c r="J487">
        <v>7178.25</v>
      </c>
      <c r="K487" t="s">
        <v>62</v>
      </c>
      <c r="L487" t="s">
        <v>59</v>
      </c>
      <c r="M487">
        <v>2023</v>
      </c>
      <c r="N487" t="s">
        <v>45</v>
      </c>
    </row>
    <row r="488" spans="1:14" x14ac:dyDescent="0.3">
      <c r="A488" s="1">
        <v>44925</v>
      </c>
      <c r="B488" t="s">
        <v>18</v>
      </c>
      <c r="C488" t="s">
        <v>25</v>
      </c>
      <c r="D488" t="s">
        <v>38</v>
      </c>
      <c r="E488">
        <v>48</v>
      </c>
      <c r="F488">
        <v>11575.7</v>
      </c>
      <c r="G488" t="s">
        <v>20</v>
      </c>
      <c r="H488">
        <v>2</v>
      </c>
      <c r="I488">
        <v>2800.13</v>
      </c>
      <c r="J488">
        <v>8775.57</v>
      </c>
      <c r="K488" t="s">
        <v>58</v>
      </c>
      <c r="L488" t="s">
        <v>59</v>
      </c>
      <c r="M488">
        <v>2022</v>
      </c>
      <c r="N488" t="s">
        <v>44</v>
      </c>
    </row>
    <row r="489" spans="1:14" x14ac:dyDescent="0.3">
      <c r="A489" s="1">
        <v>44744</v>
      </c>
      <c r="B489" t="s">
        <v>9</v>
      </c>
      <c r="C489" t="s">
        <v>25</v>
      </c>
      <c r="D489" t="s">
        <v>38</v>
      </c>
      <c r="E489">
        <v>11</v>
      </c>
      <c r="F489">
        <v>5056.49</v>
      </c>
      <c r="G489" t="s">
        <v>12</v>
      </c>
      <c r="H489">
        <v>2</v>
      </c>
      <c r="I489">
        <v>2258.36</v>
      </c>
      <c r="J489">
        <v>2798.13</v>
      </c>
      <c r="K489" t="s">
        <v>63</v>
      </c>
      <c r="L489" t="s">
        <v>61</v>
      </c>
      <c r="M489">
        <v>2022</v>
      </c>
      <c r="N489" t="s">
        <v>44</v>
      </c>
    </row>
    <row r="490" spans="1:14" x14ac:dyDescent="0.3">
      <c r="A490" s="1">
        <v>45171</v>
      </c>
      <c r="B490" t="s">
        <v>15</v>
      </c>
      <c r="C490" t="s">
        <v>13</v>
      </c>
      <c r="D490" t="s">
        <v>29</v>
      </c>
      <c r="E490">
        <v>50</v>
      </c>
      <c r="F490">
        <v>5122.82</v>
      </c>
      <c r="G490" t="s">
        <v>12</v>
      </c>
      <c r="H490">
        <v>5</v>
      </c>
      <c r="I490">
        <v>3850.83</v>
      </c>
      <c r="J490">
        <v>1271.99</v>
      </c>
      <c r="K490" t="s">
        <v>60</v>
      </c>
      <c r="L490" t="s">
        <v>61</v>
      </c>
      <c r="M490">
        <v>2023</v>
      </c>
      <c r="N490" t="s">
        <v>45</v>
      </c>
    </row>
    <row r="491" spans="1:14" x14ac:dyDescent="0.3">
      <c r="A491" s="1">
        <v>44629</v>
      </c>
      <c r="B491" t="s">
        <v>23</v>
      </c>
      <c r="C491" t="s">
        <v>25</v>
      </c>
      <c r="D491" t="s">
        <v>38</v>
      </c>
      <c r="E491">
        <v>34</v>
      </c>
      <c r="F491">
        <v>3010.29</v>
      </c>
      <c r="G491" t="s">
        <v>20</v>
      </c>
      <c r="H491">
        <v>5</v>
      </c>
      <c r="I491">
        <v>249.44</v>
      </c>
      <c r="J491">
        <v>2760.85</v>
      </c>
      <c r="K491" t="s">
        <v>52</v>
      </c>
      <c r="L491" t="s">
        <v>53</v>
      </c>
      <c r="M491">
        <v>2022</v>
      </c>
      <c r="N491" t="s">
        <v>45</v>
      </c>
    </row>
    <row r="492" spans="1:14" x14ac:dyDescent="0.3">
      <c r="A492" s="1">
        <v>44597</v>
      </c>
      <c r="B492" t="s">
        <v>18</v>
      </c>
      <c r="C492" t="s">
        <v>13</v>
      </c>
      <c r="D492" t="s">
        <v>29</v>
      </c>
      <c r="E492">
        <v>49</v>
      </c>
      <c r="F492">
        <v>21035.38</v>
      </c>
      <c r="G492" t="s">
        <v>20</v>
      </c>
      <c r="H492">
        <v>4</v>
      </c>
      <c r="I492">
        <v>5436.16</v>
      </c>
      <c r="J492">
        <v>15599.22</v>
      </c>
      <c r="K492" t="s">
        <v>54</v>
      </c>
      <c r="L492" t="s">
        <v>53</v>
      </c>
      <c r="M492">
        <v>2022</v>
      </c>
      <c r="N492" t="s">
        <v>44</v>
      </c>
    </row>
    <row r="493" spans="1:14" x14ac:dyDescent="0.3">
      <c r="A493" s="1">
        <v>45284</v>
      </c>
      <c r="B493" t="s">
        <v>15</v>
      </c>
      <c r="C493" t="s">
        <v>16</v>
      </c>
      <c r="D493" t="s">
        <v>27</v>
      </c>
      <c r="E493">
        <v>45</v>
      </c>
      <c r="F493">
        <v>9868.15</v>
      </c>
      <c r="G493" t="s">
        <v>12</v>
      </c>
      <c r="H493">
        <v>1</v>
      </c>
      <c r="I493">
        <v>6419.07</v>
      </c>
      <c r="J493">
        <v>3449.08</v>
      </c>
      <c r="K493" t="s">
        <v>58</v>
      </c>
      <c r="L493" t="s">
        <v>59</v>
      </c>
      <c r="M493">
        <v>2023</v>
      </c>
      <c r="N493" t="s">
        <v>44</v>
      </c>
    </row>
    <row r="494" spans="1:14" x14ac:dyDescent="0.3">
      <c r="A494" s="1">
        <v>44869</v>
      </c>
      <c r="B494" t="s">
        <v>9</v>
      </c>
      <c r="C494" t="s">
        <v>13</v>
      </c>
      <c r="D494" t="s">
        <v>19</v>
      </c>
      <c r="E494">
        <v>26</v>
      </c>
      <c r="F494">
        <v>2426.27</v>
      </c>
      <c r="G494" t="s">
        <v>12</v>
      </c>
      <c r="H494">
        <v>5</v>
      </c>
      <c r="I494">
        <v>5669.15</v>
      </c>
      <c r="J494">
        <v>-3242.88</v>
      </c>
      <c r="K494" t="s">
        <v>65</v>
      </c>
      <c r="L494" t="s">
        <v>59</v>
      </c>
      <c r="M494">
        <v>2022</v>
      </c>
      <c r="N494" t="s">
        <v>44</v>
      </c>
    </row>
    <row r="495" spans="1:14" x14ac:dyDescent="0.3">
      <c r="A495" s="1">
        <v>45129</v>
      </c>
      <c r="B495" t="s">
        <v>15</v>
      </c>
      <c r="C495" t="s">
        <v>10</v>
      </c>
      <c r="D495" t="s">
        <v>34</v>
      </c>
      <c r="E495">
        <v>29</v>
      </c>
      <c r="F495">
        <v>12382.87</v>
      </c>
      <c r="G495" t="s">
        <v>12</v>
      </c>
      <c r="H495">
        <v>2</v>
      </c>
      <c r="I495">
        <v>6027.94</v>
      </c>
      <c r="J495">
        <v>6354.93</v>
      </c>
      <c r="K495" t="s">
        <v>63</v>
      </c>
      <c r="L495" t="s">
        <v>61</v>
      </c>
      <c r="M495">
        <v>2023</v>
      </c>
      <c r="N495" t="s">
        <v>44</v>
      </c>
    </row>
    <row r="496" spans="1:14" x14ac:dyDescent="0.3">
      <c r="A496" s="1">
        <v>44794</v>
      </c>
      <c r="B496" t="s">
        <v>9</v>
      </c>
      <c r="C496" t="s">
        <v>25</v>
      </c>
      <c r="D496" t="s">
        <v>39</v>
      </c>
      <c r="E496">
        <v>34</v>
      </c>
      <c r="F496">
        <v>3304.56</v>
      </c>
      <c r="G496" t="s">
        <v>12</v>
      </c>
      <c r="H496">
        <v>1</v>
      </c>
      <c r="I496">
        <v>7604.14</v>
      </c>
      <c r="J496">
        <v>-4299.58</v>
      </c>
      <c r="K496" t="s">
        <v>64</v>
      </c>
      <c r="L496" t="s">
        <v>61</v>
      </c>
      <c r="M496">
        <v>2022</v>
      </c>
      <c r="N496" t="s">
        <v>44</v>
      </c>
    </row>
    <row r="497" spans="1:14" x14ac:dyDescent="0.3">
      <c r="A497" s="1">
        <v>45200</v>
      </c>
      <c r="B497" t="s">
        <v>23</v>
      </c>
      <c r="C497" t="s">
        <v>25</v>
      </c>
      <c r="D497" t="s">
        <v>39</v>
      </c>
      <c r="E497">
        <v>2</v>
      </c>
      <c r="F497">
        <v>660.58</v>
      </c>
      <c r="G497" t="s">
        <v>20</v>
      </c>
      <c r="H497">
        <v>4</v>
      </c>
      <c r="I497">
        <v>370.75</v>
      </c>
      <c r="J497">
        <v>289.83</v>
      </c>
      <c r="K497" t="s">
        <v>62</v>
      </c>
      <c r="L497" t="s">
        <v>59</v>
      </c>
      <c r="M497">
        <v>2023</v>
      </c>
      <c r="N497" t="s">
        <v>45</v>
      </c>
    </row>
    <row r="498" spans="1:14" x14ac:dyDescent="0.3">
      <c r="A498" s="1">
        <v>45205</v>
      </c>
      <c r="B498" t="s">
        <v>9</v>
      </c>
      <c r="C498" t="s">
        <v>25</v>
      </c>
      <c r="D498" t="s">
        <v>26</v>
      </c>
      <c r="E498">
        <v>34</v>
      </c>
      <c r="F498">
        <v>14957.83</v>
      </c>
      <c r="G498" t="s">
        <v>20</v>
      </c>
      <c r="H498">
        <v>5</v>
      </c>
      <c r="I498">
        <v>4162.54</v>
      </c>
      <c r="J498">
        <v>10795.29</v>
      </c>
      <c r="K498" t="s">
        <v>62</v>
      </c>
      <c r="L498" t="s">
        <v>59</v>
      </c>
      <c r="M498">
        <v>2023</v>
      </c>
      <c r="N498" t="s">
        <v>46</v>
      </c>
    </row>
    <row r="499" spans="1:14" x14ac:dyDescent="0.3">
      <c r="A499" s="1">
        <v>44724</v>
      </c>
      <c r="B499" t="s">
        <v>31</v>
      </c>
      <c r="C499" t="s">
        <v>16</v>
      </c>
      <c r="D499" t="s">
        <v>37</v>
      </c>
      <c r="E499">
        <v>9</v>
      </c>
      <c r="F499">
        <v>3427.58</v>
      </c>
      <c r="G499" t="s">
        <v>12</v>
      </c>
      <c r="H499">
        <v>1</v>
      </c>
      <c r="I499">
        <v>1400</v>
      </c>
      <c r="J499">
        <v>2027.58</v>
      </c>
      <c r="K499" t="s">
        <v>50</v>
      </c>
      <c r="L499" t="s">
        <v>51</v>
      </c>
      <c r="M499">
        <v>2022</v>
      </c>
      <c r="N499" t="s">
        <v>46</v>
      </c>
    </row>
    <row r="500" spans="1:14" x14ac:dyDescent="0.3">
      <c r="A500" s="1">
        <v>44720</v>
      </c>
      <c r="B500" t="s">
        <v>9</v>
      </c>
      <c r="C500" t="s">
        <v>13</v>
      </c>
      <c r="D500" t="s">
        <v>14</v>
      </c>
      <c r="E500">
        <v>18</v>
      </c>
      <c r="F500">
        <v>2339.94</v>
      </c>
      <c r="G500" t="s">
        <v>20</v>
      </c>
      <c r="H500">
        <v>2</v>
      </c>
      <c r="I500">
        <v>1324.64</v>
      </c>
      <c r="J500">
        <v>1015.3</v>
      </c>
      <c r="K500" t="s">
        <v>50</v>
      </c>
      <c r="L500" t="s">
        <v>51</v>
      </c>
      <c r="M500">
        <v>2022</v>
      </c>
      <c r="N500" t="s">
        <v>45</v>
      </c>
    </row>
    <row r="501" spans="1:14" x14ac:dyDescent="0.3">
      <c r="A501" s="1">
        <v>44578</v>
      </c>
      <c r="B501" t="s">
        <v>9</v>
      </c>
      <c r="C501" t="s">
        <v>10</v>
      </c>
      <c r="D501" t="s">
        <v>34</v>
      </c>
      <c r="E501">
        <v>28</v>
      </c>
      <c r="F501">
        <v>3609.29</v>
      </c>
      <c r="G501" t="s">
        <v>12</v>
      </c>
      <c r="H501">
        <v>4</v>
      </c>
      <c r="I501">
        <v>5920.39</v>
      </c>
      <c r="J501">
        <v>-2311.1</v>
      </c>
      <c r="K501" t="s">
        <v>57</v>
      </c>
      <c r="L501" t="s">
        <v>53</v>
      </c>
      <c r="M501">
        <v>2022</v>
      </c>
      <c r="N501" t="s">
        <v>47</v>
      </c>
    </row>
    <row r="502" spans="1:14" x14ac:dyDescent="0.3">
      <c r="A502" s="1">
        <v>45047</v>
      </c>
      <c r="B502" t="s">
        <v>23</v>
      </c>
      <c r="C502" t="s">
        <v>13</v>
      </c>
      <c r="D502" t="s">
        <v>29</v>
      </c>
      <c r="E502">
        <v>1</v>
      </c>
      <c r="F502">
        <v>86.89</v>
      </c>
      <c r="G502" t="s">
        <v>12</v>
      </c>
      <c r="H502">
        <v>5</v>
      </c>
      <c r="I502">
        <v>228.07</v>
      </c>
      <c r="J502">
        <v>-141.18</v>
      </c>
      <c r="K502" t="s">
        <v>56</v>
      </c>
      <c r="L502" t="s">
        <v>51</v>
      </c>
      <c r="M502">
        <v>2023</v>
      </c>
      <c r="N502" t="s">
        <v>45</v>
      </c>
    </row>
    <row r="503" spans="1:14" x14ac:dyDescent="0.3">
      <c r="A503" s="1">
        <v>45189</v>
      </c>
      <c r="B503" t="s">
        <v>15</v>
      </c>
      <c r="C503" t="s">
        <v>13</v>
      </c>
      <c r="D503" t="s">
        <v>19</v>
      </c>
      <c r="E503">
        <v>27</v>
      </c>
      <c r="F503">
        <v>9781.9599999999991</v>
      </c>
      <c r="G503" t="s">
        <v>12</v>
      </c>
      <c r="H503">
        <v>3</v>
      </c>
      <c r="I503">
        <v>1293.32</v>
      </c>
      <c r="J503">
        <v>8488.64</v>
      </c>
      <c r="K503" t="s">
        <v>60</v>
      </c>
      <c r="L503" t="s">
        <v>61</v>
      </c>
      <c r="M503">
        <v>2023</v>
      </c>
      <c r="N503" t="s">
        <v>45</v>
      </c>
    </row>
    <row r="504" spans="1:14" x14ac:dyDescent="0.3">
      <c r="A504" s="1">
        <v>45156</v>
      </c>
      <c r="B504" t="s">
        <v>18</v>
      </c>
      <c r="C504" t="s">
        <v>10</v>
      </c>
      <c r="D504" t="s">
        <v>11</v>
      </c>
      <c r="E504">
        <v>30</v>
      </c>
      <c r="F504">
        <v>4713.5200000000004</v>
      </c>
      <c r="G504" t="s">
        <v>12</v>
      </c>
      <c r="H504">
        <v>5</v>
      </c>
      <c r="I504">
        <v>310.70999999999998</v>
      </c>
      <c r="J504">
        <v>4402.8100000000004</v>
      </c>
      <c r="K504" t="s">
        <v>64</v>
      </c>
      <c r="L504" t="s">
        <v>61</v>
      </c>
      <c r="M504">
        <v>2023</v>
      </c>
      <c r="N504" t="s">
        <v>47</v>
      </c>
    </row>
    <row r="505" spans="1:14" x14ac:dyDescent="0.3">
      <c r="A505" s="1">
        <v>44944</v>
      </c>
      <c r="B505" t="s">
        <v>18</v>
      </c>
      <c r="C505" t="s">
        <v>16</v>
      </c>
      <c r="D505" t="s">
        <v>24</v>
      </c>
      <c r="E505">
        <v>12</v>
      </c>
      <c r="F505">
        <v>5965.05</v>
      </c>
      <c r="G505" t="s">
        <v>20</v>
      </c>
      <c r="H505">
        <v>3</v>
      </c>
      <c r="I505">
        <v>2284.89</v>
      </c>
      <c r="J505">
        <v>3680.16</v>
      </c>
      <c r="K505" t="s">
        <v>57</v>
      </c>
      <c r="L505" t="s">
        <v>53</v>
      </c>
      <c r="M505">
        <v>2023</v>
      </c>
      <c r="N505" t="s">
        <v>46</v>
      </c>
    </row>
    <row r="506" spans="1:14" x14ac:dyDescent="0.3">
      <c r="A506" s="1">
        <v>44777</v>
      </c>
      <c r="B506" t="s">
        <v>15</v>
      </c>
      <c r="C506" t="s">
        <v>13</v>
      </c>
      <c r="D506" t="s">
        <v>19</v>
      </c>
      <c r="E506">
        <v>49</v>
      </c>
      <c r="F506">
        <v>18009</v>
      </c>
      <c r="G506" t="s">
        <v>12</v>
      </c>
      <c r="H506">
        <v>3</v>
      </c>
      <c r="I506">
        <v>4702.1899999999996</v>
      </c>
      <c r="J506">
        <v>13306.81</v>
      </c>
      <c r="K506" t="s">
        <v>64</v>
      </c>
      <c r="L506" t="s">
        <v>61</v>
      </c>
      <c r="M506">
        <v>2022</v>
      </c>
      <c r="N506" t="s">
        <v>47</v>
      </c>
    </row>
    <row r="507" spans="1:14" x14ac:dyDescent="0.3">
      <c r="A507" s="1">
        <v>45158</v>
      </c>
      <c r="B507" t="s">
        <v>18</v>
      </c>
      <c r="C507" t="s">
        <v>21</v>
      </c>
      <c r="D507" t="s">
        <v>22</v>
      </c>
      <c r="E507">
        <v>29</v>
      </c>
      <c r="F507">
        <v>13085.25</v>
      </c>
      <c r="G507" t="s">
        <v>20</v>
      </c>
      <c r="H507">
        <v>2</v>
      </c>
      <c r="I507">
        <v>6460.21</v>
      </c>
      <c r="J507">
        <v>6625.04</v>
      </c>
      <c r="K507" t="s">
        <v>64</v>
      </c>
      <c r="L507" t="s">
        <v>61</v>
      </c>
      <c r="M507">
        <v>2023</v>
      </c>
      <c r="N507" t="s">
        <v>44</v>
      </c>
    </row>
    <row r="508" spans="1:14" x14ac:dyDescent="0.3">
      <c r="A508" s="1">
        <v>44989</v>
      </c>
      <c r="B508" t="s">
        <v>18</v>
      </c>
      <c r="C508" t="s">
        <v>16</v>
      </c>
      <c r="D508" t="s">
        <v>17</v>
      </c>
      <c r="E508">
        <v>11</v>
      </c>
      <c r="F508">
        <v>2771.56</v>
      </c>
      <c r="G508" t="s">
        <v>12</v>
      </c>
      <c r="H508">
        <v>4</v>
      </c>
      <c r="I508">
        <v>1598.38</v>
      </c>
      <c r="J508">
        <v>1173.18</v>
      </c>
      <c r="K508" t="s">
        <v>52</v>
      </c>
      <c r="L508" t="s">
        <v>53</v>
      </c>
      <c r="M508">
        <v>2023</v>
      </c>
      <c r="N508" t="s">
        <v>44</v>
      </c>
    </row>
    <row r="509" spans="1:14" x14ac:dyDescent="0.3">
      <c r="A509" s="1">
        <v>45089</v>
      </c>
      <c r="B509" t="s">
        <v>23</v>
      </c>
      <c r="C509" t="s">
        <v>10</v>
      </c>
      <c r="D509" t="s">
        <v>34</v>
      </c>
      <c r="E509">
        <v>15</v>
      </c>
      <c r="F509">
        <v>7290.65</v>
      </c>
      <c r="G509" t="s">
        <v>20</v>
      </c>
      <c r="H509">
        <v>4</v>
      </c>
      <c r="I509">
        <v>2499.88</v>
      </c>
      <c r="J509">
        <v>4790.7700000000004</v>
      </c>
      <c r="K509" t="s">
        <v>50</v>
      </c>
      <c r="L509" t="s">
        <v>51</v>
      </c>
      <c r="M509">
        <v>2023</v>
      </c>
      <c r="N509" t="s">
        <v>45</v>
      </c>
    </row>
    <row r="510" spans="1:14" x14ac:dyDescent="0.3">
      <c r="A510" s="1">
        <v>44758</v>
      </c>
      <c r="B510" t="s">
        <v>31</v>
      </c>
      <c r="C510" t="s">
        <v>25</v>
      </c>
      <c r="D510" t="s">
        <v>26</v>
      </c>
      <c r="E510">
        <v>40</v>
      </c>
      <c r="F510">
        <v>3993.48</v>
      </c>
      <c r="G510" t="s">
        <v>20</v>
      </c>
      <c r="H510">
        <v>4</v>
      </c>
      <c r="I510">
        <v>6377.09</v>
      </c>
      <c r="J510">
        <v>-2383.61</v>
      </c>
      <c r="K510" t="s">
        <v>63</v>
      </c>
      <c r="L510" t="s">
        <v>61</v>
      </c>
      <c r="M510">
        <v>2022</v>
      </c>
      <c r="N510" t="s">
        <v>45</v>
      </c>
    </row>
    <row r="511" spans="1:14" x14ac:dyDescent="0.3">
      <c r="A511" s="1">
        <v>45228</v>
      </c>
      <c r="B511" t="s">
        <v>23</v>
      </c>
      <c r="C511" t="s">
        <v>16</v>
      </c>
      <c r="D511" t="s">
        <v>17</v>
      </c>
      <c r="E511">
        <v>17</v>
      </c>
      <c r="F511">
        <v>6336.95</v>
      </c>
      <c r="G511" t="s">
        <v>12</v>
      </c>
      <c r="H511">
        <v>4</v>
      </c>
      <c r="I511">
        <v>434.83</v>
      </c>
      <c r="J511">
        <v>5902.12</v>
      </c>
      <c r="K511" t="s">
        <v>62</v>
      </c>
      <c r="L511" t="s">
        <v>59</v>
      </c>
      <c r="M511">
        <v>2023</v>
      </c>
      <c r="N511" t="s">
        <v>46</v>
      </c>
    </row>
    <row r="512" spans="1:14" x14ac:dyDescent="0.3">
      <c r="A512" s="1">
        <v>45041</v>
      </c>
      <c r="B512" t="s">
        <v>23</v>
      </c>
      <c r="C512" t="s">
        <v>21</v>
      </c>
      <c r="D512" t="s">
        <v>22</v>
      </c>
      <c r="E512">
        <v>25</v>
      </c>
      <c r="F512">
        <v>6257.77</v>
      </c>
      <c r="G512" t="s">
        <v>12</v>
      </c>
      <c r="H512">
        <v>2</v>
      </c>
      <c r="I512">
        <v>5119.9399999999996</v>
      </c>
      <c r="J512">
        <v>1137.83</v>
      </c>
      <c r="K512" t="s">
        <v>55</v>
      </c>
      <c r="L512" t="s">
        <v>51</v>
      </c>
      <c r="M512">
        <v>2023</v>
      </c>
      <c r="N512" t="s">
        <v>44</v>
      </c>
    </row>
    <row r="513" spans="1:14" x14ac:dyDescent="0.3">
      <c r="A513" s="1">
        <v>44573</v>
      </c>
      <c r="B513" t="s">
        <v>9</v>
      </c>
      <c r="C513" t="s">
        <v>16</v>
      </c>
      <c r="D513" t="s">
        <v>37</v>
      </c>
      <c r="E513">
        <v>36</v>
      </c>
      <c r="F513">
        <v>16891.71</v>
      </c>
      <c r="G513" t="s">
        <v>20</v>
      </c>
      <c r="H513">
        <v>4</v>
      </c>
      <c r="I513">
        <v>8124.85</v>
      </c>
      <c r="J513">
        <v>8766.86</v>
      </c>
      <c r="K513" t="s">
        <v>57</v>
      </c>
      <c r="L513" t="s">
        <v>53</v>
      </c>
      <c r="M513">
        <v>2022</v>
      </c>
      <c r="N513" t="s">
        <v>46</v>
      </c>
    </row>
    <row r="514" spans="1:14" x14ac:dyDescent="0.3">
      <c r="A514" s="1">
        <v>45090</v>
      </c>
      <c r="B514" t="s">
        <v>23</v>
      </c>
      <c r="C514" t="s">
        <v>13</v>
      </c>
      <c r="D514" t="s">
        <v>29</v>
      </c>
      <c r="E514">
        <v>16</v>
      </c>
      <c r="F514">
        <v>3439.33</v>
      </c>
      <c r="G514" t="s">
        <v>20</v>
      </c>
      <c r="H514">
        <v>3</v>
      </c>
      <c r="I514">
        <v>2797.05</v>
      </c>
      <c r="J514">
        <v>642.28</v>
      </c>
      <c r="K514" t="s">
        <v>50</v>
      </c>
      <c r="L514" t="s">
        <v>51</v>
      </c>
      <c r="M514">
        <v>2023</v>
      </c>
      <c r="N514" t="s">
        <v>44</v>
      </c>
    </row>
    <row r="515" spans="1:14" x14ac:dyDescent="0.3">
      <c r="A515" s="1">
        <v>44880</v>
      </c>
      <c r="B515" t="s">
        <v>23</v>
      </c>
      <c r="C515" t="s">
        <v>10</v>
      </c>
      <c r="D515" t="s">
        <v>28</v>
      </c>
      <c r="E515">
        <v>47</v>
      </c>
      <c r="F515">
        <v>1981</v>
      </c>
      <c r="G515" t="s">
        <v>12</v>
      </c>
      <c r="H515">
        <v>5</v>
      </c>
      <c r="I515">
        <v>9354.83</v>
      </c>
      <c r="J515">
        <v>-7373.83</v>
      </c>
      <c r="K515" t="s">
        <v>65</v>
      </c>
      <c r="L515" t="s">
        <v>59</v>
      </c>
      <c r="M515">
        <v>2022</v>
      </c>
      <c r="N515" t="s">
        <v>43</v>
      </c>
    </row>
    <row r="516" spans="1:14" x14ac:dyDescent="0.3">
      <c r="A516" s="1">
        <v>45092</v>
      </c>
      <c r="B516" t="s">
        <v>15</v>
      </c>
      <c r="C516" t="s">
        <v>21</v>
      </c>
      <c r="D516" t="s">
        <v>33</v>
      </c>
      <c r="E516">
        <v>41</v>
      </c>
      <c r="F516">
        <v>6554.41</v>
      </c>
      <c r="G516" t="s">
        <v>20</v>
      </c>
      <c r="H516">
        <v>5</v>
      </c>
      <c r="I516">
        <v>8826.39</v>
      </c>
      <c r="J516">
        <v>-2271.98</v>
      </c>
      <c r="K516" t="s">
        <v>50</v>
      </c>
      <c r="L516" t="s">
        <v>51</v>
      </c>
      <c r="M516">
        <v>2023</v>
      </c>
      <c r="N516" t="s">
        <v>45</v>
      </c>
    </row>
    <row r="517" spans="1:14" x14ac:dyDescent="0.3">
      <c r="A517" s="1">
        <v>44934</v>
      </c>
      <c r="B517" t="s">
        <v>9</v>
      </c>
      <c r="C517" t="s">
        <v>13</v>
      </c>
      <c r="D517" t="s">
        <v>29</v>
      </c>
      <c r="E517">
        <v>2</v>
      </c>
      <c r="F517">
        <v>402.02</v>
      </c>
      <c r="G517" t="s">
        <v>20</v>
      </c>
      <c r="H517">
        <v>5</v>
      </c>
      <c r="I517">
        <v>484.28</v>
      </c>
      <c r="J517">
        <v>-82.26</v>
      </c>
      <c r="K517" t="s">
        <v>57</v>
      </c>
      <c r="L517" t="s">
        <v>53</v>
      </c>
      <c r="M517">
        <v>2023</v>
      </c>
      <c r="N517" t="s">
        <v>45</v>
      </c>
    </row>
    <row r="518" spans="1:14" x14ac:dyDescent="0.3">
      <c r="A518" s="1">
        <v>44622</v>
      </c>
      <c r="B518" t="s">
        <v>23</v>
      </c>
      <c r="C518" t="s">
        <v>25</v>
      </c>
      <c r="D518" t="s">
        <v>39</v>
      </c>
      <c r="E518">
        <v>2</v>
      </c>
      <c r="F518">
        <v>509.77</v>
      </c>
      <c r="G518" t="s">
        <v>12</v>
      </c>
      <c r="H518">
        <v>3</v>
      </c>
      <c r="I518">
        <v>104.74</v>
      </c>
      <c r="J518">
        <v>405.03</v>
      </c>
      <c r="K518" t="s">
        <v>52</v>
      </c>
      <c r="L518" t="s">
        <v>53</v>
      </c>
      <c r="M518">
        <v>2022</v>
      </c>
      <c r="N518" t="s">
        <v>44</v>
      </c>
    </row>
    <row r="519" spans="1:14" x14ac:dyDescent="0.3">
      <c r="A519" s="1">
        <v>44787</v>
      </c>
      <c r="B519" t="s">
        <v>23</v>
      </c>
      <c r="C519" t="s">
        <v>13</v>
      </c>
      <c r="D519" t="s">
        <v>29</v>
      </c>
      <c r="E519">
        <v>18</v>
      </c>
      <c r="F519">
        <v>393.56</v>
      </c>
      <c r="G519" t="s">
        <v>12</v>
      </c>
      <c r="H519">
        <v>1</v>
      </c>
      <c r="I519">
        <v>3229.27</v>
      </c>
      <c r="J519">
        <v>-2835.71</v>
      </c>
      <c r="K519" t="s">
        <v>64</v>
      </c>
      <c r="L519" t="s">
        <v>61</v>
      </c>
      <c r="M519">
        <v>2022</v>
      </c>
      <c r="N519" t="s">
        <v>43</v>
      </c>
    </row>
    <row r="520" spans="1:14" x14ac:dyDescent="0.3">
      <c r="A520" s="1">
        <v>44608</v>
      </c>
      <c r="B520" t="s">
        <v>23</v>
      </c>
      <c r="C520" t="s">
        <v>16</v>
      </c>
      <c r="D520" t="s">
        <v>37</v>
      </c>
      <c r="E520">
        <v>44</v>
      </c>
      <c r="F520">
        <v>13597.97</v>
      </c>
      <c r="G520" t="s">
        <v>20</v>
      </c>
      <c r="H520">
        <v>1</v>
      </c>
      <c r="I520">
        <v>8891.6200000000008</v>
      </c>
      <c r="J520">
        <v>4706.3500000000004</v>
      </c>
      <c r="K520" t="s">
        <v>54</v>
      </c>
      <c r="L520" t="s">
        <v>53</v>
      </c>
      <c r="M520">
        <v>2022</v>
      </c>
      <c r="N520" t="s">
        <v>43</v>
      </c>
    </row>
    <row r="521" spans="1:14" x14ac:dyDescent="0.3">
      <c r="A521" s="1">
        <v>44989</v>
      </c>
      <c r="B521" t="s">
        <v>9</v>
      </c>
      <c r="C521" t="s">
        <v>10</v>
      </c>
      <c r="D521" t="s">
        <v>34</v>
      </c>
      <c r="E521">
        <v>30</v>
      </c>
      <c r="F521">
        <v>2729.07</v>
      </c>
      <c r="G521" t="s">
        <v>12</v>
      </c>
      <c r="H521">
        <v>5</v>
      </c>
      <c r="I521">
        <v>662.28</v>
      </c>
      <c r="J521">
        <v>2066.79</v>
      </c>
      <c r="K521" t="s">
        <v>52</v>
      </c>
      <c r="L521" t="s">
        <v>53</v>
      </c>
      <c r="M521">
        <v>2023</v>
      </c>
      <c r="N521" t="s">
        <v>43</v>
      </c>
    </row>
    <row r="522" spans="1:14" x14ac:dyDescent="0.3">
      <c r="A522" s="1">
        <v>45192</v>
      </c>
      <c r="B522" t="s">
        <v>23</v>
      </c>
      <c r="C522" t="s">
        <v>16</v>
      </c>
      <c r="D522" t="s">
        <v>37</v>
      </c>
      <c r="E522">
        <v>7</v>
      </c>
      <c r="F522">
        <v>988.2</v>
      </c>
      <c r="G522" t="s">
        <v>20</v>
      </c>
      <c r="H522">
        <v>3</v>
      </c>
      <c r="I522">
        <v>429.77</v>
      </c>
      <c r="J522">
        <v>558.42999999999995</v>
      </c>
      <c r="K522" t="s">
        <v>60</v>
      </c>
      <c r="L522" t="s">
        <v>61</v>
      </c>
      <c r="M522">
        <v>2023</v>
      </c>
      <c r="N522" t="s">
        <v>46</v>
      </c>
    </row>
    <row r="523" spans="1:14" x14ac:dyDescent="0.3">
      <c r="A523" s="1">
        <v>45104</v>
      </c>
      <c r="B523" t="s">
        <v>23</v>
      </c>
      <c r="C523" t="s">
        <v>13</v>
      </c>
      <c r="D523" t="s">
        <v>40</v>
      </c>
      <c r="E523">
        <v>23</v>
      </c>
      <c r="F523">
        <v>9326.5499999999993</v>
      </c>
      <c r="G523" t="s">
        <v>12</v>
      </c>
      <c r="H523">
        <v>4</v>
      </c>
      <c r="I523">
        <v>2122.83</v>
      </c>
      <c r="J523">
        <v>7203.72</v>
      </c>
      <c r="K523" t="s">
        <v>50</v>
      </c>
      <c r="L523" t="s">
        <v>51</v>
      </c>
      <c r="M523">
        <v>2023</v>
      </c>
      <c r="N523" t="s">
        <v>46</v>
      </c>
    </row>
    <row r="524" spans="1:14" x14ac:dyDescent="0.3">
      <c r="A524" s="1">
        <v>44997</v>
      </c>
      <c r="B524" t="s">
        <v>23</v>
      </c>
      <c r="C524" t="s">
        <v>21</v>
      </c>
      <c r="D524" t="s">
        <v>22</v>
      </c>
      <c r="E524">
        <v>43</v>
      </c>
      <c r="F524">
        <v>13323.15</v>
      </c>
      <c r="G524" t="s">
        <v>20</v>
      </c>
      <c r="H524">
        <v>3</v>
      </c>
      <c r="I524">
        <v>4080.38</v>
      </c>
      <c r="J524">
        <v>9242.77</v>
      </c>
      <c r="K524" t="s">
        <v>52</v>
      </c>
      <c r="L524" t="s">
        <v>53</v>
      </c>
      <c r="M524">
        <v>2023</v>
      </c>
      <c r="N524" t="s">
        <v>46</v>
      </c>
    </row>
    <row r="525" spans="1:14" x14ac:dyDescent="0.3">
      <c r="A525" s="1">
        <v>44691</v>
      </c>
      <c r="B525" t="s">
        <v>9</v>
      </c>
      <c r="C525" t="s">
        <v>21</v>
      </c>
      <c r="D525" t="s">
        <v>32</v>
      </c>
      <c r="E525">
        <v>34</v>
      </c>
      <c r="F525">
        <v>11267.92</v>
      </c>
      <c r="G525" t="s">
        <v>20</v>
      </c>
      <c r="H525">
        <v>1</v>
      </c>
      <c r="I525">
        <v>3942.07</v>
      </c>
      <c r="J525">
        <v>7325.85</v>
      </c>
      <c r="K525" t="s">
        <v>56</v>
      </c>
      <c r="L525" t="s">
        <v>51</v>
      </c>
      <c r="M525">
        <v>2022</v>
      </c>
      <c r="N525" t="s">
        <v>44</v>
      </c>
    </row>
    <row r="526" spans="1:14" x14ac:dyDescent="0.3">
      <c r="A526" s="1">
        <v>44777</v>
      </c>
      <c r="B526" t="s">
        <v>9</v>
      </c>
      <c r="C526" t="s">
        <v>25</v>
      </c>
      <c r="D526" t="s">
        <v>39</v>
      </c>
      <c r="E526">
        <v>49</v>
      </c>
      <c r="F526">
        <v>10022.74</v>
      </c>
      <c r="G526" t="s">
        <v>12</v>
      </c>
      <c r="H526">
        <v>2</v>
      </c>
      <c r="I526">
        <v>3612.23</v>
      </c>
      <c r="J526">
        <v>6410.51</v>
      </c>
      <c r="K526" t="s">
        <v>64</v>
      </c>
      <c r="L526" t="s">
        <v>61</v>
      </c>
      <c r="M526">
        <v>2022</v>
      </c>
      <c r="N526" t="s">
        <v>45</v>
      </c>
    </row>
    <row r="527" spans="1:14" x14ac:dyDescent="0.3">
      <c r="A527" s="1">
        <v>44751</v>
      </c>
      <c r="B527" t="s">
        <v>15</v>
      </c>
      <c r="C527" t="s">
        <v>21</v>
      </c>
      <c r="D527" t="s">
        <v>36</v>
      </c>
      <c r="E527">
        <v>44</v>
      </c>
      <c r="F527">
        <v>20710.12</v>
      </c>
      <c r="G527" t="s">
        <v>20</v>
      </c>
      <c r="H527">
        <v>5</v>
      </c>
      <c r="I527">
        <v>5785.26</v>
      </c>
      <c r="J527">
        <v>14924.86</v>
      </c>
      <c r="K527" t="s">
        <v>63</v>
      </c>
      <c r="L527" t="s">
        <v>61</v>
      </c>
      <c r="M527">
        <v>2022</v>
      </c>
      <c r="N527" t="s">
        <v>46</v>
      </c>
    </row>
    <row r="528" spans="1:14" x14ac:dyDescent="0.3">
      <c r="A528" s="1">
        <v>45280</v>
      </c>
      <c r="B528" t="s">
        <v>15</v>
      </c>
      <c r="C528" t="s">
        <v>16</v>
      </c>
      <c r="D528" t="s">
        <v>27</v>
      </c>
      <c r="E528">
        <v>26</v>
      </c>
      <c r="F528">
        <v>11061.31</v>
      </c>
      <c r="G528" t="s">
        <v>20</v>
      </c>
      <c r="H528">
        <v>1</v>
      </c>
      <c r="I528">
        <v>2224.39</v>
      </c>
      <c r="J528">
        <v>8836.92</v>
      </c>
      <c r="K528" t="s">
        <v>58</v>
      </c>
      <c r="L528" t="s">
        <v>59</v>
      </c>
      <c r="M528">
        <v>2023</v>
      </c>
      <c r="N528" t="s">
        <v>44</v>
      </c>
    </row>
    <row r="529" spans="1:14" x14ac:dyDescent="0.3">
      <c r="A529" s="1">
        <v>44596</v>
      </c>
      <c r="B529" t="s">
        <v>31</v>
      </c>
      <c r="C529" t="s">
        <v>10</v>
      </c>
      <c r="D529" t="s">
        <v>28</v>
      </c>
      <c r="E529">
        <v>25</v>
      </c>
      <c r="F529">
        <v>1332.45</v>
      </c>
      <c r="G529" t="s">
        <v>20</v>
      </c>
      <c r="H529">
        <v>2</v>
      </c>
      <c r="I529">
        <v>3465.83</v>
      </c>
      <c r="J529">
        <v>-2133.38</v>
      </c>
      <c r="K529" t="s">
        <v>54</v>
      </c>
      <c r="L529" t="s">
        <v>53</v>
      </c>
      <c r="M529">
        <v>2022</v>
      </c>
      <c r="N529" t="s">
        <v>44</v>
      </c>
    </row>
    <row r="530" spans="1:14" x14ac:dyDescent="0.3">
      <c r="A530" s="1">
        <v>45246</v>
      </c>
      <c r="B530" t="s">
        <v>15</v>
      </c>
      <c r="C530" t="s">
        <v>25</v>
      </c>
      <c r="D530" t="s">
        <v>26</v>
      </c>
      <c r="E530">
        <v>32</v>
      </c>
      <c r="F530">
        <v>9886.06</v>
      </c>
      <c r="G530" t="s">
        <v>20</v>
      </c>
      <c r="H530">
        <v>4</v>
      </c>
      <c r="I530">
        <v>4713.2299999999996</v>
      </c>
      <c r="J530">
        <v>5172.83</v>
      </c>
      <c r="K530" t="s">
        <v>65</v>
      </c>
      <c r="L530" t="s">
        <v>59</v>
      </c>
      <c r="M530">
        <v>2023</v>
      </c>
      <c r="N530" t="s">
        <v>45</v>
      </c>
    </row>
    <row r="531" spans="1:14" x14ac:dyDescent="0.3">
      <c r="A531" s="1">
        <v>45208</v>
      </c>
      <c r="B531" t="s">
        <v>31</v>
      </c>
      <c r="C531" t="s">
        <v>21</v>
      </c>
      <c r="D531" t="s">
        <v>22</v>
      </c>
      <c r="E531">
        <v>14</v>
      </c>
      <c r="F531">
        <v>5358.84</v>
      </c>
      <c r="G531" t="s">
        <v>20</v>
      </c>
      <c r="H531">
        <v>1</v>
      </c>
      <c r="I531">
        <v>1531.83</v>
      </c>
      <c r="J531">
        <v>3827.01</v>
      </c>
      <c r="K531" t="s">
        <v>62</v>
      </c>
      <c r="L531" t="s">
        <v>59</v>
      </c>
      <c r="M531">
        <v>2023</v>
      </c>
      <c r="N531" t="s">
        <v>44</v>
      </c>
    </row>
    <row r="532" spans="1:14" x14ac:dyDescent="0.3">
      <c r="A532" s="1">
        <v>45156</v>
      </c>
      <c r="B532" t="s">
        <v>31</v>
      </c>
      <c r="C532" t="s">
        <v>25</v>
      </c>
      <c r="D532" t="s">
        <v>38</v>
      </c>
      <c r="E532">
        <v>28</v>
      </c>
      <c r="F532">
        <v>2609.33</v>
      </c>
      <c r="G532" t="s">
        <v>20</v>
      </c>
      <c r="H532">
        <v>5</v>
      </c>
      <c r="I532">
        <v>6198.92</v>
      </c>
      <c r="J532">
        <v>-3589.59</v>
      </c>
      <c r="K532" t="s">
        <v>64</v>
      </c>
      <c r="L532" t="s">
        <v>61</v>
      </c>
      <c r="M532">
        <v>2023</v>
      </c>
      <c r="N532" t="s">
        <v>45</v>
      </c>
    </row>
    <row r="533" spans="1:14" x14ac:dyDescent="0.3">
      <c r="A533" s="1">
        <v>45095</v>
      </c>
      <c r="B533" t="s">
        <v>23</v>
      </c>
      <c r="C533" t="s">
        <v>25</v>
      </c>
      <c r="D533" t="s">
        <v>30</v>
      </c>
      <c r="E533">
        <v>44</v>
      </c>
      <c r="F533">
        <v>7038.29</v>
      </c>
      <c r="G533" t="s">
        <v>20</v>
      </c>
      <c r="H533">
        <v>5</v>
      </c>
      <c r="I533">
        <v>3465.96</v>
      </c>
      <c r="J533">
        <v>3572.33</v>
      </c>
      <c r="K533" t="s">
        <v>50</v>
      </c>
      <c r="L533" t="s">
        <v>51</v>
      </c>
      <c r="M533">
        <v>2023</v>
      </c>
      <c r="N533" t="s">
        <v>47</v>
      </c>
    </row>
    <row r="534" spans="1:14" x14ac:dyDescent="0.3">
      <c r="A534" s="1">
        <v>44881</v>
      </c>
      <c r="B534" t="s">
        <v>9</v>
      </c>
      <c r="C534" t="s">
        <v>13</v>
      </c>
      <c r="D534" t="s">
        <v>29</v>
      </c>
      <c r="E534">
        <v>25</v>
      </c>
      <c r="F534">
        <v>4071.63</v>
      </c>
      <c r="G534" t="s">
        <v>12</v>
      </c>
      <c r="H534">
        <v>3</v>
      </c>
      <c r="I534">
        <v>2900.33</v>
      </c>
      <c r="J534">
        <v>1171.3</v>
      </c>
      <c r="K534" t="s">
        <v>65</v>
      </c>
      <c r="L534" t="s">
        <v>59</v>
      </c>
      <c r="M534">
        <v>2022</v>
      </c>
      <c r="N534" t="s">
        <v>45</v>
      </c>
    </row>
    <row r="535" spans="1:14" x14ac:dyDescent="0.3">
      <c r="A535" s="1">
        <v>44811</v>
      </c>
      <c r="B535" t="s">
        <v>15</v>
      </c>
      <c r="C535" t="s">
        <v>21</v>
      </c>
      <c r="D535" t="s">
        <v>36</v>
      </c>
      <c r="E535">
        <v>50</v>
      </c>
      <c r="F535">
        <v>13462.43</v>
      </c>
      <c r="G535" t="s">
        <v>20</v>
      </c>
      <c r="H535">
        <v>3</v>
      </c>
      <c r="I535">
        <v>6515.57</v>
      </c>
      <c r="J535">
        <v>6946.86</v>
      </c>
      <c r="K535" t="s">
        <v>60</v>
      </c>
      <c r="L535" t="s">
        <v>61</v>
      </c>
      <c r="M535">
        <v>2022</v>
      </c>
      <c r="N535" t="s">
        <v>47</v>
      </c>
    </row>
    <row r="536" spans="1:14" x14ac:dyDescent="0.3">
      <c r="A536" s="1">
        <v>44859</v>
      </c>
      <c r="B536" t="s">
        <v>23</v>
      </c>
      <c r="C536" t="s">
        <v>16</v>
      </c>
      <c r="D536" t="s">
        <v>24</v>
      </c>
      <c r="E536">
        <v>11</v>
      </c>
      <c r="F536">
        <v>2435.17</v>
      </c>
      <c r="G536" t="s">
        <v>20</v>
      </c>
      <c r="H536">
        <v>1</v>
      </c>
      <c r="I536">
        <v>2392.9299999999998</v>
      </c>
      <c r="J536">
        <v>42.24</v>
      </c>
      <c r="K536" t="s">
        <v>62</v>
      </c>
      <c r="L536" t="s">
        <v>59</v>
      </c>
      <c r="M536">
        <v>2022</v>
      </c>
      <c r="N536" t="s">
        <v>44</v>
      </c>
    </row>
    <row r="537" spans="1:14" x14ac:dyDescent="0.3">
      <c r="A537" s="1">
        <v>44649</v>
      </c>
      <c r="B537" t="s">
        <v>18</v>
      </c>
      <c r="C537" t="s">
        <v>16</v>
      </c>
      <c r="D537" t="s">
        <v>17</v>
      </c>
      <c r="E537">
        <v>6</v>
      </c>
      <c r="F537">
        <v>566.14</v>
      </c>
      <c r="G537" t="s">
        <v>12</v>
      </c>
      <c r="H537">
        <v>2</v>
      </c>
      <c r="I537">
        <v>327.48</v>
      </c>
      <c r="J537">
        <v>238.66</v>
      </c>
      <c r="K537" t="s">
        <v>52</v>
      </c>
      <c r="L537" t="s">
        <v>53</v>
      </c>
      <c r="M537">
        <v>2022</v>
      </c>
      <c r="N537" t="s">
        <v>45</v>
      </c>
    </row>
    <row r="538" spans="1:14" x14ac:dyDescent="0.3">
      <c r="A538" s="1">
        <v>44680</v>
      </c>
      <c r="B538" t="s">
        <v>9</v>
      </c>
      <c r="C538" t="s">
        <v>13</v>
      </c>
      <c r="D538" t="s">
        <v>14</v>
      </c>
      <c r="E538">
        <v>37</v>
      </c>
      <c r="F538">
        <v>14806.1</v>
      </c>
      <c r="G538" t="s">
        <v>12</v>
      </c>
      <c r="H538">
        <v>1</v>
      </c>
      <c r="I538">
        <v>5570.69</v>
      </c>
      <c r="J538">
        <v>9235.41</v>
      </c>
      <c r="K538" t="s">
        <v>55</v>
      </c>
      <c r="L538" t="s">
        <v>51</v>
      </c>
      <c r="M538">
        <v>2022</v>
      </c>
      <c r="N538" t="s">
        <v>43</v>
      </c>
    </row>
    <row r="539" spans="1:14" x14ac:dyDescent="0.3">
      <c r="A539" s="1">
        <v>44817</v>
      </c>
      <c r="B539" t="s">
        <v>18</v>
      </c>
      <c r="C539" t="s">
        <v>10</v>
      </c>
      <c r="D539" t="s">
        <v>34</v>
      </c>
      <c r="E539">
        <v>24</v>
      </c>
      <c r="F539">
        <v>711.95</v>
      </c>
      <c r="G539" t="s">
        <v>20</v>
      </c>
      <c r="H539">
        <v>5</v>
      </c>
      <c r="I539">
        <v>1291.8499999999999</v>
      </c>
      <c r="J539">
        <v>-579.9</v>
      </c>
      <c r="K539" t="s">
        <v>60</v>
      </c>
      <c r="L539" t="s">
        <v>61</v>
      </c>
      <c r="M539">
        <v>2022</v>
      </c>
      <c r="N539" t="s">
        <v>44</v>
      </c>
    </row>
    <row r="540" spans="1:14" x14ac:dyDescent="0.3">
      <c r="A540" s="1">
        <v>44702</v>
      </c>
      <c r="B540" t="s">
        <v>31</v>
      </c>
      <c r="C540" t="s">
        <v>25</v>
      </c>
      <c r="D540" t="s">
        <v>38</v>
      </c>
      <c r="E540">
        <v>30</v>
      </c>
      <c r="F540">
        <v>14643.54</v>
      </c>
      <c r="G540" t="s">
        <v>20</v>
      </c>
      <c r="H540">
        <v>1</v>
      </c>
      <c r="I540">
        <v>5143.3</v>
      </c>
      <c r="J540">
        <v>9500.24</v>
      </c>
      <c r="K540" t="s">
        <v>56</v>
      </c>
      <c r="L540" t="s">
        <v>51</v>
      </c>
      <c r="M540">
        <v>2022</v>
      </c>
      <c r="N540" t="s">
        <v>45</v>
      </c>
    </row>
    <row r="541" spans="1:14" x14ac:dyDescent="0.3">
      <c r="A541" s="1">
        <v>45256</v>
      </c>
      <c r="B541" t="s">
        <v>15</v>
      </c>
      <c r="C541" t="s">
        <v>25</v>
      </c>
      <c r="D541" t="s">
        <v>26</v>
      </c>
      <c r="E541">
        <v>25</v>
      </c>
      <c r="F541">
        <v>1508.22</v>
      </c>
      <c r="G541" t="s">
        <v>12</v>
      </c>
      <c r="H541">
        <v>1</v>
      </c>
      <c r="I541">
        <v>1935.13</v>
      </c>
      <c r="J541">
        <v>-426.91</v>
      </c>
      <c r="K541" t="s">
        <v>65</v>
      </c>
      <c r="L541" t="s">
        <v>59</v>
      </c>
      <c r="M541">
        <v>2023</v>
      </c>
      <c r="N541" t="s">
        <v>43</v>
      </c>
    </row>
    <row r="542" spans="1:14" x14ac:dyDescent="0.3">
      <c r="A542" s="1">
        <v>44842</v>
      </c>
      <c r="B542" t="s">
        <v>9</v>
      </c>
      <c r="C542" t="s">
        <v>21</v>
      </c>
      <c r="D542" t="s">
        <v>22</v>
      </c>
      <c r="E542">
        <v>14</v>
      </c>
      <c r="F542">
        <v>3571.33</v>
      </c>
      <c r="G542" t="s">
        <v>12</v>
      </c>
      <c r="H542">
        <v>4</v>
      </c>
      <c r="I542">
        <v>2843.1</v>
      </c>
      <c r="J542">
        <v>728.23</v>
      </c>
      <c r="K542" t="s">
        <v>62</v>
      </c>
      <c r="L542" t="s">
        <v>59</v>
      </c>
      <c r="M542">
        <v>2022</v>
      </c>
      <c r="N542" t="s">
        <v>45</v>
      </c>
    </row>
    <row r="543" spans="1:14" x14ac:dyDescent="0.3">
      <c r="A543" s="1">
        <v>44935</v>
      </c>
      <c r="B543" t="s">
        <v>9</v>
      </c>
      <c r="C543" t="s">
        <v>16</v>
      </c>
      <c r="D543" t="s">
        <v>27</v>
      </c>
      <c r="E543">
        <v>38</v>
      </c>
      <c r="F543">
        <v>13702.55</v>
      </c>
      <c r="G543" t="s">
        <v>20</v>
      </c>
      <c r="H543">
        <v>1</v>
      </c>
      <c r="I543">
        <v>3028.47</v>
      </c>
      <c r="J543">
        <v>10674.08</v>
      </c>
      <c r="K543" t="s">
        <v>57</v>
      </c>
      <c r="L543" t="s">
        <v>53</v>
      </c>
      <c r="M543">
        <v>2023</v>
      </c>
      <c r="N543" t="s">
        <v>45</v>
      </c>
    </row>
    <row r="544" spans="1:14" x14ac:dyDescent="0.3">
      <c r="A544" s="1">
        <v>45146</v>
      </c>
      <c r="B544" t="s">
        <v>31</v>
      </c>
      <c r="C544" t="s">
        <v>25</v>
      </c>
      <c r="D544" t="s">
        <v>39</v>
      </c>
      <c r="E544">
        <v>16</v>
      </c>
      <c r="F544">
        <v>356.27</v>
      </c>
      <c r="G544" t="s">
        <v>12</v>
      </c>
      <c r="H544">
        <v>1</v>
      </c>
      <c r="I544">
        <v>222.6</v>
      </c>
      <c r="J544">
        <v>133.66999999999999</v>
      </c>
      <c r="K544" t="s">
        <v>64</v>
      </c>
      <c r="L544" t="s">
        <v>61</v>
      </c>
      <c r="M544">
        <v>2023</v>
      </c>
      <c r="N544" t="s">
        <v>44</v>
      </c>
    </row>
    <row r="545" spans="1:14" x14ac:dyDescent="0.3">
      <c r="A545" s="1">
        <v>45167</v>
      </c>
      <c r="B545" t="s">
        <v>18</v>
      </c>
      <c r="C545" t="s">
        <v>21</v>
      </c>
      <c r="D545" t="s">
        <v>22</v>
      </c>
      <c r="E545">
        <v>27</v>
      </c>
      <c r="F545">
        <v>12255.57</v>
      </c>
      <c r="G545" t="s">
        <v>20</v>
      </c>
      <c r="H545">
        <v>5</v>
      </c>
      <c r="I545">
        <v>3317.29</v>
      </c>
      <c r="J545">
        <v>8938.2800000000007</v>
      </c>
      <c r="K545" t="s">
        <v>64</v>
      </c>
      <c r="L545" t="s">
        <v>61</v>
      </c>
      <c r="M545">
        <v>2023</v>
      </c>
      <c r="N545" t="s">
        <v>44</v>
      </c>
    </row>
    <row r="546" spans="1:14" x14ac:dyDescent="0.3">
      <c r="A546" s="1">
        <v>44987</v>
      </c>
      <c r="B546" t="s">
        <v>23</v>
      </c>
      <c r="C546" t="s">
        <v>25</v>
      </c>
      <c r="D546" t="s">
        <v>30</v>
      </c>
      <c r="E546">
        <v>5</v>
      </c>
      <c r="F546">
        <v>1624.64</v>
      </c>
      <c r="G546" t="s">
        <v>20</v>
      </c>
      <c r="H546">
        <v>5</v>
      </c>
      <c r="I546">
        <v>929.23</v>
      </c>
      <c r="J546">
        <v>695.41</v>
      </c>
      <c r="K546" t="s">
        <v>52</v>
      </c>
      <c r="L546" t="s">
        <v>53</v>
      </c>
      <c r="M546">
        <v>2023</v>
      </c>
      <c r="N546" t="s">
        <v>47</v>
      </c>
    </row>
    <row r="547" spans="1:14" x14ac:dyDescent="0.3">
      <c r="A547" s="1">
        <v>45223</v>
      </c>
      <c r="B547" t="s">
        <v>23</v>
      </c>
      <c r="C547" t="s">
        <v>10</v>
      </c>
      <c r="D547" t="s">
        <v>35</v>
      </c>
      <c r="E547">
        <v>20</v>
      </c>
      <c r="F547">
        <v>4984.17</v>
      </c>
      <c r="G547" t="s">
        <v>20</v>
      </c>
      <c r="H547">
        <v>5</v>
      </c>
      <c r="I547">
        <v>1282.44</v>
      </c>
      <c r="J547">
        <v>3701.73</v>
      </c>
      <c r="K547" t="s">
        <v>62</v>
      </c>
      <c r="L547" t="s">
        <v>59</v>
      </c>
      <c r="M547">
        <v>2023</v>
      </c>
      <c r="N547" t="s">
        <v>44</v>
      </c>
    </row>
    <row r="548" spans="1:14" x14ac:dyDescent="0.3">
      <c r="A548" s="1">
        <v>45082</v>
      </c>
      <c r="B548" t="s">
        <v>23</v>
      </c>
      <c r="C548" t="s">
        <v>16</v>
      </c>
      <c r="D548" t="s">
        <v>24</v>
      </c>
      <c r="E548">
        <v>44</v>
      </c>
      <c r="F548">
        <v>9728.39</v>
      </c>
      <c r="G548" t="s">
        <v>12</v>
      </c>
      <c r="H548">
        <v>5</v>
      </c>
      <c r="I548">
        <v>3524.92</v>
      </c>
      <c r="J548">
        <v>6203.47</v>
      </c>
      <c r="K548" t="s">
        <v>50</v>
      </c>
      <c r="L548" t="s">
        <v>51</v>
      </c>
      <c r="M548">
        <v>2023</v>
      </c>
      <c r="N548" t="s">
        <v>47</v>
      </c>
    </row>
    <row r="549" spans="1:14" x14ac:dyDescent="0.3">
      <c r="A549" s="1">
        <v>45009</v>
      </c>
      <c r="B549" t="s">
        <v>15</v>
      </c>
      <c r="C549" t="s">
        <v>13</v>
      </c>
      <c r="D549" t="s">
        <v>40</v>
      </c>
      <c r="E549">
        <v>22</v>
      </c>
      <c r="F549">
        <v>7863.48</v>
      </c>
      <c r="G549" t="s">
        <v>20</v>
      </c>
      <c r="H549">
        <v>5</v>
      </c>
      <c r="I549">
        <v>5176.87</v>
      </c>
      <c r="J549">
        <v>2686.61</v>
      </c>
      <c r="K549" t="s">
        <v>52</v>
      </c>
      <c r="L549" t="s">
        <v>53</v>
      </c>
      <c r="M549">
        <v>2023</v>
      </c>
      <c r="N549" t="s">
        <v>44</v>
      </c>
    </row>
    <row r="550" spans="1:14" x14ac:dyDescent="0.3">
      <c r="A550" s="1">
        <v>44633</v>
      </c>
      <c r="B550" t="s">
        <v>31</v>
      </c>
      <c r="C550" t="s">
        <v>13</v>
      </c>
      <c r="D550" t="s">
        <v>14</v>
      </c>
      <c r="E550">
        <v>17</v>
      </c>
      <c r="F550">
        <v>6103.41</v>
      </c>
      <c r="G550" t="s">
        <v>12</v>
      </c>
      <c r="H550">
        <v>3</v>
      </c>
      <c r="I550">
        <v>4059.81</v>
      </c>
      <c r="J550">
        <v>2043.6</v>
      </c>
      <c r="K550" t="s">
        <v>52</v>
      </c>
      <c r="L550" t="s">
        <v>53</v>
      </c>
      <c r="M550">
        <v>2022</v>
      </c>
      <c r="N550" t="s">
        <v>45</v>
      </c>
    </row>
    <row r="551" spans="1:14" x14ac:dyDescent="0.3">
      <c r="A551" s="1">
        <v>44870</v>
      </c>
      <c r="B551" t="s">
        <v>18</v>
      </c>
      <c r="C551" t="s">
        <v>21</v>
      </c>
      <c r="D551" t="s">
        <v>32</v>
      </c>
      <c r="E551">
        <v>45</v>
      </c>
      <c r="F551">
        <v>987.45</v>
      </c>
      <c r="G551" t="s">
        <v>20</v>
      </c>
      <c r="H551">
        <v>1</v>
      </c>
      <c r="I551">
        <v>4150.16</v>
      </c>
      <c r="J551">
        <v>-3162.71</v>
      </c>
      <c r="K551" t="s">
        <v>65</v>
      </c>
      <c r="L551" t="s">
        <v>59</v>
      </c>
      <c r="M551">
        <v>2022</v>
      </c>
      <c r="N551" t="s">
        <v>44</v>
      </c>
    </row>
    <row r="552" spans="1:14" x14ac:dyDescent="0.3">
      <c r="A552" s="1">
        <v>45109</v>
      </c>
      <c r="B552" t="s">
        <v>23</v>
      </c>
      <c r="C552" t="s">
        <v>10</v>
      </c>
      <c r="D552" t="s">
        <v>35</v>
      </c>
      <c r="E552">
        <v>23</v>
      </c>
      <c r="F552">
        <v>9730.5400000000009</v>
      </c>
      <c r="G552" t="s">
        <v>12</v>
      </c>
      <c r="H552">
        <v>5</v>
      </c>
      <c r="I552">
        <v>5530.56</v>
      </c>
      <c r="J552">
        <v>4199.9799999999996</v>
      </c>
      <c r="K552" t="s">
        <v>63</v>
      </c>
      <c r="L552" t="s">
        <v>61</v>
      </c>
      <c r="M552">
        <v>2023</v>
      </c>
      <c r="N552" t="s">
        <v>43</v>
      </c>
    </row>
    <row r="553" spans="1:14" x14ac:dyDescent="0.3">
      <c r="A553" s="1">
        <v>44713</v>
      </c>
      <c r="B553" t="s">
        <v>18</v>
      </c>
      <c r="C553" t="s">
        <v>25</v>
      </c>
      <c r="D553" t="s">
        <v>39</v>
      </c>
      <c r="E553">
        <v>5</v>
      </c>
      <c r="F553">
        <v>971.15</v>
      </c>
      <c r="G553" t="s">
        <v>20</v>
      </c>
      <c r="H553">
        <v>1</v>
      </c>
      <c r="I553">
        <v>724.91</v>
      </c>
      <c r="J553">
        <v>246.24</v>
      </c>
      <c r="K553" t="s">
        <v>50</v>
      </c>
      <c r="L553" t="s">
        <v>51</v>
      </c>
      <c r="M553">
        <v>2022</v>
      </c>
      <c r="N553" t="s">
        <v>47</v>
      </c>
    </row>
    <row r="554" spans="1:14" x14ac:dyDescent="0.3">
      <c r="A554" s="1">
        <v>44853</v>
      </c>
      <c r="B554" t="s">
        <v>31</v>
      </c>
      <c r="C554" t="s">
        <v>25</v>
      </c>
      <c r="D554" t="s">
        <v>39</v>
      </c>
      <c r="E554">
        <v>44</v>
      </c>
      <c r="F554">
        <v>21862.26</v>
      </c>
      <c r="G554" t="s">
        <v>12</v>
      </c>
      <c r="H554">
        <v>1</v>
      </c>
      <c r="I554">
        <v>585.84</v>
      </c>
      <c r="J554">
        <v>21276.42</v>
      </c>
      <c r="K554" t="s">
        <v>62</v>
      </c>
      <c r="L554" t="s">
        <v>59</v>
      </c>
      <c r="M554">
        <v>2022</v>
      </c>
      <c r="N554" t="s">
        <v>43</v>
      </c>
    </row>
    <row r="555" spans="1:14" x14ac:dyDescent="0.3">
      <c r="A555" s="1">
        <v>44812</v>
      </c>
      <c r="B555" t="s">
        <v>18</v>
      </c>
      <c r="C555" t="s">
        <v>16</v>
      </c>
      <c r="D555" t="s">
        <v>27</v>
      </c>
      <c r="E555">
        <v>18</v>
      </c>
      <c r="F555">
        <v>2700.56</v>
      </c>
      <c r="G555" t="s">
        <v>20</v>
      </c>
      <c r="H555">
        <v>5</v>
      </c>
      <c r="I555">
        <v>1054.21</v>
      </c>
      <c r="J555">
        <v>1646.35</v>
      </c>
      <c r="K555" t="s">
        <v>60</v>
      </c>
      <c r="L555" t="s">
        <v>61</v>
      </c>
      <c r="M555">
        <v>2022</v>
      </c>
      <c r="N555" t="s">
        <v>45</v>
      </c>
    </row>
    <row r="556" spans="1:14" x14ac:dyDescent="0.3">
      <c r="A556" s="1">
        <v>45179</v>
      </c>
      <c r="B556" t="s">
        <v>23</v>
      </c>
      <c r="C556" t="s">
        <v>25</v>
      </c>
      <c r="D556" t="s">
        <v>26</v>
      </c>
      <c r="E556">
        <v>22</v>
      </c>
      <c r="F556">
        <v>9881.43</v>
      </c>
      <c r="G556" t="s">
        <v>20</v>
      </c>
      <c r="H556">
        <v>3</v>
      </c>
      <c r="I556">
        <v>4616.08</v>
      </c>
      <c r="J556">
        <v>5265.35</v>
      </c>
      <c r="K556" t="s">
        <v>60</v>
      </c>
      <c r="L556" t="s">
        <v>61</v>
      </c>
      <c r="M556">
        <v>2023</v>
      </c>
      <c r="N556" t="s">
        <v>44</v>
      </c>
    </row>
    <row r="557" spans="1:14" x14ac:dyDescent="0.3">
      <c r="A557" s="1">
        <v>44863</v>
      </c>
      <c r="B557" t="s">
        <v>15</v>
      </c>
      <c r="C557" t="s">
        <v>10</v>
      </c>
      <c r="D557" t="s">
        <v>11</v>
      </c>
      <c r="E557">
        <v>6</v>
      </c>
      <c r="F557">
        <v>1197.3499999999999</v>
      </c>
      <c r="G557" t="s">
        <v>20</v>
      </c>
      <c r="H557">
        <v>2</v>
      </c>
      <c r="I557">
        <v>1161.17</v>
      </c>
      <c r="J557">
        <v>36.18</v>
      </c>
      <c r="K557" t="s">
        <v>62</v>
      </c>
      <c r="L557" t="s">
        <v>59</v>
      </c>
      <c r="M557">
        <v>2022</v>
      </c>
      <c r="N557" t="s">
        <v>44</v>
      </c>
    </row>
    <row r="558" spans="1:14" x14ac:dyDescent="0.3">
      <c r="A558" s="1">
        <v>44755</v>
      </c>
      <c r="B558" t="s">
        <v>31</v>
      </c>
      <c r="C558" t="s">
        <v>21</v>
      </c>
      <c r="D558" t="s">
        <v>22</v>
      </c>
      <c r="E558">
        <v>14</v>
      </c>
      <c r="F558">
        <v>3757.52</v>
      </c>
      <c r="G558" t="s">
        <v>20</v>
      </c>
      <c r="H558">
        <v>3</v>
      </c>
      <c r="I558">
        <v>3062.72</v>
      </c>
      <c r="J558">
        <v>694.8</v>
      </c>
      <c r="K558" t="s">
        <v>63</v>
      </c>
      <c r="L558" t="s">
        <v>61</v>
      </c>
      <c r="M558">
        <v>2022</v>
      </c>
      <c r="N558" t="s">
        <v>47</v>
      </c>
    </row>
    <row r="559" spans="1:14" x14ac:dyDescent="0.3">
      <c r="A559" s="1">
        <v>45102</v>
      </c>
      <c r="B559" t="s">
        <v>9</v>
      </c>
      <c r="C559" t="s">
        <v>16</v>
      </c>
      <c r="D559" t="s">
        <v>37</v>
      </c>
      <c r="E559">
        <v>9</v>
      </c>
      <c r="F559">
        <v>2298.7399999999998</v>
      </c>
      <c r="G559" t="s">
        <v>12</v>
      </c>
      <c r="H559">
        <v>4</v>
      </c>
      <c r="I559">
        <v>1839.67</v>
      </c>
      <c r="J559">
        <v>459.07</v>
      </c>
      <c r="K559" t="s">
        <v>50</v>
      </c>
      <c r="L559" t="s">
        <v>51</v>
      </c>
      <c r="M559">
        <v>2023</v>
      </c>
      <c r="N559" t="s">
        <v>43</v>
      </c>
    </row>
    <row r="560" spans="1:14" x14ac:dyDescent="0.3">
      <c r="A560" s="1">
        <v>44705</v>
      </c>
      <c r="B560" t="s">
        <v>18</v>
      </c>
      <c r="C560" t="s">
        <v>13</v>
      </c>
      <c r="D560" t="s">
        <v>29</v>
      </c>
      <c r="E560">
        <v>3</v>
      </c>
      <c r="F560">
        <v>330.77</v>
      </c>
      <c r="G560" t="s">
        <v>12</v>
      </c>
      <c r="H560">
        <v>5</v>
      </c>
      <c r="I560">
        <v>673.43</v>
      </c>
      <c r="J560">
        <v>-342.66</v>
      </c>
      <c r="K560" t="s">
        <v>56</v>
      </c>
      <c r="L560" t="s">
        <v>51</v>
      </c>
      <c r="M560">
        <v>2022</v>
      </c>
      <c r="N560" t="s">
        <v>44</v>
      </c>
    </row>
    <row r="561" spans="1:14" x14ac:dyDescent="0.3">
      <c r="A561" s="1">
        <v>44568</v>
      </c>
      <c r="B561" t="s">
        <v>9</v>
      </c>
      <c r="C561" t="s">
        <v>16</v>
      </c>
      <c r="D561" t="s">
        <v>17</v>
      </c>
      <c r="E561">
        <v>27</v>
      </c>
      <c r="F561">
        <v>4050.84</v>
      </c>
      <c r="G561" t="s">
        <v>12</v>
      </c>
      <c r="H561">
        <v>1</v>
      </c>
      <c r="I561">
        <v>5158.87</v>
      </c>
      <c r="J561">
        <v>-1108.03</v>
      </c>
      <c r="K561" t="s">
        <v>57</v>
      </c>
      <c r="L561" t="s">
        <v>53</v>
      </c>
      <c r="M561">
        <v>2022</v>
      </c>
      <c r="N561" t="s">
        <v>47</v>
      </c>
    </row>
    <row r="562" spans="1:14" x14ac:dyDescent="0.3">
      <c r="A562" s="1">
        <v>44614</v>
      </c>
      <c r="B562" t="s">
        <v>31</v>
      </c>
      <c r="C562" t="s">
        <v>21</v>
      </c>
      <c r="D562" t="s">
        <v>32</v>
      </c>
      <c r="E562">
        <v>37</v>
      </c>
      <c r="F562">
        <v>11784.37</v>
      </c>
      <c r="G562" t="s">
        <v>12</v>
      </c>
      <c r="H562">
        <v>4</v>
      </c>
      <c r="I562">
        <v>7448.69</v>
      </c>
      <c r="J562">
        <v>4335.68</v>
      </c>
      <c r="K562" t="s">
        <v>54</v>
      </c>
      <c r="L562" t="s">
        <v>53</v>
      </c>
      <c r="M562">
        <v>2022</v>
      </c>
      <c r="N562" t="s">
        <v>44</v>
      </c>
    </row>
    <row r="563" spans="1:14" x14ac:dyDescent="0.3">
      <c r="A563" s="1">
        <v>45072</v>
      </c>
      <c r="B563" t="s">
        <v>9</v>
      </c>
      <c r="C563" t="s">
        <v>21</v>
      </c>
      <c r="D563" t="s">
        <v>22</v>
      </c>
      <c r="E563">
        <v>50</v>
      </c>
      <c r="F563">
        <v>22208.65</v>
      </c>
      <c r="G563" t="s">
        <v>12</v>
      </c>
      <c r="H563">
        <v>4</v>
      </c>
      <c r="I563">
        <v>2235.31</v>
      </c>
      <c r="J563">
        <v>19973.34</v>
      </c>
      <c r="K563" t="s">
        <v>56</v>
      </c>
      <c r="L563" t="s">
        <v>51</v>
      </c>
      <c r="M563">
        <v>2023</v>
      </c>
      <c r="N563" t="s">
        <v>44</v>
      </c>
    </row>
    <row r="564" spans="1:14" x14ac:dyDescent="0.3">
      <c r="A564" s="1">
        <v>44750</v>
      </c>
      <c r="B564" t="s">
        <v>18</v>
      </c>
      <c r="C564" t="s">
        <v>25</v>
      </c>
      <c r="D564" t="s">
        <v>39</v>
      </c>
      <c r="E564">
        <v>16</v>
      </c>
      <c r="F564">
        <v>7823.09</v>
      </c>
      <c r="G564" t="s">
        <v>20</v>
      </c>
      <c r="H564">
        <v>5</v>
      </c>
      <c r="I564">
        <v>1841.1</v>
      </c>
      <c r="J564">
        <v>5981.99</v>
      </c>
      <c r="K564" t="s">
        <v>63</v>
      </c>
      <c r="L564" t="s">
        <v>61</v>
      </c>
      <c r="M564">
        <v>2022</v>
      </c>
      <c r="N564" t="s">
        <v>44</v>
      </c>
    </row>
    <row r="565" spans="1:14" x14ac:dyDescent="0.3">
      <c r="A565" s="1">
        <v>45272</v>
      </c>
      <c r="B565" t="s">
        <v>31</v>
      </c>
      <c r="C565" t="s">
        <v>10</v>
      </c>
      <c r="D565" t="s">
        <v>28</v>
      </c>
      <c r="E565">
        <v>21</v>
      </c>
      <c r="F565">
        <v>4917.9399999999996</v>
      </c>
      <c r="G565" t="s">
        <v>12</v>
      </c>
      <c r="H565">
        <v>2</v>
      </c>
      <c r="I565">
        <v>997.68</v>
      </c>
      <c r="J565">
        <v>3920.26</v>
      </c>
      <c r="K565" t="s">
        <v>58</v>
      </c>
      <c r="L565" t="s">
        <v>59</v>
      </c>
      <c r="M565">
        <v>2023</v>
      </c>
      <c r="N565" t="s">
        <v>43</v>
      </c>
    </row>
    <row r="566" spans="1:14" x14ac:dyDescent="0.3">
      <c r="A566" s="1">
        <v>44979</v>
      </c>
      <c r="B566" t="s">
        <v>15</v>
      </c>
      <c r="C566" t="s">
        <v>10</v>
      </c>
      <c r="D566" t="s">
        <v>11</v>
      </c>
      <c r="E566">
        <v>6</v>
      </c>
      <c r="F566">
        <v>2941.29</v>
      </c>
      <c r="G566" t="s">
        <v>12</v>
      </c>
      <c r="H566">
        <v>4</v>
      </c>
      <c r="I566">
        <v>228.99</v>
      </c>
      <c r="J566">
        <v>2712.3</v>
      </c>
      <c r="K566" t="s">
        <v>54</v>
      </c>
      <c r="L566" t="s">
        <v>53</v>
      </c>
      <c r="M566">
        <v>2023</v>
      </c>
      <c r="N566" t="s">
        <v>43</v>
      </c>
    </row>
    <row r="567" spans="1:14" x14ac:dyDescent="0.3">
      <c r="A567" s="1">
        <v>44860</v>
      </c>
      <c r="B567" t="s">
        <v>23</v>
      </c>
      <c r="C567" t="s">
        <v>16</v>
      </c>
      <c r="D567" t="s">
        <v>27</v>
      </c>
      <c r="E567">
        <v>42</v>
      </c>
      <c r="F567">
        <v>20284.099999999999</v>
      </c>
      <c r="G567" t="s">
        <v>12</v>
      </c>
      <c r="H567">
        <v>5</v>
      </c>
      <c r="I567">
        <v>1043.05</v>
      </c>
      <c r="J567">
        <v>19241.05</v>
      </c>
      <c r="K567" t="s">
        <v>62</v>
      </c>
      <c r="L567" t="s">
        <v>59</v>
      </c>
      <c r="M567">
        <v>2022</v>
      </c>
      <c r="N567" t="s">
        <v>45</v>
      </c>
    </row>
    <row r="568" spans="1:14" x14ac:dyDescent="0.3">
      <c r="A568" s="1">
        <v>45122</v>
      </c>
      <c r="B568" t="s">
        <v>9</v>
      </c>
      <c r="C568" t="s">
        <v>25</v>
      </c>
      <c r="D568" t="s">
        <v>30</v>
      </c>
      <c r="E568">
        <v>19</v>
      </c>
      <c r="F568">
        <v>849.73</v>
      </c>
      <c r="G568" t="s">
        <v>12</v>
      </c>
      <c r="H568">
        <v>3</v>
      </c>
      <c r="I568">
        <v>3724.59</v>
      </c>
      <c r="J568">
        <v>-2874.86</v>
      </c>
      <c r="K568" t="s">
        <v>63</v>
      </c>
      <c r="L568" t="s">
        <v>61</v>
      </c>
      <c r="M568">
        <v>2023</v>
      </c>
      <c r="N568" t="s">
        <v>43</v>
      </c>
    </row>
    <row r="569" spans="1:14" x14ac:dyDescent="0.3">
      <c r="A569" s="1">
        <v>44740</v>
      </c>
      <c r="B569" t="s">
        <v>15</v>
      </c>
      <c r="C569" t="s">
        <v>13</v>
      </c>
      <c r="D569" t="s">
        <v>40</v>
      </c>
      <c r="E569">
        <v>8</v>
      </c>
      <c r="F569">
        <v>2037.82</v>
      </c>
      <c r="G569" t="s">
        <v>12</v>
      </c>
      <c r="H569">
        <v>5</v>
      </c>
      <c r="I569">
        <v>1048.6300000000001</v>
      </c>
      <c r="J569">
        <v>989.19</v>
      </c>
      <c r="K569" t="s">
        <v>50</v>
      </c>
      <c r="L569" t="s">
        <v>51</v>
      </c>
      <c r="M569">
        <v>2022</v>
      </c>
      <c r="N569" t="s">
        <v>43</v>
      </c>
    </row>
    <row r="570" spans="1:14" x14ac:dyDescent="0.3">
      <c r="A570" s="1">
        <v>44882</v>
      </c>
      <c r="B570" t="s">
        <v>31</v>
      </c>
      <c r="C570" t="s">
        <v>25</v>
      </c>
      <c r="D570" t="s">
        <v>38</v>
      </c>
      <c r="E570">
        <v>9</v>
      </c>
      <c r="F570">
        <v>3121.03</v>
      </c>
      <c r="G570" t="s">
        <v>20</v>
      </c>
      <c r="H570">
        <v>3</v>
      </c>
      <c r="I570">
        <v>805.45</v>
      </c>
      <c r="J570">
        <v>2315.58</v>
      </c>
      <c r="K570" t="s">
        <v>65</v>
      </c>
      <c r="L570" t="s">
        <v>59</v>
      </c>
      <c r="M570">
        <v>2022</v>
      </c>
      <c r="N570" t="s">
        <v>44</v>
      </c>
    </row>
    <row r="571" spans="1:14" x14ac:dyDescent="0.3">
      <c r="A571" s="1">
        <v>45054</v>
      </c>
      <c r="B571" t="s">
        <v>23</v>
      </c>
      <c r="C571" t="s">
        <v>13</v>
      </c>
      <c r="D571" t="s">
        <v>40</v>
      </c>
      <c r="E571">
        <v>5</v>
      </c>
      <c r="F571">
        <v>1664.36</v>
      </c>
      <c r="G571" t="s">
        <v>12</v>
      </c>
      <c r="H571">
        <v>5</v>
      </c>
      <c r="I571">
        <v>799.22</v>
      </c>
      <c r="J571">
        <v>865.14</v>
      </c>
      <c r="K571" t="s">
        <v>56</v>
      </c>
      <c r="L571" t="s">
        <v>51</v>
      </c>
      <c r="M571">
        <v>2023</v>
      </c>
      <c r="N571" t="s">
        <v>45</v>
      </c>
    </row>
    <row r="572" spans="1:14" x14ac:dyDescent="0.3">
      <c r="A572" s="1">
        <v>45139</v>
      </c>
      <c r="B572" t="s">
        <v>15</v>
      </c>
      <c r="C572" t="s">
        <v>21</v>
      </c>
      <c r="D572" t="s">
        <v>32</v>
      </c>
      <c r="E572">
        <v>31</v>
      </c>
      <c r="F572">
        <v>5694.37</v>
      </c>
      <c r="G572" t="s">
        <v>12</v>
      </c>
      <c r="H572">
        <v>2</v>
      </c>
      <c r="I572">
        <v>6482.92</v>
      </c>
      <c r="J572">
        <v>-788.55</v>
      </c>
      <c r="K572" t="s">
        <v>64</v>
      </c>
      <c r="L572" t="s">
        <v>61</v>
      </c>
      <c r="M572">
        <v>2023</v>
      </c>
      <c r="N572" t="s">
        <v>44</v>
      </c>
    </row>
    <row r="573" spans="1:14" x14ac:dyDescent="0.3">
      <c r="A573" s="1">
        <v>44875</v>
      </c>
      <c r="B573" t="s">
        <v>31</v>
      </c>
      <c r="C573" t="s">
        <v>10</v>
      </c>
      <c r="D573" t="s">
        <v>11</v>
      </c>
      <c r="E573">
        <v>8</v>
      </c>
      <c r="F573">
        <v>930.38</v>
      </c>
      <c r="G573" t="s">
        <v>12</v>
      </c>
      <c r="H573">
        <v>2</v>
      </c>
      <c r="I573">
        <v>1324.41</v>
      </c>
      <c r="J573">
        <v>-394.03</v>
      </c>
      <c r="K573" t="s">
        <v>65</v>
      </c>
      <c r="L573" t="s">
        <v>59</v>
      </c>
      <c r="M573">
        <v>2022</v>
      </c>
      <c r="N573" t="s">
        <v>46</v>
      </c>
    </row>
    <row r="574" spans="1:14" x14ac:dyDescent="0.3">
      <c r="A574" s="1">
        <v>45009</v>
      </c>
      <c r="B574" t="s">
        <v>15</v>
      </c>
      <c r="C574" t="s">
        <v>10</v>
      </c>
      <c r="D574" t="s">
        <v>28</v>
      </c>
      <c r="E574">
        <v>33</v>
      </c>
      <c r="F574">
        <v>4160.54</v>
      </c>
      <c r="G574" t="s">
        <v>12</v>
      </c>
      <c r="H574">
        <v>3</v>
      </c>
      <c r="I574">
        <v>788.61</v>
      </c>
      <c r="J574">
        <v>3371.93</v>
      </c>
      <c r="K574" t="s">
        <v>52</v>
      </c>
      <c r="L574" t="s">
        <v>53</v>
      </c>
      <c r="M574">
        <v>2023</v>
      </c>
      <c r="N574" t="s">
        <v>46</v>
      </c>
    </row>
    <row r="575" spans="1:14" x14ac:dyDescent="0.3">
      <c r="A575" s="1">
        <v>44652</v>
      </c>
      <c r="B575" t="s">
        <v>23</v>
      </c>
      <c r="C575" t="s">
        <v>21</v>
      </c>
      <c r="D575" t="s">
        <v>22</v>
      </c>
      <c r="E575">
        <v>11</v>
      </c>
      <c r="F575">
        <v>5093.3100000000004</v>
      </c>
      <c r="G575" t="s">
        <v>12</v>
      </c>
      <c r="H575">
        <v>4</v>
      </c>
      <c r="I575">
        <v>321.51</v>
      </c>
      <c r="J575">
        <v>4771.8</v>
      </c>
      <c r="K575" t="s">
        <v>55</v>
      </c>
      <c r="L575" t="s">
        <v>51</v>
      </c>
      <c r="M575">
        <v>2022</v>
      </c>
      <c r="N575" t="s">
        <v>46</v>
      </c>
    </row>
    <row r="576" spans="1:14" x14ac:dyDescent="0.3">
      <c r="A576" s="1">
        <v>45276</v>
      </c>
      <c r="B576" t="s">
        <v>18</v>
      </c>
      <c r="C576" t="s">
        <v>10</v>
      </c>
      <c r="D576" t="s">
        <v>35</v>
      </c>
      <c r="E576">
        <v>44</v>
      </c>
      <c r="F576">
        <v>18112.36</v>
      </c>
      <c r="G576" t="s">
        <v>20</v>
      </c>
      <c r="H576">
        <v>3</v>
      </c>
      <c r="I576">
        <v>3283.42</v>
      </c>
      <c r="J576">
        <v>14828.94</v>
      </c>
      <c r="K576" t="s">
        <v>58</v>
      </c>
      <c r="L576" t="s">
        <v>59</v>
      </c>
      <c r="M576">
        <v>2023</v>
      </c>
      <c r="N576" t="s">
        <v>44</v>
      </c>
    </row>
    <row r="577" spans="1:14" x14ac:dyDescent="0.3">
      <c r="A577" s="1">
        <v>45117</v>
      </c>
      <c r="B577" t="s">
        <v>15</v>
      </c>
      <c r="C577" t="s">
        <v>25</v>
      </c>
      <c r="D577" t="s">
        <v>38</v>
      </c>
      <c r="E577">
        <v>3</v>
      </c>
      <c r="F577">
        <v>971.88</v>
      </c>
      <c r="G577" t="s">
        <v>12</v>
      </c>
      <c r="H577">
        <v>2</v>
      </c>
      <c r="I577">
        <v>75.31</v>
      </c>
      <c r="J577">
        <v>896.57</v>
      </c>
      <c r="K577" t="s">
        <v>63</v>
      </c>
      <c r="L577" t="s">
        <v>61</v>
      </c>
      <c r="M577">
        <v>2023</v>
      </c>
      <c r="N577" t="s">
        <v>44</v>
      </c>
    </row>
    <row r="578" spans="1:14" x14ac:dyDescent="0.3">
      <c r="A578" s="1">
        <v>45259</v>
      </c>
      <c r="B578" t="s">
        <v>15</v>
      </c>
      <c r="C578" t="s">
        <v>25</v>
      </c>
      <c r="D578" t="s">
        <v>30</v>
      </c>
      <c r="E578">
        <v>27</v>
      </c>
      <c r="F578">
        <v>5562.07</v>
      </c>
      <c r="G578" t="s">
        <v>12</v>
      </c>
      <c r="H578">
        <v>2</v>
      </c>
      <c r="I578">
        <v>6236.09</v>
      </c>
      <c r="J578">
        <v>-674.02</v>
      </c>
      <c r="K578" t="s">
        <v>65</v>
      </c>
      <c r="L578" t="s">
        <v>59</v>
      </c>
      <c r="M578">
        <v>2023</v>
      </c>
      <c r="N578" t="s">
        <v>46</v>
      </c>
    </row>
    <row r="579" spans="1:14" x14ac:dyDescent="0.3">
      <c r="A579" s="1">
        <v>44963</v>
      </c>
      <c r="B579" t="s">
        <v>31</v>
      </c>
      <c r="C579" t="s">
        <v>21</v>
      </c>
      <c r="D579" t="s">
        <v>33</v>
      </c>
      <c r="E579">
        <v>18</v>
      </c>
      <c r="F579">
        <v>5972.55</v>
      </c>
      <c r="G579" t="s">
        <v>12</v>
      </c>
      <c r="H579">
        <v>2</v>
      </c>
      <c r="I579">
        <v>1488.77</v>
      </c>
      <c r="J579">
        <v>4483.78</v>
      </c>
      <c r="K579" t="s">
        <v>54</v>
      </c>
      <c r="L579" t="s">
        <v>53</v>
      </c>
      <c r="M579">
        <v>2023</v>
      </c>
      <c r="N579" t="s">
        <v>44</v>
      </c>
    </row>
    <row r="580" spans="1:14" x14ac:dyDescent="0.3">
      <c r="A580" s="1">
        <v>44785</v>
      </c>
      <c r="B580" t="s">
        <v>9</v>
      </c>
      <c r="C580" t="s">
        <v>13</v>
      </c>
      <c r="D580" t="s">
        <v>40</v>
      </c>
      <c r="E580">
        <v>48</v>
      </c>
      <c r="F580">
        <v>11662.84</v>
      </c>
      <c r="G580" t="s">
        <v>20</v>
      </c>
      <c r="H580">
        <v>5</v>
      </c>
      <c r="I580">
        <v>4307.4799999999996</v>
      </c>
      <c r="J580">
        <v>7355.36</v>
      </c>
      <c r="K580" t="s">
        <v>64</v>
      </c>
      <c r="L580" t="s">
        <v>61</v>
      </c>
      <c r="M580">
        <v>2022</v>
      </c>
      <c r="N580" t="s">
        <v>43</v>
      </c>
    </row>
    <row r="581" spans="1:14" x14ac:dyDescent="0.3">
      <c r="A581" s="1">
        <v>44755</v>
      </c>
      <c r="B581" t="s">
        <v>31</v>
      </c>
      <c r="C581" t="s">
        <v>16</v>
      </c>
      <c r="D581" t="s">
        <v>24</v>
      </c>
      <c r="E581">
        <v>40</v>
      </c>
      <c r="F581">
        <v>11796.11</v>
      </c>
      <c r="G581" t="s">
        <v>12</v>
      </c>
      <c r="H581">
        <v>5</v>
      </c>
      <c r="I581">
        <v>551.89</v>
      </c>
      <c r="J581">
        <v>11244.22</v>
      </c>
      <c r="K581" t="s">
        <v>63</v>
      </c>
      <c r="L581" t="s">
        <v>61</v>
      </c>
      <c r="M581">
        <v>2022</v>
      </c>
      <c r="N581" t="s">
        <v>44</v>
      </c>
    </row>
    <row r="582" spans="1:14" x14ac:dyDescent="0.3">
      <c r="A582" s="1">
        <v>45039</v>
      </c>
      <c r="B582" t="s">
        <v>15</v>
      </c>
      <c r="C582" t="s">
        <v>25</v>
      </c>
      <c r="D582" t="s">
        <v>30</v>
      </c>
      <c r="E582">
        <v>26</v>
      </c>
      <c r="F582">
        <v>3443.25</v>
      </c>
      <c r="G582" t="s">
        <v>20</v>
      </c>
      <c r="H582">
        <v>5</v>
      </c>
      <c r="I582">
        <v>874.16</v>
      </c>
      <c r="J582">
        <v>2569.09</v>
      </c>
      <c r="K582" t="s">
        <v>55</v>
      </c>
      <c r="L582" t="s">
        <v>51</v>
      </c>
      <c r="M582">
        <v>2023</v>
      </c>
      <c r="N582" t="s">
        <v>43</v>
      </c>
    </row>
    <row r="583" spans="1:14" x14ac:dyDescent="0.3">
      <c r="A583" s="1">
        <v>44866</v>
      </c>
      <c r="B583" t="s">
        <v>9</v>
      </c>
      <c r="C583" t="s">
        <v>10</v>
      </c>
      <c r="D583" t="s">
        <v>28</v>
      </c>
      <c r="E583">
        <v>15</v>
      </c>
      <c r="F583">
        <v>4165.67</v>
      </c>
      <c r="G583" t="s">
        <v>20</v>
      </c>
      <c r="H583">
        <v>4</v>
      </c>
      <c r="I583">
        <v>1497.88</v>
      </c>
      <c r="J583">
        <v>2667.79</v>
      </c>
      <c r="K583" t="s">
        <v>65</v>
      </c>
      <c r="L583" t="s">
        <v>59</v>
      </c>
      <c r="M583">
        <v>2022</v>
      </c>
      <c r="N583" t="s">
        <v>43</v>
      </c>
    </row>
    <row r="584" spans="1:14" x14ac:dyDescent="0.3">
      <c r="A584" s="1">
        <v>44636</v>
      </c>
      <c r="B584" t="s">
        <v>23</v>
      </c>
      <c r="C584" t="s">
        <v>21</v>
      </c>
      <c r="D584" t="s">
        <v>36</v>
      </c>
      <c r="E584">
        <v>24</v>
      </c>
      <c r="F584">
        <v>10085.26</v>
      </c>
      <c r="G584" t="s">
        <v>12</v>
      </c>
      <c r="H584">
        <v>3</v>
      </c>
      <c r="I584">
        <v>2719.09</v>
      </c>
      <c r="J584">
        <v>7366.17</v>
      </c>
      <c r="K584" t="s">
        <v>52</v>
      </c>
      <c r="L584" t="s">
        <v>53</v>
      </c>
      <c r="M584">
        <v>2022</v>
      </c>
      <c r="N584" t="s">
        <v>43</v>
      </c>
    </row>
    <row r="585" spans="1:14" x14ac:dyDescent="0.3">
      <c r="A585" s="1">
        <v>45036</v>
      </c>
      <c r="B585" t="s">
        <v>9</v>
      </c>
      <c r="C585" t="s">
        <v>16</v>
      </c>
      <c r="D585" t="s">
        <v>27</v>
      </c>
      <c r="E585">
        <v>29</v>
      </c>
      <c r="F585">
        <v>1873.73</v>
      </c>
      <c r="G585" t="s">
        <v>20</v>
      </c>
      <c r="H585">
        <v>3</v>
      </c>
      <c r="I585">
        <v>2370.1</v>
      </c>
      <c r="J585">
        <v>-496.37</v>
      </c>
      <c r="K585" t="s">
        <v>55</v>
      </c>
      <c r="L585" t="s">
        <v>51</v>
      </c>
      <c r="M585">
        <v>2023</v>
      </c>
      <c r="N585" t="s">
        <v>43</v>
      </c>
    </row>
    <row r="586" spans="1:14" x14ac:dyDescent="0.3">
      <c r="A586" s="1">
        <v>44676</v>
      </c>
      <c r="B586" t="s">
        <v>18</v>
      </c>
      <c r="C586" t="s">
        <v>13</v>
      </c>
      <c r="D586" t="s">
        <v>19</v>
      </c>
      <c r="E586">
        <v>44</v>
      </c>
      <c r="F586">
        <v>1538.52</v>
      </c>
      <c r="G586" t="s">
        <v>20</v>
      </c>
      <c r="H586">
        <v>1</v>
      </c>
      <c r="I586">
        <v>3035.13</v>
      </c>
      <c r="J586">
        <v>-1496.61</v>
      </c>
      <c r="K586" t="s">
        <v>55</v>
      </c>
      <c r="L586" t="s">
        <v>51</v>
      </c>
      <c r="M586">
        <v>2022</v>
      </c>
      <c r="N586" t="s">
        <v>44</v>
      </c>
    </row>
    <row r="587" spans="1:14" x14ac:dyDescent="0.3">
      <c r="A587" s="1">
        <v>45243</v>
      </c>
      <c r="B587" t="s">
        <v>9</v>
      </c>
      <c r="C587" t="s">
        <v>21</v>
      </c>
      <c r="D587" t="s">
        <v>32</v>
      </c>
      <c r="E587">
        <v>19</v>
      </c>
      <c r="F587">
        <v>232.48</v>
      </c>
      <c r="G587" t="s">
        <v>12</v>
      </c>
      <c r="H587">
        <v>4</v>
      </c>
      <c r="I587">
        <v>3749.57</v>
      </c>
      <c r="J587">
        <v>-3517.09</v>
      </c>
      <c r="K587" t="s">
        <v>65</v>
      </c>
      <c r="L587" t="s">
        <v>59</v>
      </c>
      <c r="M587">
        <v>2023</v>
      </c>
      <c r="N587" t="s">
        <v>43</v>
      </c>
    </row>
    <row r="588" spans="1:14" x14ac:dyDescent="0.3">
      <c r="A588" s="1">
        <v>44731</v>
      </c>
      <c r="B588" t="s">
        <v>23</v>
      </c>
      <c r="C588" t="s">
        <v>16</v>
      </c>
      <c r="D588" t="s">
        <v>17</v>
      </c>
      <c r="E588">
        <v>3</v>
      </c>
      <c r="F588">
        <v>230.84</v>
      </c>
      <c r="G588" t="s">
        <v>12</v>
      </c>
      <c r="H588">
        <v>3</v>
      </c>
      <c r="I588">
        <v>318.62</v>
      </c>
      <c r="J588">
        <v>-87.78</v>
      </c>
      <c r="K588" t="s">
        <v>50</v>
      </c>
      <c r="L588" t="s">
        <v>51</v>
      </c>
      <c r="M588">
        <v>2022</v>
      </c>
      <c r="N588" t="s">
        <v>43</v>
      </c>
    </row>
    <row r="589" spans="1:14" x14ac:dyDescent="0.3">
      <c r="A589" s="1">
        <v>44632</v>
      </c>
      <c r="B589" t="s">
        <v>9</v>
      </c>
      <c r="C589" t="s">
        <v>16</v>
      </c>
      <c r="D589" t="s">
        <v>37</v>
      </c>
      <c r="E589">
        <v>22</v>
      </c>
      <c r="F589">
        <v>5054.42</v>
      </c>
      <c r="G589" t="s">
        <v>20</v>
      </c>
      <c r="H589">
        <v>5</v>
      </c>
      <c r="I589">
        <v>1672.84</v>
      </c>
      <c r="J589">
        <v>3381.58</v>
      </c>
      <c r="K589" t="s">
        <v>52</v>
      </c>
      <c r="L589" t="s">
        <v>53</v>
      </c>
      <c r="M589">
        <v>2022</v>
      </c>
      <c r="N589" t="s">
        <v>43</v>
      </c>
    </row>
    <row r="590" spans="1:14" x14ac:dyDescent="0.3">
      <c r="A590" s="1">
        <v>44608</v>
      </c>
      <c r="B590" t="s">
        <v>23</v>
      </c>
      <c r="C590" t="s">
        <v>13</v>
      </c>
      <c r="D590" t="s">
        <v>14</v>
      </c>
      <c r="E590">
        <v>12</v>
      </c>
      <c r="F590">
        <v>4662.7700000000004</v>
      </c>
      <c r="G590" t="s">
        <v>12</v>
      </c>
      <c r="H590">
        <v>2</v>
      </c>
      <c r="I590">
        <v>2744.4</v>
      </c>
      <c r="J590">
        <v>1918.37</v>
      </c>
      <c r="K590" t="s">
        <v>54</v>
      </c>
      <c r="L590" t="s">
        <v>53</v>
      </c>
      <c r="M590">
        <v>2022</v>
      </c>
      <c r="N590" t="s">
        <v>44</v>
      </c>
    </row>
    <row r="591" spans="1:14" x14ac:dyDescent="0.3">
      <c r="A591" s="1">
        <v>44671</v>
      </c>
      <c r="B591" t="s">
        <v>23</v>
      </c>
      <c r="C591" t="s">
        <v>10</v>
      </c>
      <c r="D591" t="s">
        <v>11</v>
      </c>
      <c r="E591">
        <v>24</v>
      </c>
      <c r="F591">
        <v>624.41</v>
      </c>
      <c r="G591" t="s">
        <v>20</v>
      </c>
      <c r="H591">
        <v>4</v>
      </c>
      <c r="I591">
        <v>2733.08</v>
      </c>
      <c r="J591">
        <v>-2108.67</v>
      </c>
      <c r="K591" t="s">
        <v>55</v>
      </c>
      <c r="L591" t="s">
        <v>51</v>
      </c>
      <c r="M591">
        <v>2022</v>
      </c>
      <c r="N591" t="s">
        <v>44</v>
      </c>
    </row>
    <row r="592" spans="1:14" x14ac:dyDescent="0.3">
      <c r="A592" s="1">
        <v>44723</v>
      </c>
      <c r="B592" t="s">
        <v>31</v>
      </c>
      <c r="C592" t="s">
        <v>10</v>
      </c>
      <c r="D592" t="s">
        <v>35</v>
      </c>
      <c r="E592">
        <v>45</v>
      </c>
      <c r="F592">
        <v>14749.72</v>
      </c>
      <c r="G592" t="s">
        <v>12</v>
      </c>
      <c r="H592">
        <v>2</v>
      </c>
      <c r="I592">
        <v>6947.97</v>
      </c>
      <c r="J592">
        <v>7801.75</v>
      </c>
      <c r="K592" t="s">
        <v>50</v>
      </c>
      <c r="L592" t="s">
        <v>51</v>
      </c>
      <c r="M592">
        <v>2022</v>
      </c>
      <c r="N592" t="s">
        <v>44</v>
      </c>
    </row>
    <row r="593" spans="1:14" x14ac:dyDescent="0.3">
      <c r="A593" s="1">
        <v>44685</v>
      </c>
      <c r="B593" t="s">
        <v>9</v>
      </c>
      <c r="C593" t="s">
        <v>21</v>
      </c>
      <c r="D593" t="s">
        <v>33</v>
      </c>
      <c r="E593">
        <v>47</v>
      </c>
      <c r="F593">
        <v>13098.96</v>
      </c>
      <c r="G593" t="s">
        <v>20</v>
      </c>
      <c r="H593">
        <v>5</v>
      </c>
      <c r="I593">
        <v>10613.33</v>
      </c>
      <c r="J593">
        <v>2485.63</v>
      </c>
      <c r="K593" t="s">
        <v>56</v>
      </c>
      <c r="L593" t="s">
        <v>51</v>
      </c>
      <c r="M593">
        <v>2022</v>
      </c>
      <c r="N593" t="s">
        <v>43</v>
      </c>
    </row>
    <row r="594" spans="1:14" x14ac:dyDescent="0.3">
      <c r="A594" s="1">
        <v>44848</v>
      </c>
      <c r="B594" t="s">
        <v>31</v>
      </c>
      <c r="C594" t="s">
        <v>21</v>
      </c>
      <c r="D594" t="s">
        <v>36</v>
      </c>
      <c r="E594">
        <v>11</v>
      </c>
      <c r="F594">
        <v>3283.24</v>
      </c>
      <c r="G594" t="s">
        <v>12</v>
      </c>
      <c r="H594">
        <v>1</v>
      </c>
      <c r="I594">
        <v>1846.25</v>
      </c>
      <c r="J594">
        <v>1436.99</v>
      </c>
      <c r="K594" t="s">
        <v>62</v>
      </c>
      <c r="L594" t="s">
        <v>59</v>
      </c>
      <c r="M594">
        <v>2022</v>
      </c>
      <c r="N594" t="s">
        <v>47</v>
      </c>
    </row>
    <row r="595" spans="1:14" x14ac:dyDescent="0.3">
      <c r="A595" s="1">
        <v>44867</v>
      </c>
      <c r="B595" t="s">
        <v>15</v>
      </c>
      <c r="C595" t="s">
        <v>25</v>
      </c>
      <c r="D595" t="s">
        <v>38</v>
      </c>
      <c r="E595">
        <v>8</v>
      </c>
      <c r="F595">
        <v>1034.99</v>
      </c>
      <c r="G595" t="s">
        <v>12</v>
      </c>
      <c r="H595">
        <v>5</v>
      </c>
      <c r="I595">
        <v>1510.43</v>
      </c>
      <c r="J595">
        <v>-475.44</v>
      </c>
      <c r="K595" t="s">
        <v>65</v>
      </c>
      <c r="L595" t="s">
        <v>59</v>
      </c>
      <c r="M595">
        <v>2022</v>
      </c>
      <c r="N595" t="s">
        <v>45</v>
      </c>
    </row>
    <row r="596" spans="1:14" x14ac:dyDescent="0.3">
      <c r="A596" s="1">
        <v>44964</v>
      </c>
      <c r="B596" t="s">
        <v>23</v>
      </c>
      <c r="C596" t="s">
        <v>13</v>
      </c>
      <c r="D596" t="s">
        <v>29</v>
      </c>
      <c r="E596">
        <v>38</v>
      </c>
      <c r="F596">
        <v>1645.74</v>
      </c>
      <c r="G596" t="s">
        <v>20</v>
      </c>
      <c r="H596">
        <v>4</v>
      </c>
      <c r="I596">
        <v>2630.16</v>
      </c>
      <c r="J596">
        <v>-984.42</v>
      </c>
      <c r="K596" t="s">
        <v>54</v>
      </c>
      <c r="L596" t="s">
        <v>53</v>
      </c>
      <c r="M596">
        <v>2023</v>
      </c>
      <c r="N596" t="s">
        <v>47</v>
      </c>
    </row>
    <row r="597" spans="1:14" x14ac:dyDescent="0.3">
      <c r="A597" s="1">
        <v>44906</v>
      </c>
      <c r="B597" t="s">
        <v>18</v>
      </c>
      <c r="C597" t="s">
        <v>10</v>
      </c>
      <c r="D597" t="s">
        <v>35</v>
      </c>
      <c r="E597">
        <v>33</v>
      </c>
      <c r="F597">
        <v>13465.91</v>
      </c>
      <c r="G597" t="s">
        <v>12</v>
      </c>
      <c r="H597">
        <v>2</v>
      </c>
      <c r="I597">
        <v>7255.85</v>
      </c>
      <c r="J597">
        <v>6210.06</v>
      </c>
      <c r="K597" t="s">
        <v>58</v>
      </c>
      <c r="L597" t="s">
        <v>59</v>
      </c>
      <c r="M597">
        <v>2022</v>
      </c>
      <c r="N597" t="s">
        <v>44</v>
      </c>
    </row>
    <row r="598" spans="1:14" x14ac:dyDescent="0.3">
      <c r="A598" s="1">
        <v>44749</v>
      </c>
      <c r="B598" t="s">
        <v>15</v>
      </c>
      <c r="C598" t="s">
        <v>25</v>
      </c>
      <c r="D598" t="s">
        <v>39</v>
      </c>
      <c r="E598">
        <v>16</v>
      </c>
      <c r="F598">
        <v>1462.89</v>
      </c>
      <c r="G598" t="s">
        <v>12</v>
      </c>
      <c r="H598">
        <v>4</v>
      </c>
      <c r="I598">
        <v>991.24</v>
      </c>
      <c r="J598">
        <v>471.65</v>
      </c>
      <c r="K598" t="s">
        <v>63</v>
      </c>
      <c r="L598" t="s">
        <v>61</v>
      </c>
      <c r="M598">
        <v>2022</v>
      </c>
      <c r="N598" t="s">
        <v>43</v>
      </c>
    </row>
    <row r="599" spans="1:14" x14ac:dyDescent="0.3">
      <c r="A599" s="1">
        <v>45253</v>
      </c>
      <c r="B599" t="s">
        <v>9</v>
      </c>
      <c r="C599" t="s">
        <v>25</v>
      </c>
      <c r="D599" t="s">
        <v>30</v>
      </c>
      <c r="E599">
        <v>19</v>
      </c>
      <c r="F599">
        <v>1487.91</v>
      </c>
      <c r="G599" t="s">
        <v>12</v>
      </c>
      <c r="H599">
        <v>1</v>
      </c>
      <c r="I599">
        <v>4063.34</v>
      </c>
      <c r="J599">
        <v>-2575.4299999999998</v>
      </c>
      <c r="K599" t="s">
        <v>65</v>
      </c>
      <c r="L599" t="s">
        <v>59</v>
      </c>
      <c r="M599">
        <v>2023</v>
      </c>
      <c r="N599" t="s">
        <v>45</v>
      </c>
    </row>
    <row r="600" spans="1:14" x14ac:dyDescent="0.3">
      <c r="A600" s="1">
        <v>44588</v>
      </c>
      <c r="B600" t="s">
        <v>18</v>
      </c>
      <c r="C600" t="s">
        <v>10</v>
      </c>
      <c r="D600" t="s">
        <v>35</v>
      </c>
      <c r="E600">
        <v>29</v>
      </c>
      <c r="F600">
        <v>6338.53</v>
      </c>
      <c r="G600" t="s">
        <v>12</v>
      </c>
      <c r="H600">
        <v>2</v>
      </c>
      <c r="I600">
        <v>2869.25</v>
      </c>
      <c r="J600">
        <v>3469.28</v>
      </c>
      <c r="K600" t="s">
        <v>57</v>
      </c>
      <c r="L600" t="s">
        <v>53</v>
      </c>
      <c r="M600">
        <v>2022</v>
      </c>
      <c r="N600" t="s">
        <v>43</v>
      </c>
    </row>
    <row r="601" spans="1:14" x14ac:dyDescent="0.3">
      <c r="A601" s="1">
        <v>44682</v>
      </c>
      <c r="B601" t="s">
        <v>23</v>
      </c>
      <c r="C601" t="s">
        <v>21</v>
      </c>
      <c r="D601" t="s">
        <v>32</v>
      </c>
      <c r="E601">
        <v>21</v>
      </c>
      <c r="F601">
        <v>8583.2800000000007</v>
      </c>
      <c r="G601" t="s">
        <v>12</v>
      </c>
      <c r="H601">
        <v>2</v>
      </c>
      <c r="I601">
        <v>4980.34</v>
      </c>
      <c r="J601">
        <v>3602.94</v>
      </c>
      <c r="K601" t="s">
        <v>56</v>
      </c>
      <c r="L601" t="s">
        <v>51</v>
      </c>
      <c r="M601">
        <v>2022</v>
      </c>
      <c r="N601" t="s">
        <v>45</v>
      </c>
    </row>
    <row r="602" spans="1:14" x14ac:dyDescent="0.3">
      <c r="A602" s="1">
        <v>45179</v>
      </c>
      <c r="B602" t="s">
        <v>31</v>
      </c>
      <c r="C602" t="s">
        <v>21</v>
      </c>
      <c r="D602" t="s">
        <v>32</v>
      </c>
      <c r="E602">
        <v>36</v>
      </c>
      <c r="F602">
        <v>4432.3</v>
      </c>
      <c r="G602" t="s">
        <v>12</v>
      </c>
      <c r="H602">
        <v>2</v>
      </c>
      <c r="I602">
        <v>2329.0100000000002</v>
      </c>
      <c r="J602">
        <v>2103.29</v>
      </c>
      <c r="K602" t="s">
        <v>60</v>
      </c>
      <c r="L602" t="s">
        <v>61</v>
      </c>
      <c r="M602">
        <v>2023</v>
      </c>
      <c r="N602" t="s">
        <v>43</v>
      </c>
    </row>
    <row r="603" spans="1:14" x14ac:dyDescent="0.3">
      <c r="A603" s="1">
        <v>44659</v>
      </c>
      <c r="B603" t="s">
        <v>9</v>
      </c>
      <c r="C603" t="s">
        <v>25</v>
      </c>
      <c r="D603" t="s">
        <v>39</v>
      </c>
      <c r="E603">
        <v>18</v>
      </c>
      <c r="F603">
        <v>3066.27</v>
      </c>
      <c r="G603" t="s">
        <v>12</v>
      </c>
      <c r="H603">
        <v>1</v>
      </c>
      <c r="I603">
        <v>3094.28</v>
      </c>
      <c r="J603">
        <v>-28.01</v>
      </c>
      <c r="K603" t="s">
        <v>55</v>
      </c>
      <c r="L603" t="s">
        <v>51</v>
      </c>
      <c r="M603">
        <v>2022</v>
      </c>
      <c r="N603" t="s">
        <v>45</v>
      </c>
    </row>
    <row r="604" spans="1:14" x14ac:dyDescent="0.3">
      <c r="A604" s="1">
        <v>44606</v>
      </c>
      <c r="B604" t="s">
        <v>31</v>
      </c>
      <c r="C604" t="s">
        <v>16</v>
      </c>
      <c r="D604" t="s">
        <v>24</v>
      </c>
      <c r="E604">
        <v>32</v>
      </c>
      <c r="F604">
        <v>8979.24</v>
      </c>
      <c r="G604" t="s">
        <v>12</v>
      </c>
      <c r="H604">
        <v>3</v>
      </c>
      <c r="I604">
        <v>4108.24</v>
      </c>
      <c r="J604">
        <v>4871</v>
      </c>
      <c r="K604" t="s">
        <v>54</v>
      </c>
      <c r="L604" t="s">
        <v>53</v>
      </c>
      <c r="M604">
        <v>2022</v>
      </c>
      <c r="N604" t="s">
        <v>45</v>
      </c>
    </row>
    <row r="605" spans="1:14" x14ac:dyDescent="0.3">
      <c r="A605" s="1">
        <v>45190</v>
      </c>
      <c r="B605" t="s">
        <v>18</v>
      </c>
      <c r="C605" t="s">
        <v>21</v>
      </c>
      <c r="D605" t="s">
        <v>33</v>
      </c>
      <c r="E605">
        <v>33</v>
      </c>
      <c r="F605">
        <v>13901.74</v>
      </c>
      <c r="G605" t="s">
        <v>12</v>
      </c>
      <c r="H605">
        <v>4</v>
      </c>
      <c r="I605">
        <v>3080.71</v>
      </c>
      <c r="J605">
        <v>10821.03</v>
      </c>
      <c r="K605" t="s">
        <v>60</v>
      </c>
      <c r="L605" t="s">
        <v>61</v>
      </c>
      <c r="M605">
        <v>2023</v>
      </c>
      <c r="N605" t="s">
        <v>45</v>
      </c>
    </row>
    <row r="606" spans="1:14" x14ac:dyDescent="0.3">
      <c r="A606" s="1">
        <v>44591</v>
      </c>
      <c r="B606" t="s">
        <v>15</v>
      </c>
      <c r="C606" t="s">
        <v>10</v>
      </c>
      <c r="D606" t="s">
        <v>34</v>
      </c>
      <c r="E606">
        <v>18</v>
      </c>
      <c r="F606">
        <v>8886.74</v>
      </c>
      <c r="G606" t="s">
        <v>12</v>
      </c>
      <c r="H606">
        <v>5</v>
      </c>
      <c r="I606">
        <v>150.71</v>
      </c>
      <c r="J606">
        <v>8736.0300000000007</v>
      </c>
      <c r="K606" t="s">
        <v>57</v>
      </c>
      <c r="L606" t="s">
        <v>53</v>
      </c>
      <c r="M606">
        <v>2022</v>
      </c>
      <c r="N606" t="s">
        <v>45</v>
      </c>
    </row>
    <row r="607" spans="1:14" x14ac:dyDescent="0.3">
      <c r="A607" s="1">
        <v>44587</v>
      </c>
      <c r="B607" t="s">
        <v>9</v>
      </c>
      <c r="C607" t="s">
        <v>25</v>
      </c>
      <c r="D607" t="s">
        <v>39</v>
      </c>
      <c r="E607">
        <v>44</v>
      </c>
      <c r="F607">
        <v>16606.25</v>
      </c>
      <c r="G607" t="s">
        <v>20</v>
      </c>
      <c r="H607">
        <v>2</v>
      </c>
      <c r="I607">
        <v>5384.56</v>
      </c>
      <c r="J607">
        <v>11221.69</v>
      </c>
      <c r="K607" t="s">
        <v>57</v>
      </c>
      <c r="L607" t="s">
        <v>53</v>
      </c>
      <c r="M607">
        <v>2022</v>
      </c>
      <c r="N607" t="s">
        <v>45</v>
      </c>
    </row>
    <row r="608" spans="1:14" x14ac:dyDescent="0.3">
      <c r="A608" s="1">
        <v>45183</v>
      </c>
      <c r="B608" t="s">
        <v>23</v>
      </c>
      <c r="C608" t="s">
        <v>16</v>
      </c>
      <c r="D608" t="s">
        <v>17</v>
      </c>
      <c r="E608">
        <v>25</v>
      </c>
      <c r="F608">
        <v>2090.17</v>
      </c>
      <c r="G608" t="s">
        <v>20</v>
      </c>
      <c r="H608">
        <v>1</v>
      </c>
      <c r="I608">
        <v>6146.21</v>
      </c>
      <c r="J608">
        <v>-4056.04</v>
      </c>
      <c r="K608" t="s">
        <v>60</v>
      </c>
      <c r="L608" t="s">
        <v>61</v>
      </c>
      <c r="M608">
        <v>2023</v>
      </c>
      <c r="N608" t="s">
        <v>44</v>
      </c>
    </row>
    <row r="609" spans="1:14" x14ac:dyDescent="0.3">
      <c r="A609" s="1">
        <v>45190</v>
      </c>
      <c r="B609" t="s">
        <v>18</v>
      </c>
      <c r="C609" t="s">
        <v>16</v>
      </c>
      <c r="D609" t="s">
        <v>27</v>
      </c>
      <c r="E609">
        <v>40</v>
      </c>
      <c r="F609">
        <v>15182.68</v>
      </c>
      <c r="G609" t="s">
        <v>20</v>
      </c>
      <c r="H609">
        <v>2</v>
      </c>
      <c r="I609">
        <v>7612.41</v>
      </c>
      <c r="J609">
        <v>7570.27</v>
      </c>
      <c r="K609" t="s">
        <v>60</v>
      </c>
      <c r="L609" t="s">
        <v>61</v>
      </c>
      <c r="M609">
        <v>2023</v>
      </c>
      <c r="N609" t="s">
        <v>45</v>
      </c>
    </row>
    <row r="610" spans="1:14" x14ac:dyDescent="0.3">
      <c r="A610" s="1">
        <v>44742</v>
      </c>
      <c r="B610" t="s">
        <v>18</v>
      </c>
      <c r="C610" t="s">
        <v>25</v>
      </c>
      <c r="D610" t="s">
        <v>30</v>
      </c>
      <c r="E610">
        <v>15</v>
      </c>
      <c r="F610">
        <v>6592</v>
      </c>
      <c r="G610" t="s">
        <v>12</v>
      </c>
      <c r="H610">
        <v>1</v>
      </c>
      <c r="I610">
        <v>2103.9299999999998</v>
      </c>
      <c r="J610">
        <v>4488.07</v>
      </c>
      <c r="K610" t="s">
        <v>50</v>
      </c>
      <c r="L610" t="s">
        <v>51</v>
      </c>
      <c r="M610">
        <v>2022</v>
      </c>
      <c r="N610" t="s">
        <v>45</v>
      </c>
    </row>
    <row r="611" spans="1:14" x14ac:dyDescent="0.3">
      <c r="A611" s="1">
        <v>44938</v>
      </c>
      <c r="B611" t="s">
        <v>18</v>
      </c>
      <c r="C611" t="s">
        <v>13</v>
      </c>
      <c r="D611" t="s">
        <v>14</v>
      </c>
      <c r="E611">
        <v>29</v>
      </c>
      <c r="F611">
        <v>6649.41</v>
      </c>
      <c r="G611" t="s">
        <v>20</v>
      </c>
      <c r="H611">
        <v>2</v>
      </c>
      <c r="I611">
        <v>3343.44</v>
      </c>
      <c r="J611">
        <v>3305.97</v>
      </c>
      <c r="K611" t="s">
        <v>57</v>
      </c>
      <c r="L611" t="s">
        <v>53</v>
      </c>
      <c r="M611">
        <v>2023</v>
      </c>
      <c r="N611" t="s">
        <v>44</v>
      </c>
    </row>
    <row r="612" spans="1:14" x14ac:dyDescent="0.3">
      <c r="A612" s="1">
        <v>44914</v>
      </c>
      <c r="B612" t="s">
        <v>15</v>
      </c>
      <c r="C612" t="s">
        <v>25</v>
      </c>
      <c r="D612" t="s">
        <v>38</v>
      </c>
      <c r="E612">
        <v>40</v>
      </c>
      <c r="F612">
        <v>12095.54</v>
      </c>
      <c r="G612" t="s">
        <v>20</v>
      </c>
      <c r="H612">
        <v>2</v>
      </c>
      <c r="I612">
        <v>7155.74</v>
      </c>
      <c r="J612">
        <v>4939.8</v>
      </c>
      <c r="K612" t="s">
        <v>58</v>
      </c>
      <c r="L612" t="s">
        <v>59</v>
      </c>
      <c r="M612">
        <v>2022</v>
      </c>
      <c r="N612" t="s">
        <v>47</v>
      </c>
    </row>
    <row r="613" spans="1:14" x14ac:dyDescent="0.3">
      <c r="A613" s="1">
        <v>44900</v>
      </c>
      <c r="B613" t="s">
        <v>31</v>
      </c>
      <c r="C613" t="s">
        <v>10</v>
      </c>
      <c r="D613" t="s">
        <v>28</v>
      </c>
      <c r="E613">
        <v>33</v>
      </c>
      <c r="F613">
        <v>3183.44</v>
      </c>
      <c r="G613" t="s">
        <v>20</v>
      </c>
      <c r="H613">
        <v>3</v>
      </c>
      <c r="I613">
        <v>3682.59</v>
      </c>
      <c r="J613">
        <v>-499.15</v>
      </c>
      <c r="K613" t="s">
        <v>58</v>
      </c>
      <c r="L613" t="s">
        <v>59</v>
      </c>
      <c r="M613">
        <v>2022</v>
      </c>
      <c r="N613" t="s">
        <v>44</v>
      </c>
    </row>
    <row r="614" spans="1:14" x14ac:dyDescent="0.3">
      <c r="A614" s="1">
        <v>44620</v>
      </c>
      <c r="B614" t="s">
        <v>31</v>
      </c>
      <c r="C614" t="s">
        <v>13</v>
      </c>
      <c r="D614" t="s">
        <v>40</v>
      </c>
      <c r="E614">
        <v>36</v>
      </c>
      <c r="F614">
        <v>4646.59</v>
      </c>
      <c r="G614" t="s">
        <v>20</v>
      </c>
      <c r="H614">
        <v>5</v>
      </c>
      <c r="I614">
        <v>5945.21</v>
      </c>
      <c r="J614">
        <v>-1298.6199999999999</v>
      </c>
      <c r="K614" t="s">
        <v>54</v>
      </c>
      <c r="L614" t="s">
        <v>53</v>
      </c>
      <c r="M614">
        <v>2022</v>
      </c>
      <c r="N614" t="s">
        <v>44</v>
      </c>
    </row>
    <row r="615" spans="1:14" x14ac:dyDescent="0.3">
      <c r="A615" s="1">
        <v>44751</v>
      </c>
      <c r="B615" t="s">
        <v>15</v>
      </c>
      <c r="C615" t="s">
        <v>25</v>
      </c>
      <c r="D615" t="s">
        <v>26</v>
      </c>
      <c r="E615">
        <v>6</v>
      </c>
      <c r="F615">
        <v>616.47</v>
      </c>
      <c r="G615" t="s">
        <v>12</v>
      </c>
      <c r="H615">
        <v>3</v>
      </c>
      <c r="I615">
        <v>1205.5999999999999</v>
      </c>
      <c r="J615">
        <v>-589.13</v>
      </c>
      <c r="K615" t="s">
        <v>63</v>
      </c>
      <c r="L615" t="s">
        <v>61</v>
      </c>
      <c r="M615">
        <v>2022</v>
      </c>
      <c r="N615" t="s">
        <v>44</v>
      </c>
    </row>
    <row r="616" spans="1:14" x14ac:dyDescent="0.3">
      <c r="A616" s="1">
        <v>44799</v>
      </c>
      <c r="B616" t="s">
        <v>31</v>
      </c>
      <c r="C616" t="s">
        <v>16</v>
      </c>
      <c r="D616" t="s">
        <v>37</v>
      </c>
      <c r="E616">
        <v>18</v>
      </c>
      <c r="F616">
        <v>6951.06</v>
      </c>
      <c r="G616" t="s">
        <v>20</v>
      </c>
      <c r="H616">
        <v>2</v>
      </c>
      <c r="I616">
        <v>2441.6</v>
      </c>
      <c r="J616">
        <v>4509.46</v>
      </c>
      <c r="K616" t="s">
        <v>64</v>
      </c>
      <c r="L616" t="s">
        <v>61</v>
      </c>
      <c r="M616">
        <v>2022</v>
      </c>
      <c r="N616" t="s">
        <v>44</v>
      </c>
    </row>
    <row r="617" spans="1:14" x14ac:dyDescent="0.3">
      <c r="A617" s="1">
        <v>44629</v>
      </c>
      <c r="B617" t="s">
        <v>23</v>
      </c>
      <c r="C617" t="s">
        <v>10</v>
      </c>
      <c r="D617" t="s">
        <v>28</v>
      </c>
      <c r="E617">
        <v>42</v>
      </c>
      <c r="F617">
        <v>8140.37</v>
      </c>
      <c r="G617" t="s">
        <v>12</v>
      </c>
      <c r="H617">
        <v>3</v>
      </c>
      <c r="I617">
        <v>6468.06</v>
      </c>
      <c r="J617">
        <v>1672.31</v>
      </c>
      <c r="K617" t="s">
        <v>52</v>
      </c>
      <c r="L617" t="s">
        <v>53</v>
      </c>
      <c r="M617">
        <v>2022</v>
      </c>
      <c r="N617" t="s">
        <v>44</v>
      </c>
    </row>
    <row r="618" spans="1:14" x14ac:dyDescent="0.3">
      <c r="A618" s="1">
        <v>44788</v>
      </c>
      <c r="B618" t="s">
        <v>31</v>
      </c>
      <c r="C618" t="s">
        <v>10</v>
      </c>
      <c r="D618" t="s">
        <v>34</v>
      </c>
      <c r="E618">
        <v>4</v>
      </c>
      <c r="F618">
        <v>1813.18</v>
      </c>
      <c r="G618" t="s">
        <v>20</v>
      </c>
      <c r="H618">
        <v>3</v>
      </c>
      <c r="I618">
        <v>730.13</v>
      </c>
      <c r="J618">
        <v>1083.05</v>
      </c>
      <c r="K618" t="s">
        <v>64</v>
      </c>
      <c r="L618" t="s">
        <v>61</v>
      </c>
      <c r="M618">
        <v>2022</v>
      </c>
      <c r="N618" t="s">
        <v>44</v>
      </c>
    </row>
    <row r="619" spans="1:14" x14ac:dyDescent="0.3">
      <c r="A619" s="1">
        <v>45118</v>
      </c>
      <c r="B619" t="s">
        <v>23</v>
      </c>
      <c r="C619" t="s">
        <v>13</v>
      </c>
      <c r="D619" t="s">
        <v>19</v>
      </c>
      <c r="E619">
        <v>5</v>
      </c>
      <c r="F619">
        <v>327.7</v>
      </c>
      <c r="G619" t="s">
        <v>12</v>
      </c>
      <c r="H619">
        <v>1</v>
      </c>
      <c r="I619">
        <v>39.950000000000003</v>
      </c>
      <c r="J619">
        <v>287.75</v>
      </c>
      <c r="K619" t="s">
        <v>63</v>
      </c>
      <c r="L619" t="s">
        <v>61</v>
      </c>
      <c r="M619">
        <v>2023</v>
      </c>
      <c r="N619" t="s">
        <v>44</v>
      </c>
    </row>
    <row r="620" spans="1:14" x14ac:dyDescent="0.3">
      <c r="A620" s="1">
        <v>45190</v>
      </c>
      <c r="B620" t="s">
        <v>15</v>
      </c>
      <c r="C620" t="s">
        <v>25</v>
      </c>
      <c r="D620" t="s">
        <v>26</v>
      </c>
      <c r="E620">
        <v>22</v>
      </c>
      <c r="F620">
        <v>4104.29</v>
      </c>
      <c r="G620" t="s">
        <v>20</v>
      </c>
      <c r="H620">
        <v>5</v>
      </c>
      <c r="I620">
        <v>1184.5899999999999</v>
      </c>
      <c r="J620">
        <v>2919.7</v>
      </c>
      <c r="K620" t="s">
        <v>60</v>
      </c>
      <c r="L620" t="s">
        <v>61</v>
      </c>
      <c r="M620">
        <v>2023</v>
      </c>
      <c r="N620" t="s">
        <v>44</v>
      </c>
    </row>
    <row r="621" spans="1:14" x14ac:dyDescent="0.3">
      <c r="A621" s="1">
        <v>44909</v>
      </c>
      <c r="B621" t="s">
        <v>15</v>
      </c>
      <c r="C621" t="s">
        <v>16</v>
      </c>
      <c r="D621" t="s">
        <v>37</v>
      </c>
      <c r="E621">
        <v>8</v>
      </c>
      <c r="F621">
        <v>2365.9499999999998</v>
      </c>
      <c r="G621" t="s">
        <v>20</v>
      </c>
      <c r="H621">
        <v>2</v>
      </c>
      <c r="I621">
        <v>1739.93</v>
      </c>
      <c r="J621">
        <v>626.02</v>
      </c>
      <c r="K621" t="s">
        <v>58</v>
      </c>
      <c r="L621" t="s">
        <v>59</v>
      </c>
      <c r="M621">
        <v>2022</v>
      </c>
      <c r="N621" t="s">
        <v>43</v>
      </c>
    </row>
    <row r="622" spans="1:14" x14ac:dyDescent="0.3">
      <c r="A622" s="1">
        <v>45268</v>
      </c>
      <c r="B622" t="s">
        <v>23</v>
      </c>
      <c r="C622" t="s">
        <v>13</v>
      </c>
      <c r="D622" t="s">
        <v>29</v>
      </c>
      <c r="E622">
        <v>24</v>
      </c>
      <c r="F622">
        <v>6960.25</v>
      </c>
      <c r="G622" t="s">
        <v>20</v>
      </c>
      <c r="H622">
        <v>5</v>
      </c>
      <c r="I622">
        <v>4632.0200000000004</v>
      </c>
      <c r="J622">
        <v>2328.23</v>
      </c>
      <c r="K622" t="s">
        <v>58</v>
      </c>
      <c r="L622" t="s">
        <v>59</v>
      </c>
      <c r="M622">
        <v>2023</v>
      </c>
      <c r="N622" t="s">
        <v>45</v>
      </c>
    </row>
    <row r="623" spans="1:14" x14ac:dyDescent="0.3">
      <c r="A623" s="1">
        <v>45060</v>
      </c>
      <c r="B623" t="s">
        <v>9</v>
      </c>
      <c r="C623" t="s">
        <v>10</v>
      </c>
      <c r="D623" t="s">
        <v>28</v>
      </c>
      <c r="E623">
        <v>26</v>
      </c>
      <c r="F623">
        <v>3721.09</v>
      </c>
      <c r="G623" t="s">
        <v>20</v>
      </c>
      <c r="H623">
        <v>1</v>
      </c>
      <c r="I623">
        <v>2638.74</v>
      </c>
      <c r="J623">
        <v>1082.3499999999999</v>
      </c>
      <c r="K623" t="s">
        <v>56</v>
      </c>
      <c r="L623" t="s">
        <v>51</v>
      </c>
      <c r="M623">
        <v>2023</v>
      </c>
      <c r="N623" t="s">
        <v>44</v>
      </c>
    </row>
    <row r="624" spans="1:14" x14ac:dyDescent="0.3">
      <c r="A624" s="1">
        <v>44873</v>
      </c>
      <c r="B624" t="s">
        <v>18</v>
      </c>
      <c r="C624" t="s">
        <v>13</v>
      </c>
      <c r="D624" t="s">
        <v>19</v>
      </c>
      <c r="E624">
        <v>35</v>
      </c>
      <c r="F624">
        <v>14277.75</v>
      </c>
      <c r="G624" t="s">
        <v>20</v>
      </c>
      <c r="H624">
        <v>2</v>
      </c>
      <c r="I624">
        <v>1603.43</v>
      </c>
      <c r="J624">
        <v>12674.32</v>
      </c>
      <c r="K624" t="s">
        <v>65</v>
      </c>
      <c r="L624" t="s">
        <v>59</v>
      </c>
      <c r="M624">
        <v>2022</v>
      </c>
      <c r="N624" t="s">
        <v>47</v>
      </c>
    </row>
    <row r="625" spans="1:14" x14ac:dyDescent="0.3">
      <c r="A625" s="1">
        <v>45025</v>
      </c>
      <c r="B625" t="s">
        <v>31</v>
      </c>
      <c r="C625" t="s">
        <v>25</v>
      </c>
      <c r="D625" t="s">
        <v>39</v>
      </c>
      <c r="E625">
        <v>45</v>
      </c>
      <c r="F625">
        <v>14800.23</v>
      </c>
      <c r="G625" t="s">
        <v>20</v>
      </c>
      <c r="H625">
        <v>4</v>
      </c>
      <c r="I625">
        <v>8782.17</v>
      </c>
      <c r="J625">
        <v>6018.06</v>
      </c>
      <c r="K625" t="s">
        <v>55</v>
      </c>
      <c r="L625" t="s">
        <v>51</v>
      </c>
      <c r="M625">
        <v>2023</v>
      </c>
      <c r="N625" t="s">
        <v>45</v>
      </c>
    </row>
    <row r="626" spans="1:14" x14ac:dyDescent="0.3">
      <c r="A626" s="1">
        <v>45148</v>
      </c>
      <c r="B626" t="s">
        <v>23</v>
      </c>
      <c r="C626" t="s">
        <v>21</v>
      </c>
      <c r="D626" t="s">
        <v>36</v>
      </c>
      <c r="E626">
        <v>17</v>
      </c>
      <c r="F626">
        <v>8227.52</v>
      </c>
      <c r="G626" t="s">
        <v>20</v>
      </c>
      <c r="H626">
        <v>2</v>
      </c>
      <c r="I626">
        <v>489.44</v>
      </c>
      <c r="J626">
        <v>7738.08</v>
      </c>
      <c r="K626" t="s">
        <v>64</v>
      </c>
      <c r="L626" t="s">
        <v>61</v>
      </c>
      <c r="M626">
        <v>2023</v>
      </c>
      <c r="N626" t="s">
        <v>45</v>
      </c>
    </row>
    <row r="627" spans="1:14" x14ac:dyDescent="0.3">
      <c r="A627" s="1">
        <v>45101</v>
      </c>
      <c r="B627" t="s">
        <v>9</v>
      </c>
      <c r="C627" t="s">
        <v>16</v>
      </c>
      <c r="D627" t="s">
        <v>17</v>
      </c>
      <c r="E627">
        <v>26</v>
      </c>
      <c r="F627">
        <v>8690.7099999999991</v>
      </c>
      <c r="G627" t="s">
        <v>20</v>
      </c>
      <c r="H627">
        <v>5</v>
      </c>
      <c r="I627">
        <v>3710.38</v>
      </c>
      <c r="J627">
        <v>4980.33</v>
      </c>
      <c r="K627" t="s">
        <v>50</v>
      </c>
      <c r="L627" t="s">
        <v>51</v>
      </c>
      <c r="M627">
        <v>2023</v>
      </c>
      <c r="N627" t="s">
        <v>47</v>
      </c>
    </row>
    <row r="628" spans="1:14" x14ac:dyDescent="0.3">
      <c r="A628" s="1">
        <v>44695</v>
      </c>
      <c r="B628" t="s">
        <v>9</v>
      </c>
      <c r="C628" t="s">
        <v>21</v>
      </c>
      <c r="D628" t="s">
        <v>22</v>
      </c>
      <c r="E628">
        <v>45</v>
      </c>
      <c r="F628">
        <v>10391.02</v>
      </c>
      <c r="G628" t="s">
        <v>12</v>
      </c>
      <c r="H628">
        <v>4</v>
      </c>
      <c r="I628">
        <v>9272.49</v>
      </c>
      <c r="J628">
        <v>1118.53</v>
      </c>
      <c r="K628" t="s">
        <v>56</v>
      </c>
      <c r="L628" t="s">
        <v>51</v>
      </c>
      <c r="M628">
        <v>2022</v>
      </c>
      <c r="N628" t="s">
        <v>47</v>
      </c>
    </row>
    <row r="629" spans="1:14" x14ac:dyDescent="0.3">
      <c r="A629" s="1">
        <v>45172</v>
      </c>
      <c r="B629" t="s">
        <v>31</v>
      </c>
      <c r="C629" t="s">
        <v>21</v>
      </c>
      <c r="D629" t="s">
        <v>32</v>
      </c>
      <c r="E629">
        <v>19</v>
      </c>
      <c r="F629">
        <v>1883.04</v>
      </c>
      <c r="G629" t="s">
        <v>12</v>
      </c>
      <c r="H629">
        <v>4</v>
      </c>
      <c r="I629">
        <v>2386.37</v>
      </c>
      <c r="J629">
        <v>-503.33</v>
      </c>
      <c r="K629" t="s">
        <v>60</v>
      </c>
      <c r="L629" t="s">
        <v>61</v>
      </c>
      <c r="M629">
        <v>2023</v>
      </c>
      <c r="N629" t="s">
        <v>44</v>
      </c>
    </row>
    <row r="630" spans="1:14" x14ac:dyDescent="0.3">
      <c r="A630" s="1">
        <v>44613</v>
      </c>
      <c r="B630" t="s">
        <v>31</v>
      </c>
      <c r="C630" t="s">
        <v>10</v>
      </c>
      <c r="D630" t="s">
        <v>35</v>
      </c>
      <c r="E630">
        <v>30</v>
      </c>
      <c r="F630">
        <v>12799.01</v>
      </c>
      <c r="G630" t="s">
        <v>20</v>
      </c>
      <c r="H630">
        <v>1</v>
      </c>
      <c r="I630">
        <v>4359.5</v>
      </c>
      <c r="J630">
        <v>8439.51</v>
      </c>
      <c r="K630" t="s">
        <v>54</v>
      </c>
      <c r="L630" t="s">
        <v>53</v>
      </c>
      <c r="M630">
        <v>2022</v>
      </c>
      <c r="N630" t="s">
        <v>44</v>
      </c>
    </row>
    <row r="631" spans="1:14" x14ac:dyDescent="0.3">
      <c r="A631" s="1">
        <v>45121</v>
      </c>
      <c r="B631" t="s">
        <v>31</v>
      </c>
      <c r="C631" t="s">
        <v>16</v>
      </c>
      <c r="D631" t="s">
        <v>17</v>
      </c>
      <c r="E631">
        <v>10</v>
      </c>
      <c r="F631">
        <v>2931</v>
      </c>
      <c r="G631" t="s">
        <v>12</v>
      </c>
      <c r="H631">
        <v>5</v>
      </c>
      <c r="I631">
        <v>1330.81</v>
      </c>
      <c r="J631">
        <v>1600.19</v>
      </c>
      <c r="K631" t="s">
        <v>63</v>
      </c>
      <c r="L631" t="s">
        <v>61</v>
      </c>
      <c r="M631">
        <v>2023</v>
      </c>
      <c r="N631" t="s">
        <v>44</v>
      </c>
    </row>
    <row r="632" spans="1:14" x14ac:dyDescent="0.3">
      <c r="A632" s="1">
        <v>45054</v>
      </c>
      <c r="B632" t="s">
        <v>23</v>
      </c>
      <c r="C632" t="s">
        <v>21</v>
      </c>
      <c r="D632" t="s">
        <v>36</v>
      </c>
      <c r="E632">
        <v>43</v>
      </c>
      <c r="F632">
        <v>6064.36</v>
      </c>
      <c r="G632" t="s">
        <v>20</v>
      </c>
      <c r="H632">
        <v>4</v>
      </c>
      <c r="I632">
        <v>3978.53</v>
      </c>
      <c r="J632">
        <v>2085.83</v>
      </c>
      <c r="K632" t="s">
        <v>56</v>
      </c>
      <c r="L632" t="s">
        <v>51</v>
      </c>
      <c r="M632">
        <v>2023</v>
      </c>
      <c r="N632" t="s">
        <v>46</v>
      </c>
    </row>
    <row r="633" spans="1:14" x14ac:dyDescent="0.3">
      <c r="A633" s="1">
        <v>44853</v>
      </c>
      <c r="B633" t="s">
        <v>23</v>
      </c>
      <c r="C633" t="s">
        <v>21</v>
      </c>
      <c r="D633" t="s">
        <v>32</v>
      </c>
      <c r="E633">
        <v>14</v>
      </c>
      <c r="F633">
        <v>2804.74</v>
      </c>
      <c r="G633" t="s">
        <v>20</v>
      </c>
      <c r="H633">
        <v>2</v>
      </c>
      <c r="I633">
        <v>1820.7</v>
      </c>
      <c r="J633">
        <v>984.04</v>
      </c>
      <c r="K633" t="s">
        <v>62</v>
      </c>
      <c r="L633" t="s">
        <v>59</v>
      </c>
      <c r="M633">
        <v>2022</v>
      </c>
      <c r="N633" t="s">
        <v>44</v>
      </c>
    </row>
    <row r="634" spans="1:14" x14ac:dyDescent="0.3">
      <c r="A634" s="1">
        <v>44888</v>
      </c>
      <c r="B634" t="s">
        <v>23</v>
      </c>
      <c r="C634" t="s">
        <v>10</v>
      </c>
      <c r="D634" t="s">
        <v>28</v>
      </c>
      <c r="E634">
        <v>27</v>
      </c>
      <c r="F634">
        <v>8737.6299999999992</v>
      </c>
      <c r="G634" t="s">
        <v>20</v>
      </c>
      <c r="H634">
        <v>2</v>
      </c>
      <c r="I634">
        <v>2167.3000000000002</v>
      </c>
      <c r="J634">
        <v>6570.33</v>
      </c>
      <c r="K634" t="s">
        <v>65</v>
      </c>
      <c r="L634" t="s">
        <v>59</v>
      </c>
      <c r="M634">
        <v>2022</v>
      </c>
      <c r="N634" t="s">
        <v>44</v>
      </c>
    </row>
    <row r="635" spans="1:14" x14ac:dyDescent="0.3">
      <c r="A635" s="1">
        <v>45021</v>
      </c>
      <c r="B635" t="s">
        <v>15</v>
      </c>
      <c r="C635" t="s">
        <v>10</v>
      </c>
      <c r="D635" t="s">
        <v>34</v>
      </c>
      <c r="E635">
        <v>21</v>
      </c>
      <c r="F635">
        <v>341.82</v>
      </c>
      <c r="G635" t="s">
        <v>20</v>
      </c>
      <c r="H635">
        <v>2</v>
      </c>
      <c r="I635">
        <v>4636.8</v>
      </c>
      <c r="J635">
        <v>-4294.9799999999996</v>
      </c>
      <c r="K635" t="s">
        <v>55</v>
      </c>
      <c r="L635" t="s">
        <v>51</v>
      </c>
      <c r="M635">
        <v>2023</v>
      </c>
      <c r="N635" t="s">
        <v>44</v>
      </c>
    </row>
    <row r="636" spans="1:14" x14ac:dyDescent="0.3">
      <c r="A636" s="1">
        <v>45268</v>
      </c>
      <c r="B636" t="s">
        <v>18</v>
      </c>
      <c r="C636" t="s">
        <v>16</v>
      </c>
      <c r="D636" t="s">
        <v>37</v>
      </c>
      <c r="E636">
        <v>42</v>
      </c>
      <c r="F636">
        <v>10196.1</v>
      </c>
      <c r="G636" t="s">
        <v>20</v>
      </c>
      <c r="H636">
        <v>4</v>
      </c>
      <c r="I636">
        <v>10490.24</v>
      </c>
      <c r="J636">
        <v>-294.14</v>
      </c>
      <c r="K636" t="s">
        <v>58</v>
      </c>
      <c r="L636" t="s">
        <v>59</v>
      </c>
      <c r="M636">
        <v>2023</v>
      </c>
      <c r="N636" t="s">
        <v>46</v>
      </c>
    </row>
    <row r="637" spans="1:14" x14ac:dyDescent="0.3">
      <c r="A637" s="1">
        <v>45166</v>
      </c>
      <c r="B637" t="s">
        <v>18</v>
      </c>
      <c r="C637" t="s">
        <v>21</v>
      </c>
      <c r="D637" t="s">
        <v>36</v>
      </c>
      <c r="E637">
        <v>15</v>
      </c>
      <c r="F637">
        <v>5410.28</v>
      </c>
      <c r="G637" t="s">
        <v>12</v>
      </c>
      <c r="H637">
        <v>4</v>
      </c>
      <c r="I637">
        <v>2815.63</v>
      </c>
      <c r="J637">
        <v>2594.65</v>
      </c>
      <c r="K637" t="s">
        <v>64</v>
      </c>
      <c r="L637" t="s">
        <v>61</v>
      </c>
      <c r="M637">
        <v>2023</v>
      </c>
      <c r="N637" t="s">
        <v>44</v>
      </c>
    </row>
    <row r="638" spans="1:14" x14ac:dyDescent="0.3">
      <c r="A638" s="1">
        <v>45272</v>
      </c>
      <c r="B638" t="s">
        <v>23</v>
      </c>
      <c r="C638" t="s">
        <v>10</v>
      </c>
      <c r="D638" t="s">
        <v>34</v>
      </c>
      <c r="E638">
        <v>28</v>
      </c>
      <c r="F638">
        <v>13548.86</v>
      </c>
      <c r="G638" t="s">
        <v>12</v>
      </c>
      <c r="H638">
        <v>4</v>
      </c>
      <c r="I638">
        <v>6007.64</v>
      </c>
      <c r="J638">
        <v>7541.22</v>
      </c>
      <c r="K638" t="s">
        <v>58</v>
      </c>
      <c r="L638" t="s">
        <v>59</v>
      </c>
      <c r="M638">
        <v>2023</v>
      </c>
      <c r="N638" t="s">
        <v>44</v>
      </c>
    </row>
    <row r="639" spans="1:14" x14ac:dyDescent="0.3">
      <c r="A639" s="1">
        <v>44569</v>
      </c>
      <c r="B639" t="s">
        <v>9</v>
      </c>
      <c r="C639" t="s">
        <v>21</v>
      </c>
      <c r="D639" t="s">
        <v>33</v>
      </c>
      <c r="E639">
        <v>38</v>
      </c>
      <c r="F639">
        <v>9334.93</v>
      </c>
      <c r="G639" t="s">
        <v>12</v>
      </c>
      <c r="H639">
        <v>4</v>
      </c>
      <c r="I639">
        <v>8589.1299999999992</v>
      </c>
      <c r="J639">
        <v>745.8</v>
      </c>
      <c r="K639" t="s">
        <v>57</v>
      </c>
      <c r="L639" t="s">
        <v>53</v>
      </c>
      <c r="M639">
        <v>2022</v>
      </c>
      <c r="N639" t="s">
        <v>44</v>
      </c>
    </row>
    <row r="640" spans="1:14" x14ac:dyDescent="0.3">
      <c r="A640" s="1">
        <v>45022</v>
      </c>
      <c r="B640" t="s">
        <v>18</v>
      </c>
      <c r="C640" t="s">
        <v>21</v>
      </c>
      <c r="D640" t="s">
        <v>22</v>
      </c>
      <c r="E640">
        <v>41</v>
      </c>
      <c r="F640">
        <v>6805.98</v>
      </c>
      <c r="G640" t="s">
        <v>12</v>
      </c>
      <c r="H640">
        <v>2</v>
      </c>
      <c r="I640">
        <v>5379.16</v>
      </c>
      <c r="J640">
        <v>1426.82</v>
      </c>
      <c r="K640" t="s">
        <v>55</v>
      </c>
      <c r="L640" t="s">
        <v>51</v>
      </c>
      <c r="M640">
        <v>2023</v>
      </c>
      <c r="N640" t="s">
        <v>46</v>
      </c>
    </row>
    <row r="641" spans="1:14" x14ac:dyDescent="0.3">
      <c r="A641" s="1">
        <v>44686</v>
      </c>
      <c r="B641" t="s">
        <v>18</v>
      </c>
      <c r="C641" t="s">
        <v>13</v>
      </c>
      <c r="D641" t="s">
        <v>29</v>
      </c>
      <c r="E641">
        <v>39</v>
      </c>
      <c r="F641">
        <v>14974.48</v>
      </c>
      <c r="G641" t="s">
        <v>20</v>
      </c>
      <c r="H641">
        <v>5</v>
      </c>
      <c r="I641">
        <v>6765.98</v>
      </c>
      <c r="J641">
        <v>8208.5</v>
      </c>
      <c r="K641" t="s">
        <v>56</v>
      </c>
      <c r="L641" t="s">
        <v>51</v>
      </c>
      <c r="M641">
        <v>2022</v>
      </c>
      <c r="N641" t="s">
        <v>44</v>
      </c>
    </row>
    <row r="642" spans="1:14" x14ac:dyDescent="0.3">
      <c r="A642" s="1">
        <v>45228</v>
      </c>
      <c r="B642" t="s">
        <v>31</v>
      </c>
      <c r="C642" t="s">
        <v>25</v>
      </c>
      <c r="D642" t="s">
        <v>30</v>
      </c>
      <c r="E642">
        <v>47</v>
      </c>
      <c r="F642">
        <v>473.22</v>
      </c>
      <c r="G642" t="s">
        <v>12</v>
      </c>
      <c r="H642">
        <v>4</v>
      </c>
      <c r="I642">
        <v>594.80999999999995</v>
      </c>
      <c r="J642">
        <v>-121.59</v>
      </c>
      <c r="K642" t="s">
        <v>62</v>
      </c>
      <c r="L642" t="s">
        <v>59</v>
      </c>
      <c r="M642">
        <v>2023</v>
      </c>
      <c r="N642" t="s">
        <v>44</v>
      </c>
    </row>
    <row r="643" spans="1:14" x14ac:dyDescent="0.3">
      <c r="A643" s="1">
        <v>44691</v>
      </c>
      <c r="B643" t="s">
        <v>31</v>
      </c>
      <c r="C643" t="s">
        <v>21</v>
      </c>
      <c r="D643" t="s">
        <v>36</v>
      </c>
      <c r="E643">
        <v>15</v>
      </c>
      <c r="F643">
        <v>6254.53</v>
      </c>
      <c r="G643" t="s">
        <v>12</v>
      </c>
      <c r="H643">
        <v>1</v>
      </c>
      <c r="I643">
        <v>2068.39</v>
      </c>
      <c r="J643">
        <v>4186.1400000000003</v>
      </c>
      <c r="K643" t="s">
        <v>56</v>
      </c>
      <c r="L643" t="s">
        <v>51</v>
      </c>
      <c r="M643">
        <v>2022</v>
      </c>
      <c r="N643" t="s">
        <v>45</v>
      </c>
    </row>
    <row r="644" spans="1:14" x14ac:dyDescent="0.3">
      <c r="A644" s="1">
        <v>44732</v>
      </c>
      <c r="B644" t="s">
        <v>18</v>
      </c>
      <c r="C644" t="s">
        <v>13</v>
      </c>
      <c r="D644" t="s">
        <v>14</v>
      </c>
      <c r="E644">
        <v>16</v>
      </c>
      <c r="F644">
        <v>5208.91</v>
      </c>
      <c r="G644" t="s">
        <v>12</v>
      </c>
      <c r="H644">
        <v>5</v>
      </c>
      <c r="I644">
        <v>2330.1999999999998</v>
      </c>
      <c r="J644">
        <v>2878.71</v>
      </c>
      <c r="K644" t="s">
        <v>50</v>
      </c>
      <c r="L644" t="s">
        <v>51</v>
      </c>
      <c r="M644">
        <v>2022</v>
      </c>
      <c r="N644" t="s">
        <v>44</v>
      </c>
    </row>
    <row r="645" spans="1:14" x14ac:dyDescent="0.3">
      <c r="A645" s="1">
        <v>45142</v>
      </c>
      <c r="B645" t="s">
        <v>18</v>
      </c>
      <c r="C645" t="s">
        <v>21</v>
      </c>
      <c r="D645" t="s">
        <v>36</v>
      </c>
      <c r="E645">
        <v>13</v>
      </c>
      <c r="F645">
        <v>5152.55</v>
      </c>
      <c r="G645" t="s">
        <v>20</v>
      </c>
      <c r="H645">
        <v>5</v>
      </c>
      <c r="I645">
        <v>1101.3599999999999</v>
      </c>
      <c r="J645">
        <v>4051.19</v>
      </c>
      <c r="K645" t="s">
        <v>64</v>
      </c>
      <c r="L645" t="s">
        <v>61</v>
      </c>
      <c r="M645">
        <v>2023</v>
      </c>
      <c r="N645" t="s">
        <v>44</v>
      </c>
    </row>
    <row r="646" spans="1:14" x14ac:dyDescent="0.3">
      <c r="A646" s="1">
        <v>44576</v>
      </c>
      <c r="B646" t="s">
        <v>9</v>
      </c>
      <c r="C646" t="s">
        <v>21</v>
      </c>
      <c r="D646" t="s">
        <v>36</v>
      </c>
      <c r="E646">
        <v>36</v>
      </c>
      <c r="F646">
        <v>2404.2399999999998</v>
      </c>
      <c r="G646" t="s">
        <v>20</v>
      </c>
      <c r="H646">
        <v>2</v>
      </c>
      <c r="I646">
        <v>4255.17</v>
      </c>
      <c r="J646">
        <v>-1850.93</v>
      </c>
      <c r="K646" t="s">
        <v>57</v>
      </c>
      <c r="L646" t="s">
        <v>53</v>
      </c>
      <c r="M646">
        <v>2022</v>
      </c>
      <c r="N646" t="s">
        <v>44</v>
      </c>
    </row>
    <row r="647" spans="1:14" x14ac:dyDescent="0.3">
      <c r="A647" s="1">
        <v>44648</v>
      </c>
      <c r="B647" t="s">
        <v>9</v>
      </c>
      <c r="C647" t="s">
        <v>16</v>
      </c>
      <c r="D647" t="s">
        <v>17</v>
      </c>
      <c r="E647">
        <v>34</v>
      </c>
      <c r="F647">
        <v>5325.46</v>
      </c>
      <c r="G647" t="s">
        <v>20</v>
      </c>
      <c r="H647">
        <v>4</v>
      </c>
      <c r="I647">
        <v>3004.23</v>
      </c>
      <c r="J647">
        <v>2321.23</v>
      </c>
      <c r="K647" t="s">
        <v>52</v>
      </c>
      <c r="L647" t="s">
        <v>53</v>
      </c>
      <c r="M647">
        <v>2022</v>
      </c>
      <c r="N647" t="s">
        <v>44</v>
      </c>
    </row>
    <row r="648" spans="1:14" x14ac:dyDescent="0.3">
      <c r="A648" s="1">
        <v>45090</v>
      </c>
      <c r="B648" t="s">
        <v>23</v>
      </c>
      <c r="C648" t="s">
        <v>10</v>
      </c>
      <c r="D648" t="s">
        <v>28</v>
      </c>
      <c r="E648">
        <v>33</v>
      </c>
      <c r="F648">
        <v>5030.46</v>
      </c>
      <c r="G648" t="s">
        <v>12</v>
      </c>
      <c r="H648">
        <v>4</v>
      </c>
      <c r="I648">
        <v>5347.83</v>
      </c>
      <c r="J648">
        <v>-317.37</v>
      </c>
      <c r="K648" t="s">
        <v>50</v>
      </c>
      <c r="L648" t="s">
        <v>51</v>
      </c>
      <c r="M648">
        <v>2023</v>
      </c>
      <c r="N648" t="s">
        <v>46</v>
      </c>
    </row>
    <row r="649" spans="1:14" x14ac:dyDescent="0.3">
      <c r="A649" s="1">
        <v>44953</v>
      </c>
      <c r="B649" t="s">
        <v>23</v>
      </c>
      <c r="C649" t="s">
        <v>21</v>
      </c>
      <c r="D649" t="s">
        <v>36</v>
      </c>
      <c r="E649">
        <v>42</v>
      </c>
      <c r="F649">
        <v>20321.02</v>
      </c>
      <c r="G649" t="s">
        <v>12</v>
      </c>
      <c r="H649">
        <v>3</v>
      </c>
      <c r="I649">
        <v>9698.5</v>
      </c>
      <c r="J649">
        <v>10622.52</v>
      </c>
      <c r="K649" t="s">
        <v>57</v>
      </c>
      <c r="L649" t="s">
        <v>53</v>
      </c>
      <c r="M649">
        <v>2023</v>
      </c>
      <c r="N649" t="s">
        <v>46</v>
      </c>
    </row>
    <row r="650" spans="1:14" x14ac:dyDescent="0.3">
      <c r="A650" s="1">
        <v>44837</v>
      </c>
      <c r="B650" t="s">
        <v>18</v>
      </c>
      <c r="C650" t="s">
        <v>10</v>
      </c>
      <c r="D650" t="s">
        <v>34</v>
      </c>
      <c r="E650">
        <v>41</v>
      </c>
      <c r="F650">
        <v>7358.74</v>
      </c>
      <c r="G650" t="s">
        <v>20</v>
      </c>
      <c r="H650">
        <v>4</v>
      </c>
      <c r="I650">
        <v>8420.2099999999991</v>
      </c>
      <c r="J650">
        <v>-1061.47</v>
      </c>
      <c r="K650" t="s">
        <v>62</v>
      </c>
      <c r="L650" t="s">
        <v>59</v>
      </c>
      <c r="M650">
        <v>2022</v>
      </c>
      <c r="N650" t="s">
        <v>44</v>
      </c>
    </row>
    <row r="651" spans="1:14" x14ac:dyDescent="0.3">
      <c r="A651" s="1">
        <v>44924</v>
      </c>
      <c r="B651" t="s">
        <v>18</v>
      </c>
      <c r="C651" t="s">
        <v>13</v>
      </c>
      <c r="D651" t="s">
        <v>40</v>
      </c>
      <c r="E651">
        <v>20</v>
      </c>
      <c r="F651">
        <v>4518.74</v>
      </c>
      <c r="G651" t="s">
        <v>12</v>
      </c>
      <c r="H651">
        <v>1</v>
      </c>
      <c r="I651">
        <v>1024.73</v>
      </c>
      <c r="J651">
        <v>3494.01</v>
      </c>
      <c r="K651" t="s">
        <v>58</v>
      </c>
      <c r="L651" t="s">
        <v>59</v>
      </c>
      <c r="M651">
        <v>2022</v>
      </c>
      <c r="N651" t="s">
        <v>44</v>
      </c>
    </row>
    <row r="652" spans="1:14" x14ac:dyDescent="0.3">
      <c r="A652" s="1">
        <v>44891</v>
      </c>
      <c r="B652" t="s">
        <v>18</v>
      </c>
      <c r="C652" t="s">
        <v>16</v>
      </c>
      <c r="D652" t="s">
        <v>37</v>
      </c>
      <c r="E652">
        <v>18</v>
      </c>
      <c r="F652">
        <v>7501.52</v>
      </c>
      <c r="G652" t="s">
        <v>12</v>
      </c>
      <c r="H652">
        <v>4</v>
      </c>
      <c r="I652">
        <v>2235.9499999999998</v>
      </c>
      <c r="J652">
        <v>5265.57</v>
      </c>
      <c r="K652" t="s">
        <v>65</v>
      </c>
      <c r="L652" t="s">
        <v>59</v>
      </c>
      <c r="M652">
        <v>2022</v>
      </c>
      <c r="N652" t="s">
        <v>45</v>
      </c>
    </row>
    <row r="653" spans="1:14" x14ac:dyDescent="0.3">
      <c r="A653" s="1">
        <v>44864</v>
      </c>
      <c r="B653" t="s">
        <v>23</v>
      </c>
      <c r="C653" t="s">
        <v>21</v>
      </c>
      <c r="D653" t="s">
        <v>33</v>
      </c>
      <c r="E653">
        <v>25</v>
      </c>
      <c r="F653">
        <v>5224</v>
      </c>
      <c r="G653" t="s">
        <v>12</v>
      </c>
      <c r="H653">
        <v>3</v>
      </c>
      <c r="I653">
        <v>3009.3</v>
      </c>
      <c r="J653">
        <v>2214.6999999999998</v>
      </c>
      <c r="K653" t="s">
        <v>62</v>
      </c>
      <c r="L653" t="s">
        <v>59</v>
      </c>
      <c r="M653">
        <v>2022</v>
      </c>
      <c r="N653" t="s">
        <v>44</v>
      </c>
    </row>
    <row r="654" spans="1:14" x14ac:dyDescent="0.3">
      <c r="A654" s="1">
        <v>44695</v>
      </c>
      <c r="B654" t="s">
        <v>15</v>
      </c>
      <c r="C654" t="s">
        <v>25</v>
      </c>
      <c r="D654" t="s">
        <v>39</v>
      </c>
      <c r="E654">
        <v>24</v>
      </c>
      <c r="F654">
        <v>10605.65</v>
      </c>
      <c r="G654" t="s">
        <v>12</v>
      </c>
      <c r="H654">
        <v>4</v>
      </c>
      <c r="I654">
        <v>1236.1400000000001</v>
      </c>
      <c r="J654">
        <v>9369.51</v>
      </c>
      <c r="K654" t="s">
        <v>56</v>
      </c>
      <c r="L654" t="s">
        <v>51</v>
      </c>
      <c r="M654">
        <v>2022</v>
      </c>
      <c r="N654" t="s">
        <v>44</v>
      </c>
    </row>
    <row r="655" spans="1:14" x14ac:dyDescent="0.3">
      <c r="A655" s="1">
        <v>45146</v>
      </c>
      <c r="B655" t="s">
        <v>18</v>
      </c>
      <c r="C655" t="s">
        <v>21</v>
      </c>
      <c r="D655" t="s">
        <v>33</v>
      </c>
      <c r="E655">
        <v>22</v>
      </c>
      <c r="F655">
        <v>2817.42</v>
      </c>
      <c r="G655" t="s">
        <v>12</v>
      </c>
      <c r="H655">
        <v>4</v>
      </c>
      <c r="I655">
        <v>5256.7</v>
      </c>
      <c r="J655">
        <v>-2439.2800000000002</v>
      </c>
      <c r="K655" t="s">
        <v>64</v>
      </c>
      <c r="L655" t="s">
        <v>61</v>
      </c>
      <c r="M655">
        <v>2023</v>
      </c>
      <c r="N655" t="s">
        <v>46</v>
      </c>
    </row>
    <row r="656" spans="1:14" x14ac:dyDescent="0.3">
      <c r="A656" s="1">
        <v>44817</v>
      </c>
      <c r="B656" t="s">
        <v>15</v>
      </c>
      <c r="C656" t="s">
        <v>16</v>
      </c>
      <c r="D656" t="s">
        <v>37</v>
      </c>
      <c r="E656">
        <v>18</v>
      </c>
      <c r="F656">
        <v>3574.96</v>
      </c>
      <c r="G656" t="s">
        <v>20</v>
      </c>
      <c r="H656">
        <v>2</v>
      </c>
      <c r="I656">
        <v>2159.59</v>
      </c>
      <c r="J656">
        <v>1415.37</v>
      </c>
      <c r="K656" t="s">
        <v>60</v>
      </c>
      <c r="L656" t="s">
        <v>61</v>
      </c>
      <c r="M656">
        <v>2022</v>
      </c>
      <c r="N656" t="s">
        <v>44</v>
      </c>
    </row>
    <row r="657" spans="1:14" x14ac:dyDescent="0.3">
      <c r="A657" s="1">
        <v>45191</v>
      </c>
      <c r="B657" t="s">
        <v>31</v>
      </c>
      <c r="C657" t="s">
        <v>13</v>
      </c>
      <c r="D657" t="s">
        <v>40</v>
      </c>
      <c r="E657">
        <v>24</v>
      </c>
      <c r="F657">
        <v>8149.93</v>
      </c>
      <c r="G657" t="s">
        <v>20</v>
      </c>
      <c r="H657">
        <v>2</v>
      </c>
      <c r="I657">
        <v>598.85</v>
      </c>
      <c r="J657">
        <v>7551.08</v>
      </c>
      <c r="K657" t="s">
        <v>60</v>
      </c>
      <c r="L657" t="s">
        <v>61</v>
      </c>
      <c r="M657">
        <v>2023</v>
      </c>
      <c r="N657" t="s">
        <v>44</v>
      </c>
    </row>
    <row r="658" spans="1:14" x14ac:dyDescent="0.3">
      <c r="A658" s="1">
        <v>44570</v>
      </c>
      <c r="B658" t="s">
        <v>23</v>
      </c>
      <c r="C658" t="s">
        <v>25</v>
      </c>
      <c r="D658" t="s">
        <v>38</v>
      </c>
      <c r="E658">
        <v>27</v>
      </c>
      <c r="F658">
        <v>12207.23</v>
      </c>
      <c r="G658" t="s">
        <v>12</v>
      </c>
      <c r="H658">
        <v>2</v>
      </c>
      <c r="I658">
        <v>6726.36</v>
      </c>
      <c r="J658">
        <v>5480.87</v>
      </c>
      <c r="K658" t="s">
        <v>57</v>
      </c>
      <c r="L658" t="s">
        <v>53</v>
      </c>
      <c r="M658">
        <v>2022</v>
      </c>
      <c r="N658" t="s">
        <v>45</v>
      </c>
    </row>
    <row r="659" spans="1:14" x14ac:dyDescent="0.3">
      <c r="A659" s="1">
        <v>45129</v>
      </c>
      <c r="B659" t="s">
        <v>31</v>
      </c>
      <c r="C659" t="s">
        <v>10</v>
      </c>
      <c r="D659" t="s">
        <v>28</v>
      </c>
      <c r="E659">
        <v>32</v>
      </c>
      <c r="F659">
        <v>7062.28</v>
      </c>
      <c r="G659" t="s">
        <v>12</v>
      </c>
      <c r="H659">
        <v>2</v>
      </c>
      <c r="I659">
        <v>5450.48</v>
      </c>
      <c r="J659">
        <v>1611.8</v>
      </c>
      <c r="K659" t="s">
        <v>63</v>
      </c>
      <c r="L659" t="s">
        <v>61</v>
      </c>
      <c r="M659">
        <v>2023</v>
      </c>
      <c r="N659" t="s">
        <v>46</v>
      </c>
    </row>
    <row r="660" spans="1:14" x14ac:dyDescent="0.3">
      <c r="A660" s="1">
        <v>45178</v>
      </c>
      <c r="B660" t="s">
        <v>18</v>
      </c>
      <c r="C660" t="s">
        <v>21</v>
      </c>
      <c r="D660" t="s">
        <v>32</v>
      </c>
      <c r="E660">
        <v>21</v>
      </c>
      <c r="F660">
        <v>8169.97</v>
      </c>
      <c r="G660" t="s">
        <v>20</v>
      </c>
      <c r="H660">
        <v>2</v>
      </c>
      <c r="I660">
        <v>1156.96</v>
      </c>
      <c r="J660">
        <v>7013.01</v>
      </c>
      <c r="K660" t="s">
        <v>60</v>
      </c>
      <c r="L660" t="s">
        <v>61</v>
      </c>
      <c r="M660">
        <v>2023</v>
      </c>
      <c r="N660" t="s">
        <v>46</v>
      </c>
    </row>
    <row r="661" spans="1:14" x14ac:dyDescent="0.3">
      <c r="A661" s="1">
        <v>45178</v>
      </c>
      <c r="B661" t="s">
        <v>23</v>
      </c>
      <c r="C661" t="s">
        <v>21</v>
      </c>
      <c r="D661" t="s">
        <v>32</v>
      </c>
      <c r="E661">
        <v>45</v>
      </c>
      <c r="F661">
        <v>22188.7</v>
      </c>
      <c r="G661" t="s">
        <v>12</v>
      </c>
      <c r="H661">
        <v>4</v>
      </c>
      <c r="I661">
        <v>8047.71</v>
      </c>
      <c r="J661">
        <v>14140.99</v>
      </c>
      <c r="K661" t="s">
        <v>60</v>
      </c>
      <c r="L661" t="s">
        <v>61</v>
      </c>
      <c r="M661">
        <v>2023</v>
      </c>
      <c r="N661" t="s">
        <v>44</v>
      </c>
    </row>
    <row r="662" spans="1:14" x14ac:dyDescent="0.3">
      <c r="A662" s="1">
        <v>44995</v>
      </c>
      <c r="B662" t="s">
        <v>31</v>
      </c>
      <c r="C662" t="s">
        <v>25</v>
      </c>
      <c r="D662" t="s">
        <v>38</v>
      </c>
      <c r="E662">
        <v>4</v>
      </c>
      <c r="F662">
        <v>1210.55</v>
      </c>
      <c r="G662" t="s">
        <v>20</v>
      </c>
      <c r="H662">
        <v>3</v>
      </c>
      <c r="I662">
        <v>88.78</v>
      </c>
      <c r="J662">
        <v>1121.77</v>
      </c>
      <c r="K662" t="s">
        <v>52</v>
      </c>
      <c r="L662" t="s">
        <v>53</v>
      </c>
      <c r="M662">
        <v>2023</v>
      </c>
      <c r="N662" t="s">
        <v>46</v>
      </c>
    </row>
    <row r="663" spans="1:14" x14ac:dyDescent="0.3">
      <c r="A663" s="1">
        <v>45047</v>
      </c>
      <c r="B663" t="s">
        <v>9</v>
      </c>
      <c r="C663" t="s">
        <v>25</v>
      </c>
      <c r="D663" t="s">
        <v>39</v>
      </c>
      <c r="E663">
        <v>32</v>
      </c>
      <c r="F663">
        <v>14105.36</v>
      </c>
      <c r="G663" t="s">
        <v>20</v>
      </c>
      <c r="H663">
        <v>2</v>
      </c>
      <c r="I663">
        <v>2857.72</v>
      </c>
      <c r="J663">
        <v>11247.64</v>
      </c>
      <c r="K663" t="s">
        <v>56</v>
      </c>
      <c r="L663" t="s">
        <v>51</v>
      </c>
      <c r="M663">
        <v>2023</v>
      </c>
      <c r="N663" t="s">
        <v>44</v>
      </c>
    </row>
    <row r="664" spans="1:14" x14ac:dyDescent="0.3">
      <c r="A664" s="1">
        <v>44865</v>
      </c>
      <c r="B664" t="s">
        <v>23</v>
      </c>
      <c r="C664" t="s">
        <v>21</v>
      </c>
      <c r="D664" t="s">
        <v>32</v>
      </c>
      <c r="E664">
        <v>7</v>
      </c>
      <c r="F664">
        <v>3251.33</v>
      </c>
      <c r="G664" t="s">
        <v>20</v>
      </c>
      <c r="H664">
        <v>3</v>
      </c>
      <c r="I664">
        <v>1302.3499999999999</v>
      </c>
      <c r="J664">
        <v>1948.98</v>
      </c>
      <c r="K664" t="s">
        <v>62</v>
      </c>
      <c r="L664" t="s">
        <v>59</v>
      </c>
      <c r="M664">
        <v>2022</v>
      </c>
      <c r="N664" t="s">
        <v>45</v>
      </c>
    </row>
    <row r="665" spans="1:14" x14ac:dyDescent="0.3">
      <c r="A665" s="1">
        <v>45279</v>
      </c>
      <c r="B665" t="s">
        <v>15</v>
      </c>
      <c r="C665" t="s">
        <v>25</v>
      </c>
      <c r="D665" t="s">
        <v>30</v>
      </c>
      <c r="E665">
        <v>18</v>
      </c>
      <c r="F665">
        <v>8870.85</v>
      </c>
      <c r="G665" t="s">
        <v>20</v>
      </c>
      <c r="H665">
        <v>5</v>
      </c>
      <c r="I665">
        <v>4022.1</v>
      </c>
      <c r="J665">
        <v>4848.75</v>
      </c>
      <c r="K665" t="s">
        <v>58</v>
      </c>
      <c r="L665" t="s">
        <v>59</v>
      </c>
      <c r="M665">
        <v>2023</v>
      </c>
      <c r="N665" t="s">
        <v>44</v>
      </c>
    </row>
    <row r="666" spans="1:14" x14ac:dyDescent="0.3">
      <c r="A666" s="1">
        <v>44898</v>
      </c>
      <c r="B666" t="s">
        <v>18</v>
      </c>
      <c r="C666" t="s">
        <v>13</v>
      </c>
      <c r="D666" t="s">
        <v>29</v>
      </c>
      <c r="E666">
        <v>4</v>
      </c>
      <c r="F666">
        <v>1118.33</v>
      </c>
      <c r="G666" t="s">
        <v>12</v>
      </c>
      <c r="H666">
        <v>2</v>
      </c>
      <c r="I666">
        <v>101.84</v>
      </c>
      <c r="J666">
        <v>1016.49</v>
      </c>
      <c r="K666" t="s">
        <v>58</v>
      </c>
      <c r="L666" t="s">
        <v>59</v>
      </c>
      <c r="M666">
        <v>2022</v>
      </c>
      <c r="N666" t="s">
        <v>46</v>
      </c>
    </row>
    <row r="667" spans="1:14" x14ac:dyDescent="0.3">
      <c r="A667" s="1">
        <v>45292</v>
      </c>
      <c r="B667" t="s">
        <v>23</v>
      </c>
      <c r="C667" t="s">
        <v>13</v>
      </c>
      <c r="D667" t="s">
        <v>40</v>
      </c>
      <c r="E667">
        <v>45</v>
      </c>
      <c r="F667">
        <v>5584.11</v>
      </c>
      <c r="G667" t="s">
        <v>12</v>
      </c>
      <c r="H667">
        <v>5</v>
      </c>
      <c r="I667">
        <v>10181.040000000001</v>
      </c>
      <c r="J667">
        <v>-4596.93</v>
      </c>
      <c r="K667" t="s">
        <v>57</v>
      </c>
      <c r="L667" t="s">
        <v>53</v>
      </c>
      <c r="M667">
        <v>2024</v>
      </c>
      <c r="N667" t="s">
        <v>44</v>
      </c>
    </row>
    <row r="668" spans="1:14" x14ac:dyDescent="0.3">
      <c r="A668" s="1">
        <v>45070</v>
      </c>
      <c r="B668" t="s">
        <v>18</v>
      </c>
      <c r="C668" t="s">
        <v>10</v>
      </c>
      <c r="D668" t="s">
        <v>11</v>
      </c>
      <c r="E668">
        <v>35</v>
      </c>
      <c r="F668">
        <v>9292.0499999999993</v>
      </c>
      <c r="G668" t="s">
        <v>20</v>
      </c>
      <c r="H668">
        <v>4</v>
      </c>
      <c r="I668">
        <v>446.85</v>
      </c>
      <c r="J668">
        <v>8845.2000000000007</v>
      </c>
      <c r="K668" t="s">
        <v>56</v>
      </c>
      <c r="L668" t="s">
        <v>51</v>
      </c>
      <c r="M668">
        <v>2023</v>
      </c>
      <c r="N668" t="s">
        <v>45</v>
      </c>
    </row>
    <row r="669" spans="1:14" x14ac:dyDescent="0.3">
      <c r="A669" s="1">
        <v>45019</v>
      </c>
      <c r="B669" t="s">
        <v>18</v>
      </c>
      <c r="C669" t="s">
        <v>13</v>
      </c>
      <c r="D669" t="s">
        <v>19</v>
      </c>
      <c r="E669">
        <v>3</v>
      </c>
      <c r="F669">
        <v>641.91999999999996</v>
      </c>
      <c r="G669" t="s">
        <v>12</v>
      </c>
      <c r="H669">
        <v>1</v>
      </c>
      <c r="I669">
        <v>20.059999999999999</v>
      </c>
      <c r="J669">
        <v>621.86</v>
      </c>
      <c r="K669" t="s">
        <v>55</v>
      </c>
      <c r="L669" t="s">
        <v>51</v>
      </c>
      <c r="M669">
        <v>2023</v>
      </c>
      <c r="N669" t="s">
        <v>46</v>
      </c>
    </row>
    <row r="670" spans="1:14" x14ac:dyDescent="0.3">
      <c r="A670" s="1">
        <v>44590</v>
      </c>
      <c r="B670" t="s">
        <v>9</v>
      </c>
      <c r="C670" t="s">
        <v>21</v>
      </c>
      <c r="D670" t="s">
        <v>33</v>
      </c>
      <c r="E670">
        <v>25</v>
      </c>
      <c r="F670">
        <v>6475.4</v>
      </c>
      <c r="G670" t="s">
        <v>20</v>
      </c>
      <c r="H670">
        <v>2</v>
      </c>
      <c r="I670">
        <v>178.17</v>
      </c>
      <c r="J670">
        <v>6297.23</v>
      </c>
      <c r="K670" t="s">
        <v>57</v>
      </c>
      <c r="L670" t="s">
        <v>53</v>
      </c>
      <c r="M670">
        <v>2022</v>
      </c>
      <c r="N670" t="s">
        <v>45</v>
      </c>
    </row>
    <row r="671" spans="1:14" x14ac:dyDescent="0.3">
      <c r="A671" s="1">
        <v>44606</v>
      </c>
      <c r="B671" t="s">
        <v>23</v>
      </c>
      <c r="C671" t="s">
        <v>10</v>
      </c>
      <c r="D671" t="s">
        <v>11</v>
      </c>
      <c r="E671">
        <v>34</v>
      </c>
      <c r="F671">
        <v>9075.7900000000009</v>
      </c>
      <c r="G671" t="s">
        <v>12</v>
      </c>
      <c r="H671">
        <v>3</v>
      </c>
      <c r="I671">
        <v>2561.06</v>
      </c>
      <c r="J671">
        <v>6514.73</v>
      </c>
      <c r="K671" t="s">
        <v>54</v>
      </c>
      <c r="L671" t="s">
        <v>53</v>
      </c>
      <c r="M671">
        <v>2022</v>
      </c>
      <c r="N671" t="s">
        <v>46</v>
      </c>
    </row>
    <row r="672" spans="1:14" x14ac:dyDescent="0.3">
      <c r="A672" s="1">
        <v>44594</v>
      </c>
      <c r="B672" t="s">
        <v>15</v>
      </c>
      <c r="C672" t="s">
        <v>25</v>
      </c>
      <c r="D672" t="s">
        <v>30</v>
      </c>
      <c r="E672">
        <v>30</v>
      </c>
      <c r="F672">
        <v>3562.66</v>
      </c>
      <c r="G672" t="s">
        <v>20</v>
      </c>
      <c r="H672">
        <v>1</v>
      </c>
      <c r="I672">
        <v>1307.24</v>
      </c>
      <c r="J672">
        <v>2255.42</v>
      </c>
      <c r="K672" t="s">
        <v>54</v>
      </c>
      <c r="L672" t="s">
        <v>53</v>
      </c>
      <c r="M672">
        <v>2022</v>
      </c>
      <c r="N672" t="s">
        <v>46</v>
      </c>
    </row>
    <row r="673" spans="1:14" x14ac:dyDescent="0.3">
      <c r="A673" s="1">
        <v>45235</v>
      </c>
      <c r="B673" t="s">
        <v>23</v>
      </c>
      <c r="C673" t="s">
        <v>13</v>
      </c>
      <c r="D673" t="s">
        <v>40</v>
      </c>
      <c r="E673">
        <v>2</v>
      </c>
      <c r="F673">
        <v>767.78</v>
      </c>
      <c r="G673" t="s">
        <v>12</v>
      </c>
      <c r="H673">
        <v>3</v>
      </c>
      <c r="I673">
        <v>211.93</v>
      </c>
      <c r="J673">
        <v>555.85</v>
      </c>
      <c r="K673" t="s">
        <v>65</v>
      </c>
      <c r="L673" t="s">
        <v>59</v>
      </c>
      <c r="M673">
        <v>2023</v>
      </c>
      <c r="N673" t="s">
        <v>44</v>
      </c>
    </row>
    <row r="674" spans="1:14" x14ac:dyDescent="0.3">
      <c r="A674" s="1">
        <v>44855</v>
      </c>
      <c r="B674" t="s">
        <v>18</v>
      </c>
      <c r="C674" t="s">
        <v>25</v>
      </c>
      <c r="D674" t="s">
        <v>30</v>
      </c>
      <c r="E674">
        <v>3</v>
      </c>
      <c r="F674">
        <v>197.66</v>
      </c>
      <c r="G674" t="s">
        <v>20</v>
      </c>
      <c r="H674">
        <v>2</v>
      </c>
      <c r="I674">
        <v>565.28</v>
      </c>
      <c r="J674">
        <v>-367.62</v>
      </c>
      <c r="K674" t="s">
        <v>62</v>
      </c>
      <c r="L674" t="s">
        <v>59</v>
      </c>
      <c r="M674">
        <v>2022</v>
      </c>
      <c r="N674" t="s">
        <v>44</v>
      </c>
    </row>
    <row r="675" spans="1:14" x14ac:dyDescent="0.3">
      <c r="A675" s="1">
        <v>45083</v>
      </c>
      <c r="B675" t="s">
        <v>18</v>
      </c>
      <c r="C675" t="s">
        <v>16</v>
      </c>
      <c r="D675" t="s">
        <v>37</v>
      </c>
      <c r="E675">
        <v>47</v>
      </c>
      <c r="F675">
        <v>16956.66</v>
      </c>
      <c r="G675" t="s">
        <v>12</v>
      </c>
      <c r="H675">
        <v>3</v>
      </c>
      <c r="I675">
        <v>6684.24</v>
      </c>
      <c r="J675">
        <v>10272.42</v>
      </c>
      <c r="K675" t="s">
        <v>50</v>
      </c>
      <c r="L675" t="s">
        <v>51</v>
      </c>
      <c r="M675">
        <v>2023</v>
      </c>
      <c r="N675" t="s">
        <v>45</v>
      </c>
    </row>
    <row r="676" spans="1:14" x14ac:dyDescent="0.3">
      <c r="A676" s="1">
        <v>44971</v>
      </c>
      <c r="B676" t="s">
        <v>31</v>
      </c>
      <c r="C676" t="s">
        <v>25</v>
      </c>
      <c r="D676" t="s">
        <v>26</v>
      </c>
      <c r="E676">
        <v>13</v>
      </c>
      <c r="F676">
        <v>5315.32</v>
      </c>
      <c r="G676" t="s">
        <v>12</v>
      </c>
      <c r="H676">
        <v>5</v>
      </c>
      <c r="I676">
        <v>2149.5100000000002</v>
      </c>
      <c r="J676">
        <v>3165.81</v>
      </c>
      <c r="K676" t="s">
        <v>54</v>
      </c>
      <c r="L676" t="s">
        <v>53</v>
      </c>
      <c r="M676">
        <v>2023</v>
      </c>
      <c r="N676" t="s">
        <v>46</v>
      </c>
    </row>
    <row r="677" spans="1:14" x14ac:dyDescent="0.3">
      <c r="A677" s="1">
        <v>45139</v>
      </c>
      <c r="B677" t="s">
        <v>31</v>
      </c>
      <c r="C677" t="s">
        <v>13</v>
      </c>
      <c r="D677" t="s">
        <v>29</v>
      </c>
      <c r="E677">
        <v>49</v>
      </c>
      <c r="F677">
        <v>14255.9</v>
      </c>
      <c r="G677" t="s">
        <v>20</v>
      </c>
      <c r="H677">
        <v>4</v>
      </c>
      <c r="I677">
        <v>10577.63</v>
      </c>
      <c r="J677">
        <v>3678.27</v>
      </c>
      <c r="K677" t="s">
        <v>64</v>
      </c>
      <c r="L677" t="s">
        <v>61</v>
      </c>
      <c r="M677">
        <v>2023</v>
      </c>
      <c r="N677" t="s">
        <v>44</v>
      </c>
    </row>
    <row r="678" spans="1:14" x14ac:dyDescent="0.3">
      <c r="A678" s="1">
        <v>44908</v>
      </c>
      <c r="B678" t="s">
        <v>9</v>
      </c>
      <c r="C678" t="s">
        <v>16</v>
      </c>
      <c r="D678" t="s">
        <v>27</v>
      </c>
      <c r="E678">
        <v>40</v>
      </c>
      <c r="F678">
        <v>8647.3799999999992</v>
      </c>
      <c r="G678" t="s">
        <v>20</v>
      </c>
      <c r="H678">
        <v>3</v>
      </c>
      <c r="I678">
        <v>1084.03</v>
      </c>
      <c r="J678">
        <v>7563.35</v>
      </c>
      <c r="K678" t="s">
        <v>58</v>
      </c>
      <c r="L678" t="s">
        <v>59</v>
      </c>
      <c r="M678">
        <v>2022</v>
      </c>
      <c r="N678" t="s">
        <v>45</v>
      </c>
    </row>
    <row r="679" spans="1:14" x14ac:dyDescent="0.3">
      <c r="A679" s="1">
        <v>45194</v>
      </c>
      <c r="B679" t="s">
        <v>23</v>
      </c>
      <c r="C679" t="s">
        <v>10</v>
      </c>
      <c r="D679" t="s">
        <v>28</v>
      </c>
      <c r="E679">
        <v>28</v>
      </c>
      <c r="F679">
        <v>5526.46</v>
      </c>
      <c r="G679" t="s">
        <v>20</v>
      </c>
      <c r="H679">
        <v>5</v>
      </c>
      <c r="I679">
        <v>6618.43</v>
      </c>
      <c r="J679">
        <v>-1091.97</v>
      </c>
      <c r="K679" t="s">
        <v>60</v>
      </c>
      <c r="L679" t="s">
        <v>61</v>
      </c>
      <c r="M679">
        <v>2023</v>
      </c>
      <c r="N679" t="s">
        <v>45</v>
      </c>
    </row>
    <row r="680" spans="1:14" x14ac:dyDescent="0.3">
      <c r="A680" s="1">
        <v>44848</v>
      </c>
      <c r="B680" t="s">
        <v>18</v>
      </c>
      <c r="C680" t="s">
        <v>25</v>
      </c>
      <c r="D680" t="s">
        <v>30</v>
      </c>
      <c r="E680">
        <v>19</v>
      </c>
      <c r="F680">
        <v>8623.44</v>
      </c>
      <c r="G680" t="s">
        <v>12</v>
      </c>
      <c r="H680">
        <v>1</v>
      </c>
      <c r="I680">
        <v>347.51</v>
      </c>
      <c r="J680">
        <v>8275.93</v>
      </c>
      <c r="K680" t="s">
        <v>62</v>
      </c>
      <c r="L680" t="s">
        <v>59</v>
      </c>
      <c r="M680">
        <v>2022</v>
      </c>
      <c r="N680" t="s">
        <v>45</v>
      </c>
    </row>
    <row r="681" spans="1:14" x14ac:dyDescent="0.3">
      <c r="A681" s="1">
        <v>44888</v>
      </c>
      <c r="B681" t="s">
        <v>15</v>
      </c>
      <c r="C681" t="s">
        <v>10</v>
      </c>
      <c r="D681" t="s">
        <v>35</v>
      </c>
      <c r="E681">
        <v>6</v>
      </c>
      <c r="F681">
        <v>741.49</v>
      </c>
      <c r="G681" t="s">
        <v>20</v>
      </c>
      <c r="H681">
        <v>3</v>
      </c>
      <c r="I681">
        <v>993.34</v>
      </c>
      <c r="J681">
        <v>-251.85</v>
      </c>
      <c r="K681" t="s">
        <v>65</v>
      </c>
      <c r="L681" t="s">
        <v>59</v>
      </c>
      <c r="M681">
        <v>2022</v>
      </c>
      <c r="N681" t="s">
        <v>47</v>
      </c>
    </row>
    <row r="682" spans="1:14" x14ac:dyDescent="0.3">
      <c r="A682" s="1">
        <v>44923</v>
      </c>
      <c r="B682" t="s">
        <v>31</v>
      </c>
      <c r="C682" t="s">
        <v>25</v>
      </c>
      <c r="D682" t="s">
        <v>30</v>
      </c>
      <c r="E682">
        <v>40</v>
      </c>
      <c r="F682">
        <v>10706.53</v>
      </c>
      <c r="G682" t="s">
        <v>12</v>
      </c>
      <c r="H682">
        <v>4</v>
      </c>
      <c r="I682">
        <v>4982.9399999999996</v>
      </c>
      <c r="J682">
        <v>5723.59</v>
      </c>
      <c r="K682" t="s">
        <v>58</v>
      </c>
      <c r="L682" t="s">
        <v>59</v>
      </c>
      <c r="M682">
        <v>2022</v>
      </c>
      <c r="N682" t="s">
        <v>44</v>
      </c>
    </row>
    <row r="683" spans="1:14" x14ac:dyDescent="0.3">
      <c r="A683" s="1">
        <v>45056</v>
      </c>
      <c r="B683" t="s">
        <v>23</v>
      </c>
      <c r="C683" t="s">
        <v>13</v>
      </c>
      <c r="D683" t="s">
        <v>19</v>
      </c>
      <c r="E683">
        <v>28</v>
      </c>
      <c r="F683">
        <v>13079.72</v>
      </c>
      <c r="G683" t="s">
        <v>20</v>
      </c>
      <c r="H683">
        <v>2</v>
      </c>
      <c r="I683">
        <v>3697.13</v>
      </c>
      <c r="J683">
        <v>9382.59</v>
      </c>
      <c r="K683" t="s">
        <v>56</v>
      </c>
      <c r="L683" t="s">
        <v>51</v>
      </c>
      <c r="M683">
        <v>2023</v>
      </c>
      <c r="N683" t="s">
        <v>44</v>
      </c>
    </row>
    <row r="684" spans="1:14" x14ac:dyDescent="0.3">
      <c r="A684" s="1">
        <v>44886</v>
      </c>
      <c r="B684" t="s">
        <v>15</v>
      </c>
      <c r="C684" t="s">
        <v>13</v>
      </c>
      <c r="D684" t="s">
        <v>14</v>
      </c>
      <c r="E684">
        <v>29</v>
      </c>
      <c r="F684">
        <v>8185.88</v>
      </c>
      <c r="G684" t="s">
        <v>20</v>
      </c>
      <c r="H684">
        <v>5</v>
      </c>
      <c r="I684">
        <v>3129.8</v>
      </c>
      <c r="J684">
        <v>5056.08</v>
      </c>
      <c r="K684" t="s">
        <v>65</v>
      </c>
      <c r="L684" t="s">
        <v>59</v>
      </c>
      <c r="M684">
        <v>2022</v>
      </c>
      <c r="N684" t="s">
        <v>44</v>
      </c>
    </row>
    <row r="685" spans="1:14" x14ac:dyDescent="0.3">
      <c r="A685" s="1">
        <v>45102</v>
      </c>
      <c r="B685" t="s">
        <v>18</v>
      </c>
      <c r="C685" t="s">
        <v>25</v>
      </c>
      <c r="D685" t="s">
        <v>30</v>
      </c>
      <c r="E685">
        <v>27</v>
      </c>
      <c r="F685">
        <v>5839.13</v>
      </c>
      <c r="G685" t="s">
        <v>20</v>
      </c>
      <c r="H685">
        <v>4</v>
      </c>
      <c r="I685">
        <v>1689.63</v>
      </c>
      <c r="J685">
        <v>4149.5</v>
      </c>
      <c r="K685" t="s">
        <v>50</v>
      </c>
      <c r="L685" t="s">
        <v>51</v>
      </c>
      <c r="M685">
        <v>2023</v>
      </c>
      <c r="N685" t="s">
        <v>44</v>
      </c>
    </row>
    <row r="686" spans="1:14" x14ac:dyDescent="0.3">
      <c r="A686" s="1">
        <v>45034</v>
      </c>
      <c r="B686" t="s">
        <v>31</v>
      </c>
      <c r="C686" t="s">
        <v>10</v>
      </c>
      <c r="D686" t="s">
        <v>28</v>
      </c>
      <c r="E686">
        <v>14</v>
      </c>
      <c r="F686">
        <v>212.26</v>
      </c>
      <c r="G686" t="s">
        <v>20</v>
      </c>
      <c r="H686">
        <v>2</v>
      </c>
      <c r="I686">
        <v>2354.11</v>
      </c>
      <c r="J686">
        <v>-2141.85</v>
      </c>
      <c r="K686" t="s">
        <v>55</v>
      </c>
      <c r="L686" t="s">
        <v>51</v>
      </c>
      <c r="M686">
        <v>2023</v>
      </c>
      <c r="N686" t="s">
        <v>45</v>
      </c>
    </row>
    <row r="687" spans="1:14" x14ac:dyDescent="0.3">
      <c r="A687" s="1">
        <v>45095</v>
      </c>
      <c r="B687" t="s">
        <v>31</v>
      </c>
      <c r="C687" t="s">
        <v>13</v>
      </c>
      <c r="D687" t="s">
        <v>19</v>
      </c>
      <c r="E687">
        <v>11</v>
      </c>
      <c r="F687">
        <v>1665.39</v>
      </c>
      <c r="G687" t="s">
        <v>20</v>
      </c>
      <c r="H687">
        <v>5</v>
      </c>
      <c r="I687">
        <v>491.84</v>
      </c>
      <c r="J687">
        <v>1173.55</v>
      </c>
      <c r="K687" t="s">
        <v>50</v>
      </c>
      <c r="L687" t="s">
        <v>51</v>
      </c>
      <c r="M687">
        <v>2023</v>
      </c>
      <c r="N687" t="s">
        <v>44</v>
      </c>
    </row>
    <row r="688" spans="1:14" x14ac:dyDescent="0.3">
      <c r="A688" s="1">
        <v>45085</v>
      </c>
      <c r="B688" t="s">
        <v>31</v>
      </c>
      <c r="C688" t="s">
        <v>13</v>
      </c>
      <c r="D688" t="s">
        <v>19</v>
      </c>
      <c r="E688">
        <v>26</v>
      </c>
      <c r="F688">
        <v>7225.27</v>
      </c>
      <c r="G688" t="s">
        <v>20</v>
      </c>
      <c r="H688">
        <v>2</v>
      </c>
      <c r="I688">
        <v>2148.11</v>
      </c>
      <c r="J688">
        <v>5077.16</v>
      </c>
      <c r="K688" t="s">
        <v>50</v>
      </c>
      <c r="L688" t="s">
        <v>51</v>
      </c>
      <c r="M688">
        <v>2023</v>
      </c>
      <c r="N688" t="s">
        <v>47</v>
      </c>
    </row>
    <row r="689" spans="1:14" x14ac:dyDescent="0.3">
      <c r="A689" s="1">
        <v>44736</v>
      </c>
      <c r="B689" t="s">
        <v>23</v>
      </c>
      <c r="C689" t="s">
        <v>13</v>
      </c>
      <c r="D689" t="s">
        <v>14</v>
      </c>
      <c r="E689">
        <v>18</v>
      </c>
      <c r="F689">
        <v>5765.24</v>
      </c>
      <c r="G689" t="s">
        <v>20</v>
      </c>
      <c r="H689">
        <v>5</v>
      </c>
      <c r="I689">
        <v>3269.84</v>
      </c>
      <c r="J689">
        <v>2495.4</v>
      </c>
      <c r="K689" t="s">
        <v>50</v>
      </c>
      <c r="L689" t="s">
        <v>51</v>
      </c>
      <c r="M689">
        <v>2022</v>
      </c>
      <c r="N689" t="s">
        <v>45</v>
      </c>
    </row>
    <row r="690" spans="1:14" x14ac:dyDescent="0.3">
      <c r="A690" s="1">
        <v>44678</v>
      </c>
      <c r="B690" t="s">
        <v>9</v>
      </c>
      <c r="C690" t="s">
        <v>10</v>
      </c>
      <c r="D690" t="s">
        <v>11</v>
      </c>
      <c r="E690">
        <v>29</v>
      </c>
      <c r="F690">
        <v>2374.6799999999998</v>
      </c>
      <c r="G690" t="s">
        <v>20</v>
      </c>
      <c r="H690">
        <v>4</v>
      </c>
      <c r="I690">
        <v>7041.77</v>
      </c>
      <c r="J690">
        <v>-4667.09</v>
      </c>
      <c r="K690" t="s">
        <v>55</v>
      </c>
      <c r="L690" t="s">
        <v>51</v>
      </c>
      <c r="M690">
        <v>2022</v>
      </c>
      <c r="N690" t="s">
        <v>44</v>
      </c>
    </row>
    <row r="691" spans="1:14" x14ac:dyDescent="0.3">
      <c r="A691" s="1">
        <v>45040</v>
      </c>
      <c r="B691" t="s">
        <v>9</v>
      </c>
      <c r="C691" t="s">
        <v>13</v>
      </c>
      <c r="D691" t="s">
        <v>40</v>
      </c>
      <c r="E691">
        <v>43</v>
      </c>
      <c r="F691">
        <v>1490.92</v>
      </c>
      <c r="G691" t="s">
        <v>20</v>
      </c>
      <c r="H691">
        <v>4</v>
      </c>
      <c r="I691">
        <v>7103.22</v>
      </c>
      <c r="J691">
        <v>-5612.3</v>
      </c>
      <c r="K691" t="s">
        <v>55</v>
      </c>
      <c r="L691" t="s">
        <v>51</v>
      </c>
      <c r="M691">
        <v>2023</v>
      </c>
      <c r="N691" t="s">
        <v>47</v>
      </c>
    </row>
    <row r="692" spans="1:14" x14ac:dyDescent="0.3">
      <c r="A692" s="1">
        <v>45274</v>
      </c>
      <c r="B692" t="s">
        <v>18</v>
      </c>
      <c r="C692" t="s">
        <v>21</v>
      </c>
      <c r="D692" t="s">
        <v>36</v>
      </c>
      <c r="E692">
        <v>42</v>
      </c>
      <c r="F692">
        <v>7199.97</v>
      </c>
      <c r="G692" t="s">
        <v>12</v>
      </c>
      <c r="H692">
        <v>4</v>
      </c>
      <c r="I692">
        <v>8864.5</v>
      </c>
      <c r="J692">
        <v>-1664.53</v>
      </c>
      <c r="K692" t="s">
        <v>58</v>
      </c>
      <c r="L692" t="s">
        <v>59</v>
      </c>
      <c r="M692">
        <v>2023</v>
      </c>
      <c r="N692" t="s">
        <v>45</v>
      </c>
    </row>
    <row r="693" spans="1:14" x14ac:dyDescent="0.3">
      <c r="A693" s="1">
        <v>44811</v>
      </c>
      <c r="B693" t="s">
        <v>9</v>
      </c>
      <c r="C693" t="s">
        <v>10</v>
      </c>
      <c r="D693" t="s">
        <v>34</v>
      </c>
      <c r="E693">
        <v>22</v>
      </c>
      <c r="F693">
        <v>7856.15</v>
      </c>
      <c r="G693" t="s">
        <v>12</v>
      </c>
      <c r="H693">
        <v>1</v>
      </c>
      <c r="I693">
        <v>2179.4299999999998</v>
      </c>
      <c r="J693">
        <v>5676.72</v>
      </c>
      <c r="K693" t="s">
        <v>60</v>
      </c>
      <c r="L693" t="s">
        <v>61</v>
      </c>
      <c r="M693">
        <v>2022</v>
      </c>
      <c r="N693" t="s">
        <v>44</v>
      </c>
    </row>
    <row r="694" spans="1:14" x14ac:dyDescent="0.3">
      <c r="A694" s="1">
        <v>44810</v>
      </c>
      <c r="B694" t="s">
        <v>15</v>
      </c>
      <c r="C694" t="s">
        <v>16</v>
      </c>
      <c r="D694" t="s">
        <v>24</v>
      </c>
      <c r="E694">
        <v>45</v>
      </c>
      <c r="F694">
        <v>9964.4599999999991</v>
      </c>
      <c r="G694" t="s">
        <v>12</v>
      </c>
      <c r="H694">
        <v>3</v>
      </c>
      <c r="I694">
        <v>4105.8900000000003</v>
      </c>
      <c r="J694">
        <v>5858.57</v>
      </c>
      <c r="K694" t="s">
        <v>60</v>
      </c>
      <c r="L694" t="s">
        <v>61</v>
      </c>
      <c r="M694">
        <v>2022</v>
      </c>
      <c r="N694" t="s">
        <v>44</v>
      </c>
    </row>
    <row r="695" spans="1:14" x14ac:dyDescent="0.3">
      <c r="A695" s="1">
        <v>44812</v>
      </c>
      <c r="B695" t="s">
        <v>31</v>
      </c>
      <c r="C695" t="s">
        <v>16</v>
      </c>
      <c r="D695" t="s">
        <v>17</v>
      </c>
      <c r="E695">
        <v>13</v>
      </c>
      <c r="F695">
        <v>2496.0700000000002</v>
      </c>
      <c r="G695" t="s">
        <v>12</v>
      </c>
      <c r="H695">
        <v>4</v>
      </c>
      <c r="I695">
        <v>3213.42</v>
      </c>
      <c r="J695">
        <v>-717.35</v>
      </c>
      <c r="K695" t="s">
        <v>60</v>
      </c>
      <c r="L695" t="s">
        <v>61</v>
      </c>
      <c r="M695">
        <v>2022</v>
      </c>
      <c r="N695" t="s">
        <v>47</v>
      </c>
    </row>
    <row r="696" spans="1:14" x14ac:dyDescent="0.3">
      <c r="A696" s="1">
        <v>45260</v>
      </c>
      <c r="B696" t="s">
        <v>9</v>
      </c>
      <c r="C696" t="s">
        <v>16</v>
      </c>
      <c r="D696" t="s">
        <v>27</v>
      </c>
      <c r="E696">
        <v>12</v>
      </c>
      <c r="F696">
        <v>2395.42</v>
      </c>
      <c r="G696" t="s">
        <v>20</v>
      </c>
      <c r="H696">
        <v>1</v>
      </c>
      <c r="I696">
        <v>2969.16</v>
      </c>
      <c r="J696">
        <v>-573.74</v>
      </c>
      <c r="K696" t="s">
        <v>65</v>
      </c>
      <c r="L696" t="s">
        <v>59</v>
      </c>
      <c r="M696">
        <v>2023</v>
      </c>
      <c r="N696" t="s">
        <v>44</v>
      </c>
    </row>
    <row r="697" spans="1:14" x14ac:dyDescent="0.3">
      <c r="A697" s="1">
        <v>44717</v>
      </c>
      <c r="B697" t="s">
        <v>18</v>
      </c>
      <c r="C697" t="s">
        <v>13</v>
      </c>
      <c r="D697" t="s">
        <v>29</v>
      </c>
      <c r="E697">
        <v>29</v>
      </c>
      <c r="F697">
        <v>13018.9</v>
      </c>
      <c r="G697" t="s">
        <v>20</v>
      </c>
      <c r="H697">
        <v>4</v>
      </c>
      <c r="I697">
        <v>5623.93</v>
      </c>
      <c r="J697">
        <v>7394.97</v>
      </c>
      <c r="K697" t="s">
        <v>50</v>
      </c>
      <c r="L697" t="s">
        <v>51</v>
      </c>
      <c r="M697">
        <v>2022</v>
      </c>
      <c r="N697" t="s">
        <v>44</v>
      </c>
    </row>
    <row r="698" spans="1:14" x14ac:dyDescent="0.3">
      <c r="A698" s="1">
        <v>44696</v>
      </c>
      <c r="B698" t="s">
        <v>18</v>
      </c>
      <c r="C698" t="s">
        <v>25</v>
      </c>
      <c r="D698" t="s">
        <v>30</v>
      </c>
      <c r="E698">
        <v>37</v>
      </c>
      <c r="F698">
        <v>10796.88</v>
      </c>
      <c r="G698" t="s">
        <v>20</v>
      </c>
      <c r="H698">
        <v>1</v>
      </c>
      <c r="I698">
        <v>4220.4799999999996</v>
      </c>
      <c r="J698">
        <v>6576.4</v>
      </c>
      <c r="K698" t="s">
        <v>56</v>
      </c>
      <c r="L698" t="s">
        <v>51</v>
      </c>
      <c r="M698">
        <v>2022</v>
      </c>
      <c r="N698" t="s">
        <v>44</v>
      </c>
    </row>
    <row r="699" spans="1:14" x14ac:dyDescent="0.3">
      <c r="A699" s="1">
        <v>44644</v>
      </c>
      <c r="B699" t="s">
        <v>15</v>
      </c>
      <c r="C699" t="s">
        <v>16</v>
      </c>
      <c r="D699" t="s">
        <v>17</v>
      </c>
      <c r="E699">
        <v>47</v>
      </c>
      <c r="F699">
        <v>8377.2099999999991</v>
      </c>
      <c r="G699" t="s">
        <v>12</v>
      </c>
      <c r="H699">
        <v>4</v>
      </c>
      <c r="I699">
        <v>1532.22</v>
      </c>
      <c r="J699">
        <v>6844.99</v>
      </c>
      <c r="K699" t="s">
        <v>52</v>
      </c>
      <c r="L699" t="s">
        <v>53</v>
      </c>
      <c r="M699">
        <v>2022</v>
      </c>
      <c r="N699" t="s">
        <v>44</v>
      </c>
    </row>
    <row r="700" spans="1:14" x14ac:dyDescent="0.3">
      <c r="A700" s="1">
        <v>45086</v>
      </c>
      <c r="B700" t="s">
        <v>9</v>
      </c>
      <c r="C700" t="s">
        <v>25</v>
      </c>
      <c r="D700" t="s">
        <v>26</v>
      </c>
      <c r="E700">
        <v>41</v>
      </c>
      <c r="F700">
        <v>19912.77</v>
      </c>
      <c r="G700" t="s">
        <v>12</v>
      </c>
      <c r="H700">
        <v>5</v>
      </c>
      <c r="I700">
        <v>8029.84</v>
      </c>
      <c r="J700">
        <v>11882.93</v>
      </c>
      <c r="K700" t="s">
        <v>50</v>
      </c>
      <c r="L700" t="s">
        <v>51</v>
      </c>
      <c r="M700">
        <v>2023</v>
      </c>
      <c r="N700" t="s">
        <v>45</v>
      </c>
    </row>
    <row r="701" spans="1:14" x14ac:dyDescent="0.3">
      <c r="A701" s="1">
        <v>44800</v>
      </c>
      <c r="B701" t="s">
        <v>31</v>
      </c>
      <c r="C701" t="s">
        <v>21</v>
      </c>
      <c r="D701" t="s">
        <v>36</v>
      </c>
      <c r="E701">
        <v>16</v>
      </c>
      <c r="F701">
        <v>3572.08</v>
      </c>
      <c r="G701" t="s">
        <v>20</v>
      </c>
      <c r="H701">
        <v>4</v>
      </c>
      <c r="I701">
        <v>1244.05</v>
      </c>
      <c r="J701">
        <v>2328.0300000000002</v>
      </c>
      <c r="K701" t="s">
        <v>64</v>
      </c>
      <c r="L701" t="s">
        <v>61</v>
      </c>
      <c r="M701">
        <v>2022</v>
      </c>
      <c r="N701" t="s">
        <v>45</v>
      </c>
    </row>
    <row r="702" spans="1:14" x14ac:dyDescent="0.3">
      <c r="A702" s="1">
        <v>44861</v>
      </c>
      <c r="B702" t="s">
        <v>18</v>
      </c>
      <c r="C702" t="s">
        <v>16</v>
      </c>
      <c r="D702" t="s">
        <v>17</v>
      </c>
      <c r="E702">
        <v>11</v>
      </c>
      <c r="F702">
        <v>4542.09</v>
      </c>
      <c r="G702" t="s">
        <v>20</v>
      </c>
      <c r="H702">
        <v>1</v>
      </c>
      <c r="I702">
        <v>1073.44</v>
      </c>
      <c r="J702">
        <v>3468.65</v>
      </c>
      <c r="K702" t="s">
        <v>62</v>
      </c>
      <c r="L702" t="s">
        <v>59</v>
      </c>
      <c r="M702">
        <v>2022</v>
      </c>
      <c r="N702" t="s">
        <v>44</v>
      </c>
    </row>
    <row r="703" spans="1:14" x14ac:dyDescent="0.3">
      <c r="A703" s="1">
        <v>44953</v>
      </c>
      <c r="B703" t="s">
        <v>18</v>
      </c>
      <c r="C703" t="s">
        <v>25</v>
      </c>
      <c r="D703" t="s">
        <v>30</v>
      </c>
      <c r="E703">
        <v>12</v>
      </c>
      <c r="F703">
        <v>4333.3</v>
      </c>
      <c r="G703" t="s">
        <v>20</v>
      </c>
      <c r="H703">
        <v>5</v>
      </c>
      <c r="I703">
        <v>2328.21</v>
      </c>
      <c r="J703">
        <v>2005.09</v>
      </c>
      <c r="K703" t="s">
        <v>57</v>
      </c>
      <c r="L703" t="s">
        <v>53</v>
      </c>
      <c r="M703">
        <v>2023</v>
      </c>
      <c r="N703" t="s">
        <v>44</v>
      </c>
    </row>
    <row r="704" spans="1:14" x14ac:dyDescent="0.3">
      <c r="A704" s="1">
        <v>45073</v>
      </c>
      <c r="B704" t="s">
        <v>23</v>
      </c>
      <c r="C704" t="s">
        <v>21</v>
      </c>
      <c r="D704" t="s">
        <v>33</v>
      </c>
      <c r="E704">
        <v>9</v>
      </c>
      <c r="F704">
        <v>3272.36</v>
      </c>
      <c r="G704" t="s">
        <v>20</v>
      </c>
      <c r="H704">
        <v>1</v>
      </c>
      <c r="I704">
        <v>2248.6</v>
      </c>
      <c r="J704">
        <v>1023.76</v>
      </c>
      <c r="K704" t="s">
        <v>56</v>
      </c>
      <c r="L704" t="s">
        <v>51</v>
      </c>
      <c r="M704">
        <v>2023</v>
      </c>
      <c r="N704" t="s">
        <v>44</v>
      </c>
    </row>
    <row r="705" spans="1:14" x14ac:dyDescent="0.3">
      <c r="A705" s="1">
        <v>44847</v>
      </c>
      <c r="B705" t="s">
        <v>15</v>
      </c>
      <c r="C705" t="s">
        <v>13</v>
      </c>
      <c r="D705" t="s">
        <v>19</v>
      </c>
      <c r="E705">
        <v>35</v>
      </c>
      <c r="F705">
        <v>17246.21</v>
      </c>
      <c r="G705" t="s">
        <v>20</v>
      </c>
      <c r="H705">
        <v>2</v>
      </c>
      <c r="I705">
        <v>5490.5</v>
      </c>
      <c r="J705">
        <v>11755.71</v>
      </c>
      <c r="K705" t="s">
        <v>62</v>
      </c>
      <c r="L705" t="s">
        <v>59</v>
      </c>
      <c r="M705">
        <v>2022</v>
      </c>
      <c r="N705" t="s">
        <v>44</v>
      </c>
    </row>
    <row r="706" spans="1:14" x14ac:dyDescent="0.3">
      <c r="A706" s="1">
        <v>44770</v>
      </c>
      <c r="B706" t="s">
        <v>31</v>
      </c>
      <c r="C706" t="s">
        <v>21</v>
      </c>
      <c r="D706" t="s">
        <v>22</v>
      </c>
      <c r="E706">
        <v>20</v>
      </c>
      <c r="F706">
        <v>6372.66</v>
      </c>
      <c r="G706" t="s">
        <v>20</v>
      </c>
      <c r="H706">
        <v>2</v>
      </c>
      <c r="I706">
        <v>4158.78</v>
      </c>
      <c r="J706">
        <v>2213.88</v>
      </c>
      <c r="K706" t="s">
        <v>63</v>
      </c>
      <c r="L706" t="s">
        <v>61</v>
      </c>
      <c r="M706">
        <v>2022</v>
      </c>
      <c r="N706" t="s">
        <v>44</v>
      </c>
    </row>
    <row r="707" spans="1:14" x14ac:dyDescent="0.3">
      <c r="A707" s="1">
        <v>44893</v>
      </c>
      <c r="B707" t="s">
        <v>31</v>
      </c>
      <c r="C707" t="s">
        <v>16</v>
      </c>
      <c r="D707" t="s">
        <v>37</v>
      </c>
      <c r="E707">
        <v>49</v>
      </c>
      <c r="F707">
        <v>23130.78</v>
      </c>
      <c r="G707" t="s">
        <v>20</v>
      </c>
      <c r="H707">
        <v>2</v>
      </c>
      <c r="I707">
        <v>6582.97</v>
      </c>
      <c r="J707">
        <v>16547.810000000001</v>
      </c>
      <c r="K707" t="s">
        <v>65</v>
      </c>
      <c r="L707" t="s">
        <v>59</v>
      </c>
      <c r="M707">
        <v>2022</v>
      </c>
      <c r="N707" t="s">
        <v>47</v>
      </c>
    </row>
    <row r="708" spans="1:14" x14ac:dyDescent="0.3">
      <c r="A708" s="1">
        <v>44842</v>
      </c>
      <c r="B708" t="s">
        <v>31</v>
      </c>
      <c r="C708" t="s">
        <v>16</v>
      </c>
      <c r="D708" t="s">
        <v>17</v>
      </c>
      <c r="E708">
        <v>17</v>
      </c>
      <c r="F708">
        <v>6167.03</v>
      </c>
      <c r="G708" t="s">
        <v>20</v>
      </c>
      <c r="H708">
        <v>5</v>
      </c>
      <c r="I708">
        <v>3474.77</v>
      </c>
      <c r="J708">
        <v>2692.26</v>
      </c>
      <c r="K708" t="s">
        <v>62</v>
      </c>
      <c r="L708" t="s">
        <v>59</v>
      </c>
      <c r="M708">
        <v>2022</v>
      </c>
      <c r="N708" t="s">
        <v>45</v>
      </c>
    </row>
    <row r="709" spans="1:14" x14ac:dyDescent="0.3">
      <c r="A709" s="1">
        <v>44804</v>
      </c>
      <c r="B709" t="s">
        <v>23</v>
      </c>
      <c r="C709" t="s">
        <v>13</v>
      </c>
      <c r="D709" t="s">
        <v>14</v>
      </c>
      <c r="E709">
        <v>18</v>
      </c>
      <c r="F709">
        <v>7384.05</v>
      </c>
      <c r="G709" t="s">
        <v>20</v>
      </c>
      <c r="H709">
        <v>2</v>
      </c>
      <c r="I709">
        <v>2723.95</v>
      </c>
      <c r="J709">
        <v>4660.1000000000004</v>
      </c>
      <c r="K709" t="s">
        <v>64</v>
      </c>
      <c r="L709" t="s">
        <v>61</v>
      </c>
      <c r="M709">
        <v>2022</v>
      </c>
      <c r="N709" t="s">
        <v>44</v>
      </c>
    </row>
    <row r="710" spans="1:14" x14ac:dyDescent="0.3">
      <c r="A710" s="1">
        <v>44655</v>
      </c>
      <c r="B710" t="s">
        <v>31</v>
      </c>
      <c r="C710" t="s">
        <v>10</v>
      </c>
      <c r="D710" t="s">
        <v>28</v>
      </c>
      <c r="E710">
        <v>7</v>
      </c>
      <c r="F710">
        <v>766.28</v>
      </c>
      <c r="G710" t="s">
        <v>12</v>
      </c>
      <c r="H710">
        <v>5</v>
      </c>
      <c r="I710">
        <v>50.56</v>
      </c>
      <c r="J710">
        <v>715.72</v>
      </c>
      <c r="K710" t="s">
        <v>55</v>
      </c>
      <c r="L710" t="s">
        <v>51</v>
      </c>
      <c r="M710">
        <v>2022</v>
      </c>
      <c r="N710" t="s">
        <v>45</v>
      </c>
    </row>
    <row r="711" spans="1:14" x14ac:dyDescent="0.3">
      <c r="A711" s="1">
        <v>44743</v>
      </c>
      <c r="B711" t="s">
        <v>18</v>
      </c>
      <c r="C711" t="s">
        <v>13</v>
      </c>
      <c r="D711" t="s">
        <v>40</v>
      </c>
      <c r="E711">
        <v>8</v>
      </c>
      <c r="F711">
        <v>641.33000000000004</v>
      </c>
      <c r="G711" t="s">
        <v>12</v>
      </c>
      <c r="H711">
        <v>1</v>
      </c>
      <c r="I711">
        <v>1929.86</v>
      </c>
      <c r="J711">
        <v>-1288.53</v>
      </c>
      <c r="K711" t="s">
        <v>63</v>
      </c>
      <c r="L711" t="s">
        <v>61</v>
      </c>
      <c r="M711">
        <v>2022</v>
      </c>
      <c r="N711" t="s">
        <v>44</v>
      </c>
    </row>
    <row r="712" spans="1:14" x14ac:dyDescent="0.3">
      <c r="A712" s="1">
        <v>44651</v>
      </c>
      <c r="B712" t="s">
        <v>18</v>
      </c>
      <c r="C712" t="s">
        <v>16</v>
      </c>
      <c r="D712" t="s">
        <v>27</v>
      </c>
      <c r="E712">
        <v>37</v>
      </c>
      <c r="F712">
        <v>15698.68</v>
      </c>
      <c r="G712" t="s">
        <v>20</v>
      </c>
      <c r="H712">
        <v>5</v>
      </c>
      <c r="I712">
        <v>408.35</v>
      </c>
      <c r="J712">
        <v>15290.33</v>
      </c>
      <c r="K712" t="s">
        <v>52</v>
      </c>
      <c r="L712" t="s">
        <v>53</v>
      </c>
      <c r="M712">
        <v>2022</v>
      </c>
      <c r="N712" t="s">
        <v>45</v>
      </c>
    </row>
    <row r="713" spans="1:14" x14ac:dyDescent="0.3">
      <c r="A713" s="1">
        <v>45154</v>
      </c>
      <c r="B713" t="s">
        <v>9</v>
      </c>
      <c r="C713" t="s">
        <v>21</v>
      </c>
      <c r="D713" t="s">
        <v>33</v>
      </c>
      <c r="E713">
        <v>38</v>
      </c>
      <c r="F713">
        <v>3417.2</v>
      </c>
      <c r="G713" t="s">
        <v>20</v>
      </c>
      <c r="H713">
        <v>4</v>
      </c>
      <c r="I713">
        <v>3805.12</v>
      </c>
      <c r="J713">
        <v>-387.92</v>
      </c>
      <c r="K713" t="s">
        <v>64</v>
      </c>
      <c r="L713" t="s">
        <v>61</v>
      </c>
      <c r="M713">
        <v>2023</v>
      </c>
      <c r="N713" t="s">
        <v>44</v>
      </c>
    </row>
    <row r="714" spans="1:14" x14ac:dyDescent="0.3">
      <c r="A714" s="1">
        <v>45069</v>
      </c>
      <c r="B714" t="s">
        <v>15</v>
      </c>
      <c r="C714" t="s">
        <v>25</v>
      </c>
      <c r="D714" t="s">
        <v>39</v>
      </c>
      <c r="E714">
        <v>38</v>
      </c>
      <c r="F714">
        <v>7911.73</v>
      </c>
      <c r="G714" t="s">
        <v>12</v>
      </c>
      <c r="H714">
        <v>2</v>
      </c>
      <c r="I714">
        <v>8214.58</v>
      </c>
      <c r="J714">
        <v>-302.85000000000002</v>
      </c>
      <c r="K714" t="s">
        <v>56</v>
      </c>
      <c r="L714" t="s">
        <v>51</v>
      </c>
      <c r="M714">
        <v>2023</v>
      </c>
      <c r="N714" t="s">
        <v>47</v>
      </c>
    </row>
    <row r="715" spans="1:14" x14ac:dyDescent="0.3">
      <c r="A715" s="1">
        <v>44966</v>
      </c>
      <c r="B715" t="s">
        <v>9</v>
      </c>
      <c r="C715" t="s">
        <v>13</v>
      </c>
      <c r="D715" t="s">
        <v>19</v>
      </c>
      <c r="E715">
        <v>33</v>
      </c>
      <c r="F715">
        <v>2549.46</v>
      </c>
      <c r="G715" t="s">
        <v>12</v>
      </c>
      <c r="H715">
        <v>1</v>
      </c>
      <c r="I715">
        <v>6177.39</v>
      </c>
      <c r="J715">
        <v>-3627.93</v>
      </c>
      <c r="K715" t="s">
        <v>54</v>
      </c>
      <c r="L715" t="s">
        <v>53</v>
      </c>
      <c r="M715">
        <v>2023</v>
      </c>
      <c r="N715" t="s">
        <v>47</v>
      </c>
    </row>
    <row r="716" spans="1:14" x14ac:dyDescent="0.3">
      <c r="A716" s="1">
        <v>44734</v>
      </c>
      <c r="B716" t="s">
        <v>9</v>
      </c>
      <c r="C716" t="s">
        <v>21</v>
      </c>
      <c r="D716" t="s">
        <v>36</v>
      </c>
      <c r="E716">
        <v>36</v>
      </c>
      <c r="F716">
        <v>9531.73</v>
      </c>
      <c r="G716" t="s">
        <v>20</v>
      </c>
      <c r="H716">
        <v>1</v>
      </c>
      <c r="I716">
        <v>7991.56</v>
      </c>
      <c r="J716">
        <v>1540.17</v>
      </c>
      <c r="K716" t="s">
        <v>50</v>
      </c>
      <c r="L716" t="s">
        <v>51</v>
      </c>
      <c r="M716">
        <v>2022</v>
      </c>
      <c r="N716" t="s">
        <v>44</v>
      </c>
    </row>
    <row r="717" spans="1:14" x14ac:dyDescent="0.3">
      <c r="A717" s="1">
        <v>44830</v>
      </c>
      <c r="B717" t="s">
        <v>23</v>
      </c>
      <c r="C717" t="s">
        <v>25</v>
      </c>
      <c r="D717" t="s">
        <v>38</v>
      </c>
      <c r="E717">
        <v>5</v>
      </c>
      <c r="F717">
        <v>1071.25</v>
      </c>
      <c r="G717" t="s">
        <v>12</v>
      </c>
      <c r="H717">
        <v>1</v>
      </c>
      <c r="I717">
        <v>1063.0999999999999</v>
      </c>
      <c r="J717">
        <v>8.15</v>
      </c>
      <c r="K717" t="s">
        <v>60</v>
      </c>
      <c r="L717" t="s">
        <v>61</v>
      </c>
      <c r="M717">
        <v>2022</v>
      </c>
      <c r="N717" t="s">
        <v>45</v>
      </c>
    </row>
    <row r="718" spans="1:14" x14ac:dyDescent="0.3">
      <c r="A718" s="1">
        <v>45042</v>
      </c>
      <c r="B718" t="s">
        <v>9</v>
      </c>
      <c r="C718" t="s">
        <v>16</v>
      </c>
      <c r="D718" t="s">
        <v>17</v>
      </c>
      <c r="E718">
        <v>30</v>
      </c>
      <c r="F718">
        <v>6835.99</v>
      </c>
      <c r="G718" t="s">
        <v>12</v>
      </c>
      <c r="H718">
        <v>4</v>
      </c>
      <c r="I718">
        <v>5657.65</v>
      </c>
      <c r="J718">
        <v>1178.3399999999999</v>
      </c>
      <c r="K718" t="s">
        <v>55</v>
      </c>
      <c r="L718" t="s">
        <v>51</v>
      </c>
      <c r="M718">
        <v>2023</v>
      </c>
      <c r="N718" t="s">
        <v>45</v>
      </c>
    </row>
    <row r="719" spans="1:14" x14ac:dyDescent="0.3">
      <c r="A719" s="1">
        <v>45077</v>
      </c>
      <c r="B719" t="s">
        <v>31</v>
      </c>
      <c r="C719" t="s">
        <v>21</v>
      </c>
      <c r="D719" t="s">
        <v>22</v>
      </c>
      <c r="E719">
        <v>15</v>
      </c>
      <c r="F719">
        <v>2921</v>
      </c>
      <c r="G719" t="s">
        <v>12</v>
      </c>
      <c r="H719">
        <v>1</v>
      </c>
      <c r="I719">
        <v>100.31</v>
      </c>
      <c r="J719">
        <v>2820.69</v>
      </c>
      <c r="K719" t="s">
        <v>56</v>
      </c>
      <c r="L719" t="s">
        <v>51</v>
      </c>
      <c r="M719">
        <v>2023</v>
      </c>
      <c r="N719" t="s">
        <v>44</v>
      </c>
    </row>
    <row r="720" spans="1:14" x14ac:dyDescent="0.3">
      <c r="A720" s="1">
        <v>44846</v>
      </c>
      <c r="B720" t="s">
        <v>18</v>
      </c>
      <c r="C720" t="s">
        <v>25</v>
      </c>
      <c r="D720" t="s">
        <v>26</v>
      </c>
      <c r="E720">
        <v>20</v>
      </c>
      <c r="F720">
        <v>4070.52</v>
      </c>
      <c r="G720" t="s">
        <v>12</v>
      </c>
      <c r="H720">
        <v>2</v>
      </c>
      <c r="I720">
        <v>939.07</v>
      </c>
      <c r="J720">
        <v>3131.45</v>
      </c>
      <c r="K720" t="s">
        <v>62</v>
      </c>
      <c r="L720" t="s">
        <v>59</v>
      </c>
      <c r="M720">
        <v>2022</v>
      </c>
      <c r="N720" t="s">
        <v>44</v>
      </c>
    </row>
    <row r="721" spans="1:14" x14ac:dyDescent="0.3">
      <c r="A721" s="1">
        <v>45262</v>
      </c>
      <c r="B721" t="s">
        <v>23</v>
      </c>
      <c r="C721" t="s">
        <v>21</v>
      </c>
      <c r="D721" t="s">
        <v>32</v>
      </c>
      <c r="E721">
        <v>30</v>
      </c>
      <c r="F721">
        <v>9780.7000000000007</v>
      </c>
      <c r="G721" t="s">
        <v>20</v>
      </c>
      <c r="H721">
        <v>1</v>
      </c>
      <c r="I721">
        <v>4621.88</v>
      </c>
      <c r="J721">
        <v>5158.82</v>
      </c>
      <c r="K721" t="s">
        <v>58</v>
      </c>
      <c r="L721" t="s">
        <v>59</v>
      </c>
      <c r="M721">
        <v>2023</v>
      </c>
      <c r="N721" t="s">
        <v>45</v>
      </c>
    </row>
    <row r="722" spans="1:14" x14ac:dyDescent="0.3">
      <c r="A722" s="1">
        <v>44730</v>
      </c>
      <c r="B722" t="s">
        <v>9</v>
      </c>
      <c r="C722" t="s">
        <v>16</v>
      </c>
      <c r="D722" t="s">
        <v>17</v>
      </c>
      <c r="E722">
        <v>20</v>
      </c>
      <c r="F722">
        <v>3015.63</v>
      </c>
      <c r="G722" t="s">
        <v>20</v>
      </c>
      <c r="H722">
        <v>4</v>
      </c>
      <c r="I722">
        <v>1012.49</v>
      </c>
      <c r="J722">
        <v>2003.14</v>
      </c>
      <c r="K722" t="s">
        <v>50</v>
      </c>
      <c r="L722" t="s">
        <v>51</v>
      </c>
      <c r="M722">
        <v>2022</v>
      </c>
      <c r="N722" t="s">
        <v>44</v>
      </c>
    </row>
    <row r="723" spans="1:14" x14ac:dyDescent="0.3">
      <c r="A723" s="1">
        <v>45246</v>
      </c>
      <c r="B723" t="s">
        <v>23</v>
      </c>
      <c r="C723" t="s">
        <v>10</v>
      </c>
      <c r="D723" t="s">
        <v>35</v>
      </c>
      <c r="E723">
        <v>23</v>
      </c>
      <c r="F723">
        <v>560.33000000000004</v>
      </c>
      <c r="G723" t="s">
        <v>20</v>
      </c>
      <c r="H723">
        <v>5</v>
      </c>
      <c r="I723">
        <v>2523.94</v>
      </c>
      <c r="J723">
        <v>-1963.61</v>
      </c>
      <c r="K723" t="s">
        <v>65</v>
      </c>
      <c r="L723" t="s">
        <v>59</v>
      </c>
      <c r="M723">
        <v>2023</v>
      </c>
      <c r="N723" t="s">
        <v>44</v>
      </c>
    </row>
    <row r="724" spans="1:14" x14ac:dyDescent="0.3">
      <c r="A724" s="1">
        <v>45190</v>
      </c>
      <c r="B724" t="s">
        <v>23</v>
      </c>
      <c r="C724" t="s">
        <v>10</v>
      </c>
      <c r="D724" t="s">
        <v>34</v>
      </c>
      <c r="E724">
        <v>43</v>
      </c>
      <c r="F724">
        <v>21391.87</v>
      </c>
      <c r="G724" t="s">
        <v>20</v>
      </c>
      <c r="H724">
        <v>4</v>
      </c>
      <c r="I724">
        <v>3076.41</v>
      </c>
      <c r="J724">
        <v>18315.46</v>
      </c>
      <c r="K724" t="s">
        <v>60</v>
      </c>
      <c r="L724" t="s">
        <v>61</v>
      </c>
      <c r="M724">
        <v>2023</v>
      </c>
      <c r="N724" t="s">
        <v>45</v>
      </c>
    </row>
    <row r="725" spans="1:14" x14ac:dyDescent="0.3">
      <c r="A725" s="1">
        <v>44836</v>
      </c>
      <c r="B725" t="s">
        <v>23</v>
      </c>
      <c r="C725" t="s">
        <v>21</v>
      </c>
      <c r="D725" t="s">
        <v>22</v>
      </c>
      <c r="E725">
        <v>42</v>
      </c>
      <c r="F725">
        <v>10033.91</v>
      </c>
      <c r="G725" t="s">
        <v>12</v>
      </c>
      <c r="H725">
        <v>1</v>
      </c>
      <c r="I725">
        <v>2375.9499999999998</v>
      </c>
      <c r="J725">
        <v>7657.96</v>
      </c>
      <c r="K725" t="s">
        <v>62</v>
      </c>
      <c r="L725" t="s">
        <v>59</v>
      </c>
      <c r="M725">
        <v>2022</v>
      </c>
      <c r="N725" t="s">
        <v>45</v>
      </c>
    </row>
    <row r="726" spans="1:14" x14ac:dyDescent="0.3">
      <c r="A726" s="1">
        <v>44783</v>
      </c>
      <c r="B726" t="s">
        <v>9</v>
      </c>
      <c r="C726" t="s">
        <v>13</v>
      </c>
      <c r="D726" t="s">
        <v>40</v>
      </c>
      <c r="E726">
        <v>38</v>
      </c>
      <c r="F726">
        <v>18134.490000000002</v>
      </c>
      <c r="G726" t="s">
        <v>12</v>
      </c>
      <c r="H726">
        <v>1</v>
      </c>
      <c r="I726">
        <v>5214.59</v>
      </c>
      <c r="J726">
        <v>12919.9</v>
      </c>
      <c r="K726" t="s">
        <v>64</v>
      </c>
      <c r="L726" t="s">
        <v>61</v>
      </c>
      <c r="M726">
        <v>2022</v>
      </c>
      <c r="N726" t="s">
        <v>45</v>
      </c>
    </row>
    <row r="727" spans="1:14" x14ac:dyDescent="0.3">
      <c r="A727" s="1">
        <v>45267</v>
      </c>
      <c r="B727" t="s">
        <v>31</v>
      </c>
      <c r="C727" t="s">
        <v>16</v>
      </c>
      <c r="D727" t="s">
        <v>24</v>
      </c>
      <c r="E727">
        <v>6</v>
      </c>
      <c r="F727">
        <v>514.03</v>
      </c>
      <c r="G727" t="s">
        <v>20</v>
      </c>
      <c r="H727">
        <v>3</v>
      </c>
      <c r="I727">
        <v>321.38</v>
      </c>
      <c r="J727">
        <v>192.65</v>
      </c>
      <c r="K727" t="s">
        <v>58</v>
      </c>
      <c r="L727" t="s">
        <v>59</v>
      </c>
      <c r="M727">
        <v>2023</v>
      </c>
      <c r="N727" t="s">
        <v>44</v>
      </c>
    </row>
    <row r="728" spans="1:14" x14ac:dyDescent="0.3">
      <c r="A728" s="1">
        <v>44825</v>
      </c>
      <c r="B728" t="s">
        <v>23</v>
      </c>
      <c r="C728" t="s">
        <v>13</v>
      </c>
      <c r="D728" t="s">
        <v>40</v>
      </c>
      <c r="E728">
        <v>46</v>
      </c>
      <c r="F728">
        <v>10885.92</v>
      </c>
      <c r="G728" t="s">
        <v>12</v>
      </c>
      <c r="H728">
        <v>4</v>
      </c>
      <c r="I728">
        <v>1273.3900000000001</v>
      </c>
      <c r="J728">
        <v>9612.5300000000007</v>
      </c>
      <c r="K728" t="s">
        <v>60</v>
      </c>
      <c r="L728" t="s">
        <v>61</v>
      </c>
      <c r="M728">
        <v>2022</v>
      </c>
      <c r="N728" t="s">
        <v>47</v>
      </c>
    </row>
    <row r="729" spans="1:14" x14ac:dyDescent="0.3">
      <c r="A729" s="1">
        <v>45085</v>
      </c>
      <c r="B729" t="s">
        <v>18</v>
      </c>
      <c r="C729" t="s">
        <v>25</v>
      </c>
      <c r="D729" t="s">
        <v>39</v>
      </c>
      <c r="E729">
        <v>49</v>
      </c>
      <c r="F729">
        <v>13766.18</v>
      </c>
      <c r="G729" t="s">
        <v>12</v>
      </c>
      <c r="H729">
        <v>4</v>
      </c>
      <c r="I729">
        <v>5836.17</v>
      </c>
      <c r="J729">
        <v>7930.01</v>
      </c>
      <c r="K729" t="s">
        <v>50</v>
      </c>
      <c r="L729" t="s">
        <v>51</v>
      </c>
      <c r="M729">
        <v>2023</v>
      </c>
      <c r="N729" t="s">
        <v>44</v>
      </c>
    </row>
    <row r="730" spans="1:14" x14ac:dyDescent="0.3">
      <c r="A730" s="1">
        <v>44841</v>
      </c>
      <c r="B730" t="s">
        <v>9</v>
      </c>
      <c r="C730" t="s">
        <v>10</v>
      </c>
      <c r="D730" t="s">
        <v>28</v>
      </c>
      <c r="E730">
        <v>7</v>
      </c>
      <c r="F730">
        <v>2064.64</v>
      </c>
      <c r="G730" t="s">
        <v>12</v>
      </c>
      <c r="H730">
        <v>4</v>
      </c>
      <c r="I730">
        <v>507.33</v>
      </c>
      <c r="J730">
        <v>1557.31</v>
      </c>
      <c r="K730" t="s">
        <v>62</v>
      </c>
      <c r="L730" t="s">
        <v>59</v>
      </c>
      <c r="M730">
        <v>2022</v>
      </c>
      <c r="N730" t="s">
        <v>44</v>
      </c>
    </row>
    <row r="731" spans="1:14" x14ac:dyDescent="0.3">
      <c r="A731" s="1">
        <v>44903</v>
      </c>
      <c r="B731" t="s">
        <v>31</v>
      </c>
      <c r="C731" t="s">
        <v>10</v>
      </c>
      <c r="D731" t="s">
        <v>35</v>
      </c>
      <c r="E731">
        <v>20</v>
      </c>
      <c r="F731">
        <v>7465.54</v>
      </c>
      <c r="G731" t="s">
        <v>20</v>
      </c>
      <c r="H731">
        <v>2</v>
      </c>
      <c r="I731">
        <v>4515.5600000000004</v>
      </c>
      <c r="J731">
        <v>2949.98</v>
      </c>
      <c r="K731" t="s">
        <v>58</v>
      </c>
      <c r="L731" t="s">
        <v>59</v>
      </c>
      <c r="M731">
        <v>2022</v>
      </c>
      <c r="N731" t="s">
        <v>44</v>
      </c>
    </row>
    <row r="732" spans="1:14" x14ac:dyDescent="0.3">
      <c r="A732" s="1">
        <v>45040</v>
      </c>
      <c r="B732" t="s">
        <v>9</v>
      </c>
      <c r="C732" t="s">
        <v>10</v>
      </c>
      <c r="D732" t="s">
        <v>35</v>
      </c>
      <c r="E732">
        <v>14</v>
      </c>
      <c r="F732">
        <v>5370.02</v>
      </c>
      <c r="G732" t="s">
        <v>12</v>
      </c>
      <c r="H732">
        <v>1</v>
      </c>
      <c r="I732">
        <v>2017.13</v>
      </c>
      <c r="J732">
        <v>3352.89</v>
      </c>
      <c r="K732" t="s">
        <v>55</v>
      </c>
      <c r="L732" t="s">
        <v>51</v>
      </c>
      <c r="M732">
        <v>2023</v>
      </c>
      <c r="N732" t="s">
        <v>47</v>
      </c>
    </row>
    <row r="733" spans="1:14" x14ac:dyDescent="0.3">
      <c r="A733" s="1">
        <v>44825</v>
      </c>
      <c r="B733" t="s">
        <v>15</v>
      </c>
      <c r="C733" t="s">
        <v>13</v>
      </c>
      <c r="D733" t="s">
        <v>19</v>
      </c>
      <c r="E733">
        <v>2</v>
      </c>
      <c r="F733">
        <v>418.36</v>
      </c>
      <c r="G733" t="s">
        <v>12</v>
      </c>
      <c r="H733">
        <v>1</v>
      </c>
      <c r="I733">
        <v>132.46</v>
      </c>
      <c r="J733">
        <v>285.89999999999998</v>
      </c>
      <c r="K733" t="s">
        <v>60</v>
      </c>
      <c r="L733" t="s">
        <v>61</v>
      </c>
      <c r="M733">
        <v>2022</v>
      </c>
      <c r="N733" t="s">
        <v>45</v>
      </c>
    </row>
    <row r="734" spans="1:14" x14ac:dyDescent="0.3">
      <c r="A734" s="1">
        <v>45107</v>
      </c>
      <c r="B734" t="s">
        <v>9</v>
      </c>
      <c r="C734" t="s">
        <v>25</v>
      </c>
      <c r="D734" t="s">
        <v>30</v>
      </c>
      <c r="E734">
        <v>11</v>
      </c>
      <c r="F734">
        <v>1881.67</v>
      </c>
      <c r="G734" t="s">
        <v>12</v>
      </c>
      <c r="H734">
        <v>4</v>
      </c>
      <c r="I734">
        <v>1001.36</v>
      </c>
      <c r="J734">
        <v>880.31</v>
      </c>
      <c r="K734" t="s">
        <v>50</v>
      </c>
      <c r="L734" t="s">
        <v>51</v>
      </c>
      <c r="M734">
        <v>2023</v>
      </c>
      <c r="N734" t="s">
        <v>47</v>
      </c>
    </row>
    <row r="735" spans="1:14" x14ac:dyDescent="0.3">
      <c r="A735" s="1">
        <v>45237</v>
      </c>
      <c r="B735" t="s">
        <v>18</v>
      </c>
      <c r="C735" t="s">
        <v>21</v>
      </c>
      <c r="D735" t="s">
        <v>33</v>
      </c>
      <c r="E735">
        <v>43</v>
      </c>
      <c r="F735">
        <v>17439.509999999998</v>
      </c>
      <c r="G735" t="s">
        <v>20</v>
      </c>
      <c r="H735">
        <v>4</v>
      </c>
      <c r="I735">
        <v>10505.51</v>
      </c>
      <c r="J735">
        <v>6934</v>
      </c>
      <c r="K735" t="s">
        <v>65</v>
      </c>
      <c r="L735" t="s">
        <v>59</v>
      </c>
      <c r="M735">
        <v>2023</v>
      </c>
      <c r="N735" t="s">
        <v>45</v>
      </c>
    </row>
    <row r="736" spans="1:14" x14ac:dyDescent="0.3">
      <c r="A736" s="1">
        <v>44736</v>
      </c>
      <c r="B736" t="s">
        <v>31</v>
      </c>
      <c r="C736" t="s">
        <v>10</v>
      </c>
      <c r="D736" t="s">
        <v>35</v>
      </c>
      <c r="E736">
        <v>2</v>
      </c>
      <c r="F736">
        <v>293.22000000000003</v>
      </c>
      <c r="G736" t="s">
        <v>20</v>
      </c>
      <c r="H736">
        <v>4</v>
      </c>
      <c r="I736">
        <v>417.62</v>
      </c>
      <c r="J736">
        <v>-124.4</v>
      </c>
      <c r="K736" t="s">
        <v>50</v>
      </c>
      <c r="L736" t="s">
        <v>51</v>
      </c>
      <c r="M736">
        <v>2022</v>
      </c>
      <c r="N736" t="s">
        <v>44</v>
      </c>
    </row>
    <row r="737" spans="1:14" x14ac:dyDescent="0.3">
      <c r="A737" s="1">
        <v>44759</v>
      </c>
      <c r="B737" t="s">
        <v>31</v>
      </c>
      <c r="C737" t="s">
        <v>10</v>
      </c>
      <c r="D737" t="s">
        <v>11</v>
      </c>
      <c r="E737">
        <v>38</v>
      </c>
      <c r="F737">
        <v>12598.33</v>
      </c>
      <c r="G737" t="s">
        <v>20</v>
      </c>
      <c r="H737">
        <v>4</v>
      </c>
      <c r="I737">
        <v>6459.65</v>
      </c>
      <c r="J737">
        <v>6138.68</v>
      </c>
      <c r="K737" t="s">
        <v>63</v>
      </c>
      <c r="L737" t="s">
        <v>61</v>
      </c>
      <c r="M737">
        <v>2022</v>
      </c>
      <c r="N737" t="s">
        <v>44</v>
      </c>
    </row>
    <row r="738" spans="1:14" x14ac:dyDescent="0.3">
      <c r="A738" s="1">
        <v>44931</v>
      </c>
      <c r="B738" t="s">
        <v>31</v>
      </c>
      <c r="C738" t="s">
        <v>21</v>
      </c>
      <c r="D738" t="s">
        <v>33</v>
      </c>
      <c r="E738">
        <v>3</v>
      </c>
      <c r="F738">
        <v>805.36</v>
      </c>
      <c r="G738" t="s">
        <v>12</v>
      </c>
      <c r="H738">
        <v>1</v>
      </c>
      <c r="I738">
        <v>411.46</v>
      </c>
      <c r="J738">
        <v>393.9</v>
      </c>
      <c r="K738" t="s">
        <v>57</v>
      </c>
      <c r="L738" t="s">
        <v>53</v>
      </c>
      <c r="M738">
        <v>2023</v>
      </c>
      <c r="N738" t="s">
        <v>47</v>
      </c>
    </row>
    <row r="739" spans="1:14" x14ac:dyDescent="0.3">
      <c r="A739" s="1">
        <v>44949</v>
      </c>
      <c r="B739" t="s">
        <v>23</v>
      </c>
      <c r="C739" t="s">
        <v>25</v>
      </c>
      <c r="D739" t="s">
        <v>26</v>
      </c>
      <c r="E739">
        <v>43</v>
      </c>
      <c r="F739">
        <v>6104.09</v>
      </c>
      <c r="G739" t="s">
        <v>12</v>
      </c>
      <c r="H739">
        <v>4</v>
      </c>
      <c r="I739">
        <v>6239.74</v>
      </c>
      <c r="J739">
        <v>-135.65</v>
      </c>
      <c r="K739" t="s">
        <v>57</v>
      </c>
      <c r="L739" t="s">
        <v>53</v>
      </c>
      <c r="M739">
        <v>2023</v>
      </c>
      <c r="N739" t="s">
        <v>47</v>
      </c>
    </row>
    <row r="740" spans="1:14" x14ac:dyDescent="0.3">
      <c r="A740" s="1">
        <v>44639</v>
      </c>
      <c r="B740" t="s">
        <v>9</v>
      </c>
      <c r="C740" t="s">
        <v>16</v>
      </c>
      <c r="D740" t="s">
        <v>17</v>
      </c>
      <c r="E740">
        <v>33</v>
      </c>
      <c r="F740">
        <v>2748.76</v>
      </c>
      <c r="G740" t="s">
        <v>20</v>
      </c>
      <c r="H740">
        <v>2</v>
      </c>
      <c r="I740">
        <v>3428.72</v>
      </c>
      <c r="J740">
        <v>-679.96</v>
      </c>
      <c r="K740" t="s">
        <v>52</v>
      </c>
      <c r="L740" t="s">
        <v>53</v>
      </c>
      <c r="M740">
        <v>2022</v>
      </c>
      <c r="N740" t="s">
        <v>44</v>
      </c>
    </row>
    <row r="741" spans="1:14" x14ac:dyDescent="0.3">
      <c r="A741" s="1">
        <v>45118</v>
      </c>
      <c r="B741" t="s">
        <v>9</v>
      </c>
      <c r="C741" t="s">
        <v>21</v>
      </c>
      <c r="D741" t="s">
        <v>22</v>
      </c>
      <c r="E741">
        <v>38</v>
      </c>
      <c r="F741">
        <v>14911.37</v>
      </c>
      <c r="G741" t="s">
        <v>12</v>
      </c>
      <c r="H741">
        <v>1</v>
      </c>
      <c r="I741">
        <v>577.54</v>
      </c>
      <c r="J741">
        <v>14333.83</v>
      </c>
      <c r="K741" t="s">
        <v>63</v>
      </c>
      <c r="L741" t="s">
        <v>61</v>
      </c>
      <c r="M741">
        <v>2023</v>
      </c>
      <c r="N741" t="s">
        <v>44</v>
      </c>
    </row>
    <row r="742" spans="1:14" x14ac:dyDescent="0.3">
      <c r="A742" s="1">
        <v>44595</v>
      </c>
      <c r="B742" t="s">
        <v>9</v>
      </c>
      <c r="C742" t="s">
        <v>16</v>
      </c>
      <c r="D742" t="s">
        <v>17</v>
      </c>
      <c r="E742">
        <v>1</v>
      </c>
      <c r="F742">
        <v>118.91</v>
      </c>
      <c r="G742" t="s">
        <v>12</v>
      </c>
      <c r="H742">
        <v>3</v>
      </c>
      <c r="I742">
        <v>200.77</v>
      </c>
      <c r="J742">
        <v>-81.86</v>
      </c>
      <c r="K742" t="s">
        <v>54</v>
      </c>
      <c r="L742" t="s">
        <v>53</v>
      </c>
      <c r="M742">
        <v>2022</v>
      </c>
      <c r="N742" t="s">
        <v>45</v>
      </c>
    </row>
    <row r="743" spans="1:14" x14ac:dyDescent="0.3">
      <c r="A743" s="1">
        <v>45033</v>
      </c>
      <c r="B743" t="s">
        <v>31</v>
      </c>
      <c r="C743" t="s">
        <v>25</v>
      </c>
      <c r="D743" t="s">
        <v>39</v>
      </c>
      <c r="E743">
        <v>27</v>
      </c>
      <c r="F743">
        <v>2336.66</v>
      </c>
      <c r="G743" t="s">
        <v>12</v>
      </c>
      <c r="H743">
        <v>4</v>
      </c>
      <c r="I743">
        <v>5504.1</v>
      </c>
      <c r="J743">
        <v>-3167.44</v>
      </c>
      <c r="K743" t="s">
        <v>55</v>
      </c>
      <c r="L743" t="s">
        <v>51</v>
      </c>
      <c r="M743">
        <v>2023</v>
      </c>
      <c r="N743" t="s">
        <v>44</v>
      </c>
    </row>
    <row r="744" spans="1:14" x14ac:dyDescent="0.3">
      <c r="A744" s="1">
        <v>44944</v>
      </c>
      <c r="B744" t="s">
        <v>31</v>
      </c>
      <c r="C744" t="s">
        <v>16</v>
      </c>
      <c r="D744" t="s">
        <v>17</v>
      </c>
      <c r="E744">
        <v>40</v>
      </c>
      <c r="F744">
        <v>1284.3499999999999</v>
      </c>
      <c r="G744" t="s">
        <v>12</v>
      </c>
      <c r="H744">
        <v>2</v>
      </c>
      <c r="I744">
        <v>7578.82</v>
      </c>
      <c r="J744">
        <v>-6294.47</v>
      </c>
      <c r="K744" t="s">
        <v>57</v>
      </c>
      <c r="L744" t="s">
        <v>53</v>
      </c>
      <c r="M744">
        <v>2023</v>
      </c>
      <c r="N744" t="s">
        <v>46</v>
      </c>
    </row>
    <row r="745" spans="1:14" x14ac:dyDescent="0.3">
      <c r="A745" s="1">
        <v>44861</v>
      </c>
      <c r="B745" t="s">
        <v>15</v>
      </c>
      <c r="C745" t="s">
        <v>25</v>
      </c>
      <c r="D745" t="s">
        <v>26</v>
      </c>
      <c r="E745">
        <v>8</v>
      </c>
      <c r="F745">
        <v>1144.51</v>
      </c>
      <c r="G745" t="s">
        <v>12</v>
      </c>
      <c r="H745">
        <v>3</v>
      </c>
      <c r="I745">
        <v>1828.1</v>
      </c>
      <c r="J745">
        <v>-683.59</v>
      </c>
      <c r="K745" t="s">
        <v>62</v>
      </c>
      <c r="L745" t="s">
        <v>59</v>
      </c>
      <c r="M745">
        <v>2022</v>
      </c>
      <c r="N745" t="s">
        <v>44</v>
      </c>
    </row>
    <row r="746" spans="1:14" x14ac:dyDescent="0.3">
      <c r="A746" s="1">
        <v>45160</v>
      </c>
      <c r="B746" t="s">
        <v>9</v>
      </c>
      <c r="C746" t="s">
        <v>13</v>
      </c>
      <c r="D746" t="s">
        <v>19</v>
      </c>
      <c r="E746">
        <v>40</v>
      </c>
      <c r="F746">
        <v>16892.509999999998</v>
      </c>
      <c r="G746" t="s">
        <v>20</v>
      </c>
      <c r="H746">
        <v>4</v>
      </c>
      <c r="I746">
        <v>5666.23</v>
      </c>
      <c r="J746">
        <v>11226.28</v>
      </c>
      <c r="K746" t="s">
        <v>64</v>
      </c>
      <c r="L746" t="s">
        <v>61</v>
      </c>
      <c r="M746">
        <v>2023</v>
      </c>
      <c r="N746" t="s">
        <v>44</v>
      </c>
    </row>
    <row r="747" spans="1:14" x14ac:dyDescent="0.3">
      <c r="A747" s="1">
        <v>44765</v>
      </c>
      <c r="B747" t="s">
        <v>15</v>
      </c>
      <c r="C747" t="s">
        <v>10</v>
      </c>
      <c r="D747" t="s">
        <v>35</v>
      </c>
      <c r="E747">
        <v>45</v>
      </c>
      <c r="F747">
        <v>10946.02</v>
      </c>
      <c r="G747" t="s">
        <v>12</v>
      </c>
      <c r="H747">
        <v>2</v>
      </c>
      <c r="I747">
        <v>4866.58</v>
      </c>
      <c r="J747">
        <v>6079.44</v>
      </c>
      <c r="K747" t="s">
        <v>63</v>
      </c>
      <c r="L747" t="s">
        <v>61</v>
      </c>
      <c r="M747">
        <v>2022</v>
      </c>
      <c r="N747" t="s">
        <v>46</v>
      </c>
    </row>
    <row r="748" spans="1:14" x14ac:dyDescent="0.3">
      <c r="A748" s="1">
        <v>45009</v>
      </c>
      <c r="B748" t="s">
        <v>15</v>
      </c>
      <c r="C748" t="s">
        <v>21</v>
      </c>
      <c r="D748" t="s">
        <v>22</v>
      </c>
      <c r="E748">
        <v>24</v>
      </c>
      <c r="F748">
        <v>7182.93</v>
      </c>
      <c r="G748" t="s">
        <v>12</v>
      </c>
      <c r="H748">
        <v>1</v>
      </c>
      <c r="I748">
        <v>825.5</v>
      </c>
      <c r="J748">
        <v>6357.43</v>
      </c>
      <c r="K748" t="s">
        <v>52</v>
      </c>
      <c r="L748" t="s">
        <v>53</v>
      </c>
      <c r="M748">
        <v>2023</v>
      </c>
      <c r="N748" t="s">
        <v>44</v>
      </c>
    </row>
    <row r="749" spans="1:14" x14ac:dyDescent="0.3">
      <c r="A749" s="1">
        <v>44719</v>
      </c>
      <c r="B749" t="s">
        <v>15</v>
      </c>
      <c r="C749" t="s">
        <v>21</v>
      </c>
      <c r="D749" t="s">
        <v>22</v>
      </c>
      <c r="E749">
        <v>29</v>
      </c>
      <c r="F749">
        <v>13023.01</v>
      </c>
      <c r="G749" t="s">
        <v>20</v>
      </c>
      <c r="H749">
        <v>5</v>
      </c>
      <c r="I749">
        <v>920.13</v>
      </c>
      <c r="J749">
        <v>12102.88</v>
      </c>
      <c r="K749" t="s">
        <v>50</v>
      </c>
      <c r="L749" t="s">
        <v>51</v>
      </c>
      <c r="M749">
        <v>2022</v>
      </c>
      <c r="N749" t="s">
        <v>47</v>
      </c>
    </row>
    <row r="750" spans="1:14" x14ac:dyDescent="0.3">
      <c r="A750" s="1">
        <v>44620</v>
      </c>
      <c r="B750" t="s">
        <v>23</v>
      </c>
      <c r="C750" t="s">
        <v>10</v>
      </c>
      <c r="D750" t="s">
        <v>34</v>
      </c>
      <c r="E750">
        <v>38</v>
      </c>
      <c r="F750">
        <v>18064.490000000002</v>
      </c>
      <c r="G750" t="s">
        <v>12</v>
      </c>
      <c r="H750">
        <v>5</v>
      </c>
      <c r="I750">
        <v>722.35</v>
      </c>
      <c r="J750">
        <v>17342.14</v>
      </c>
      <c r="K750" t="s">
        <v>54</v>
      </c>
      <c r="L750" t="s">
        <v>53</v>
      </c>
      <c r="M750">
        <v>2022</v>
      </c>
      <c r="N750" t="s">
        <v>44</v>
      </c>
    </row>
    <row r="751" spans="1:14" x14ac:dyDescent="0.3">
      <c r="A751" s="1">
        <v>44653</v>
      </c>
      <c r="B751" t="s">
        <v>9</v>
      </c>
      <c r="C751" t="s">
        <v>21</v>
      </c>
      <c r="D751" t="s">
        <v>32</v>
      </c>
      <c r="E751">
        <v>28</v>
      </c>
      <c r="F751">
        <v>1255.78</v>
      </c>
      <c r="G751" t="s">
        <v>12</v>
      </c>
      <c r="H751">
        <v>3</v>
      </c>
      <c r="I751">
        <v>2895.64</v>
      </c>
      <c r="J751">
        <v>-1639.86</v>
      </c>
      <c r="K751" t="s">
        <v>55</v>
      </c>
      <c r="L751" t="s">
        <v>51</v>
      </c>
      <c r="M751">
        <v>2022</v>
      </c>
      <c r="N751" t="s">
        <v>46</v>
      </c>
    </row>
    <row r="752" spans="1:14" x14ac:dyDescent="0.3">
      <c r="A752" s="1">
        <v>44754</v>
      </c>
      <c r="B752" t="s">
        <v>9</v>
      </c>
      <c r="C752" t="s">
        <v>16</v>
      </c>
      <c r="D752" t="s">
        <v>27</v>
      </c>
      <c r="E752">
        <v>19</v>
      </c>
      <c r="F752">
        <v>5955.63</v>
      </c>
      <c r="G752" t="s">
        <v>20</v>
      </c>
      <c r="H752">
        <v>1</v>
      </c>
      <c r="I752">
        <v>3582.68</v>
      </c>
      <c r="J752">
        <v>2372.9499999999998</v>
      </c>
      <c r="K752" t="s">
        <v>63</v>
      </c>
      <c r="L752" t="s">
        <v>61</v>
      </c>
      <c r="M752">
        <v>2022</v>
      </c>
      <c r="N752" t="s">
        <v>44</v>
      </c>
    </row>
    <row r="753" spans="1:14" x14ac:dyDescent="0.3">
      <c r="A753" s="1">
        <v>44821</v>
      </c>
      <c r="B753" t="s">
        <v>18</v>
      </c>
      <c r="C753" t="s">
        <v>25</v>
      </c>
      <c r="D753" t="s">
        <v>26</v>
      </c>
      <c r="E753">
        <v>42</v>
      </c>
      <c r="F753">
        <v>1518.41</v>
      </c>
      <c r="G753" t="s">
        <v>20</v>
      </c>
      <c r="H753">
        <v>4</v>
      </c>
      <c r="I753">
        <v>6083.85</v>
      </c>
      <c r="J753">
        <v>-4565.4399999999996</v>
      </c>
      <c r="K753" t="s">
        <v>60</v>
      </c>
      <c r="L753" t="s">
        <v>61</v>
      </c>
      <c r="M753">
        <v>2022</v>
      </c>
      <c r="N753" t="s">
        <v>45</v>
      </c>
    </row>
    <row r="754" spans="1:14" x14ac:dyDescent="0.3">
      <c r="A754" s="1">
        <v>45098</v>
      </c>
      <c r="B754" t="s">
        <v>23</v>
      </c>
      <c r="C754" t="s">
        <v>25</v>
      </c>
      <c r="D754" t="s">
        <v>30</v>
      </c>
      <c r="E754">
        <v>17</v>
      </c>
      <c r="F754">
        <v>6876.35</v>
      </c>
      <c r="G754" t="s">
        <v>12</v>
      </c>
      <c r="H754">
        <v>1</v>
      </c>
      <c r="I754">
        <v>3104.81</v>
      </c>
      <c r="J754">
        <v>3771.54</v>
      </c>
      <c r="K754" t="s">
        <v>50</v>
      </c>
      <c r="L754" t="s">
        <v>51</v>
      </c>
      <c r="M754">
        <v>2023</v>
      </c>
      <c r="N754" t="s">
        <v>44</v>
      </c>
    </row>
    <row r="755" spans="1:14" x14ac:dyDescent="0.3">
      <c r="A755" s="1">
        <v>44571</v>
      </c>
      <c r="B755" t="s">
        <v>23</v>
      </c>
      <c r="C755" t="s">
        <v>13</v>
      </c>
      <c r="D755" t="s">
        <v>40</v>
      </c>
      <c r="E755">
        <v>30</v>
      </c>
      <c r="F755">
        <v>10964.35</v>
      </c>
      <c r="G755" t="s">
        <v>12</v>
      </c>
      <c r="H755">
        <v>5</v>
      </c>
      <c r="I755">
        <v>3922.96</v>
      </c>
      <c r="J755">
        <v>7041.39</v>
      </c>
      <c r="K755" t="s">
        <v>57</v>
      </c>
      <c r="L755" t="s">
        <v>53</v>
      </c>
      <c r="M755">
        <v>2022</v>
      </c>
      <c r="N755" t="s">
        <v>44</v>
      </c>
    </row>
    <row r="756" spans="1:14" x14ac:dyDescent="0.3">
      <c r="A756" s="1">
        <v>44889</v>
      </c>
      <c r="B756" t="s">
        <v>23</v>
      </c>
      <c r="C756" t="s">
        <v>21</v>
      </c>
      <c r="D756" t="s">
        <v>22</v>
      </c>
      <c r="E756">
        <v>40</v>
      </c>
      <c r="F756">
        <v>19933.34</v>
      </c>
      <c r="G756" t="s">
        <v>20</v>
      </c>
      <c r="H756">
        <v>4</v>
      </c>
      <c r="I756">
        <v>6505.43</v>
      </c>
      <c r="J756">
        <v>13427.91</v>
      </c>
      <c r="K756" t="s">
        <v>65</v>
      </c>
      <c r="L756" t="s">
        <v>59</v>
      </c>
      <c r="M756">
        <v>2022</v>
      </c>
      <c r="N756" t="s">
        <v>44</v>
      </c>
    </row>
    <row r="757" spans="1:14" x14ac:dyDescent="0.3">
      <c r="A757" s="1">
        <v>44981</v>
      </c>
      <c r="B757" t="s">
        <v>15</v>
      </c>
      <c r="C757" t="s">
        <v>16</v>
      </c>
      <c r="D757" t="s">
        <v>37</v>
      </c>
      <c r="E757">
        <v>32</v>
      </c>
      <c r="F757">
        <v>4450.3599999999997</v>
      </c>
      <c r="G757" t="s">
        <v>20</v>
      </c>
      <c r="H757">
        <v>3</v>
      </c>
      <c r="I757">
        <v>2534.54</v>
      </c>
      <c r="J757">
        <v>1915.82</v>
      </c>
      <c r="K757" t="s">
        <v>54</v>
      </c>
      <c r="L757" t="s">
        <v>53</v>
      </c>
      <c r="M757">
        <v>2023</v>
      </c>
      <c r="N757" t="s">
        <v>46</v>
      </c>
    </row>
    <row r="758" spans="1:14" x14ac:dyDescent="0.3">
      <c r="A758" s="1">
        <v>44859</v>
      </c>
      <c r="B758" t="s">
        <v>9</v>
      </c>
      <c r="C758" t="s">
        <v>13</v>
      </c>
      <c r="D758" t="s">
        <v>14</v>
      </c>
      <c r="E758">
        <v>15</v>
      </c>
      <c r="F758">
        <v>7372.62</v>
      </c>
      <c r="G758" t="s">
        <v>12</v>
      </c>
      <c r="H758">
        <v>2</v>
      </c>
      <c r="I758">
        <v>1385.73</v>
      </c>
      <c r="J758">
        <v>5986.89</v>
      </c>
      <c r="K758" t="s">
        <v>62</v>
      </c>
      <c r="L758" t="s">
        <v>59</v>
      </c>
      <c r="M758">
        <v>2022</v>
      </c>
      <c r="N758" t="s">
        <v>45</v>
      </c>
    </row>
    <row r="759" spans="1:14" x14ac:dyDescent="0.3">
      <c r="A759" s="1">
        <v>45027</v>
      </c>
      <c r="B759" t="s">
        <v>15</v>
      </c>
      <c r="C759" t="s">
        <v>13</v>
      </c>
      <c r="D759" t="s">
        <v>29</v>
      </c>
      <c r="E759">
        <v>13</v>
      </c>
      <c r="F759">
        <v>1800.46</v>
      </c>
      <c r="G759" t="s">
        <v>20</v>
      </c>
      <c r="H759">
        <v>5</v>
      </c>
      <c r="I759">
        <v>3073.05</v>
      </c>
      <c r="J759">
        <v>-1272.5899999999999</v>
      </c>
      <c r="K759" t="s">
        <v>55</v>
      </c>
      <c r="L759" t="s">
        <v>51</v>
      </c>
      <c r="M759">
        <v>2023</v>
      </c>
      <c r="N759" t="s">
        <v>44</v>
      </c>
    </row>
    <row r="760" spans="1:14" x14ac:dyDescent="0.3">
      <c r="A760" s="1">
        <v>45205</v>
      </c>
      <c r="B760" t="s">
        <v>31</v>
      </c>
      <c r="C760" t="s">
        <v>21</v>
      </c>
      <c r="D760" t="s">
        <v>22</v>
      </c>
      <c r="E760">
        <v>41</v>
      </c>
      <c r="F760">
        <v>9310.02</v>
      </c>
      <c r="G760" t="s">
        <v>12</v>
      </c>
      <c r="H760">
        <v>5</v>
      </c>
      <c r="I760">
        <v>2457.64</v>
      </c>
      <c r="J760">
        <v>6852.38</v>
      </c>
      <c r="K760" t="s">
        <v>62</v>
      </c>
      <c r="L760" t="s">
        <v>59</v>
      </c>
      <c r="M760">
        <v>2023</v>
      </c>
      <c r="N760" t="s">
        <v>44</v>
      </c>
    </row>
    <row r="761" spans="1:14" x14ac:dyDescent="0.3">
      <c r="A761" s="1">
        <v>44562</v>
      </c>
      <c r="B761" t="s">
        <v>23</v>
      </c>
      <c r="C761" t="s">
        <v>13</v>
      </c>
      <c r="D761" t="s">
        <v>14</v>
      </c>
      <c r="E761">
        <v>26</v>
      </c>
      <c r="F761">
        <v>10852.34</v>
      </c>
      <c r="G761" t="s">
        <v>12</v>
      </c>
      <c r="H761">
        <v>1</v>
      </c>
      <c r="I761">
        <v>5331.92</v>
      </c>
      <c r="J761">
        <v>5520.42</v>
      </c>
      <c r="K761" t="s">
        <v>57</v>
      </c>
      <c r="L761" t="s">
        <v>53</v>
      </c>
      <c r="M761">
        <v>2022</v>
      </c>
      <c r="N761" t="s">
        <v>46</v>
      </c>
    </row>
    <row r="762" spans="1:14" x14ac:dyDescent="0.3">
      <c r="A762" s="1">
        <v>44822</v>
      </c>
      <c r="B762" t="s">
        <v>9</v>
      </c>
      <c r="C762" t="s">
        <v>25</v>
      </c>
      <c r="D762" t="s">
        <v>38</v>
      </c>
      <c r="E762">
        <v>9</v>
      </c>
      <c r="F762">
        <v>2341.34</v>
      </c>
      <c r="G762" t="s">
        <v>20</v>
      </c>
      <c r="H762">
        <v>5</v>
      </c>
      <c r="I762">
        <v>1668.96</v>
      </c>
      <c r="J762">
        <v>672.38</v>
      </c>
      <c r="K762" t="s">
        <v>60</v>
      </c>
      <c r="L762" t="s">
        <v>61</v>
      </c>
      <c r="M762">
        <v>2022</v>
      </c>
      <c r="N762" t="s">
        <v>44</v>
      </c>
    </row>
    <row r="763" spans="1:14" x14ac:dyDescent="0.3">
      <c r="A763" s="1">
        <v>45026</v>
      </c>
      <c r="B763" t="s">
        <v>23</v>
      </c>
      <c r="C763" t="s">
        <v>16</v>
      </c>
      <c r="D763" t="s">
        <v>24</v>
      </c>
      <c r="E763">
        <v>48</v>
      </c>
      <c r="F763">
        <v>17297.86</v>
      </c>
      <c r="G763" t="s">
        <v>12</v>
      </c>
      <c r="H763">
        <v>5</v>
      </c>
      <c r="I763">
        <v>10840.25</v>
      </c>
      <c r="J763">
        <v>6457.61</v>
      </c>
      <c r="K763" t="s">
        <v>55</v>
      </c>
      <c r="L763" t="s">
        <v>51</v>
      </c>
      <c r="M763">
        <v>2023</v>
      </c>
      <c r="N763" t="s">
        <v>46</v>
      </c>
    </row>
    <row r="764" spans="1:14" x14ac:dyDescent="0.3">
      <c r="A764" s="1">
        <v>44663</v>
      </c>
      <c r="B764" t="s">
        <v>9</v>
      </c>
      <c r="C764" t="s">
        <v>25</v>
      </c>
      <c r="D764" t="s">
        <v>30</v>
      </c>
      <c r="E764">
        <v>7</v>
      </c>
      <c r="F764">
        <v>391.87</v>
      </c>
      <c r="G764" t="s">
        <v>12</v>
      </c>
      <c r="H764">
        <v>4</v>
      </c>
      <c r="I764">
        <v>812.74</v>
      </c>
      <c r="J764">
        <v>-420.87</v>
      </c>
      <c r="K764" t="s">
        <v>55</v>
      </c>
      <c r="L764" t="s">
        <v>51</v>
      </c>
      <c r="M764">
        <v>2022</v>
      </c>
      <c r="N764" t="s">
        <v>46</v>
      </c>
    </row>
    <row r="765" spans="1:14" x14ac:dyDescent="0.3">
      <c r="A765" s="1">
        <v>45063</v>
      </c>
      <c r="B765" t="s">
        <v>23</v>
      </c>
      <c r="C765" t="s">
        <v>16</v>
      </c>
      <c r="D765" t="s">
        <v>27</v>
      </c>
      <c r="E765">
        <v>24</v>
      </c>
      <c r="F765">
        <v>11929.28</v>
      </c>
      <c r="G765" t="s">
        <v>12</v>
      </c>
      <c r="H765">
        <v>1</v>
      </c>
      <c r="I765">
        <v>2368.75</v>
      </c>
      <c r="J765">
        <v>9560.5300000000007</v>
      </c>
      <c r="K765" t="s">
        <v>56</v>
      </c>
      <c r="L765" t="s">
        <v>51</v>
      </c>
      <c r="M765">
        <v>2023</v>
      </c>
      <c r="N765" t="s">
        <v>44</v>
      </c>
    </row>
    <row r="766" spans="1:14" x14ac:dyDescent="0.3">
      <c r="A766" s="1">
        <v>44788</v>
      </c>
      <c r="B766" t="s">
        <v>9</v>
      </c>
      <c r="C766" t="s">
        <v>21</v>
      </c>
      <c r="D766" t="s">
        <v>32</v>
      </c>
      <c r="E766">
        <v>19</v>
      </c>
      <c r="F766">
        <v>5280.12</v>
      </c>
      <c r="G766" t="s">
        <v>12</v>
      </c>
      <c r="H766">
        <v>4</v>
      </c>
      <c r="I766">
        <v>3196.83</v>
      </c>
      <c r="J766">
        <v>2083.29</v>
      </c>
      <c r="K766" t="s">
        <v>64</v>
      </c>
      <c r="L766" t="s">
        <v>61</v>
      </c>
      <c r="M766">
        <v>2022</v>
      </c>
      <c r="N766" t="s">
        <v>44</v>
      </c>
    </row>
    <row r="767" spans="1:14" x14ac:dyDescent="0.3">
      <c r="A767" s="1">
        <v>44821</v>
      </c>
      <c r="B767" t="s">
        <v>31</v>
      </c>
      <c r="C767" t="s">
        <v>16</v>
      </c>
      <c r="D767" t="s">
        <v>37</v>
      </c>
      <c r="E767">
        <v>21</v>
      </c>
      <c r="F767">
        <v>3442.14</v>
      </c>
      <c r="G767" t="s">
        <v>20</v>
      </c>
      <c r="H767">
        <v>5</v>
      </c>
      <c r="I767">
        <v>3801.2</v>
      </c>
      <c r="J767">
        <v>-359.06</v>
      </c>
      <c r="K767" t="s">
        <v>60</v>
      </c>
      <c r="L767" t="s">
        <v>61</v>
      </c>
      <c r="M767">
        <v>2022</v>
      </c>
      <c r="N767" t="s">
        <v>43</v>
      </c>
    </row>
    <row r="768" spans="1:14" x14ac:dyDescent="0.3">
      <c r="A768" s="1">
        <v>45107</v>
      </c>
      <c r="B768" t="s">
        <v>31</v>
      </c>
      <c r="C768" t="s">
        <v>10</v>
      </c>
      <c r="D768" t="s">
        <v>35</v>
      </c>
      <c r="E768">
        <v>44</v>
      </c>
      <c r="F768">
        <v>5426.86</v>
      </c>
      <c r="G768" t="s">
        <v>12</v>
      </c>
      <c r="H768">
        <v>5</v>
      </c>
      <c r="I768">
        <v>2864.85</v>
      </c>
      <c r="J768">
        <v>2562.0100000000002</v>
      </c>
      <c r="K768" t="s">
        <v>50</v>
      </c>
      <c r="L768" t="s">
        <v>51</v>
      </c>
      <c r="M768">
        <v>2023</v>
      </c>
      <c r="N768" t="s">
        <v>44</v>
      </c>
    </row>
    <row r="769" spans="1:14" x14ac:dyDescent="0.3">
      <c r="A769" s="1">
        <v>44648</v>
      </c>
      <c r="B769" t="s">
        <v>15</v>
      </c>
      <c r="C769" t="s">
        <v>13</v>
      </c>
      <c r="D769" t="s">
        <v>19</v>
      </c>
      <c r="E769">
        <v>26</v>
      </c>
      <c r="F769">
        <v>9215.7199999999993</v>
      </c>
      <c r="G769" t="s">
        <v>20</v>
      </c>
      <c r="H769">
        <v>2</v>
      </c>
      <c r="I769">
        <v>5495.99</v>
      </c>
      <c r="J769">
        <v>3719.73</v>
      </c>
      <c r="K769" t="s">
        <v>52</v>
      </c>
      <c r="L769" t="s">
        <v>53</v>
      </c>
      <c r="M769">
        <v>2022</v>
      </c>
      <c r="N769" t="s">
        <v>44</v>
      </c>
    </row>
    <row r="770" spans="1:14" x14ac:dyDescent="0.3">
      <c r="A770" s="1">
        <v>45082</v>
      </c>
      <c r="B770" t="s">
        <v>18</v>
      </c>
      <c r="C770" t="s">
        <v>25</v>
      </c>
      <c r="D770" t="s">
        <v>30</v>
      </c>
      <c r="E770">
        <v>31</v>
      </c>
      <c r="F770">
        <v>14183.1</v>
      </c>
      <c r="G770" t="s">
        <v>20</v>
      </c>
      <c r="H770">
        <v>2</v>
      </c>
      <c r="I770">
        <v>7326.73</v>
      </c>
      <c r="J770">
        <v>6856.37</v>
      </c>
      <c r="K770" t="s">
        <v>50</v>
      </c>
      <c r="L770" t="s">
        <v>51</v>
      </c>
      <c r="M770">
        <v>2023</v>
      </c>
      <c r="N770" t="s">
        <v>44</v>
      </c>
    </row>
    <row r="771" spans="1:14" x14ac:dyDescent="0.3">
      <c r="A771" s="1">
        <v>44831</v>
      </c>
      <c r="B771" t="s">
        <v>31</v>
      </c>
      <c r="C771" t="s">
        <v>13</v>
      </c>
      <c r="D771" t="s">
        <v>29</v>
      </c>
      <c r="E771">
        <v>26</v>
      </c>
      <c r="F771">
        <v>9608.2999999999993</v>
      </c>
      <c r="G771" t="s">
        <v>12</v>
      </c>
      <c r="H771">
        <v>4</v>
      </c>
      <c r="I771">
        <v>4903.8599999999997</v>
      </c>
      <c r="J771">
        <v>4704.4399999999996</v>
      </c>
      <c r="K771" t="s">
        <v>60</v>
      </c>
      <c r="L771" t="s">
        <v>61</v>
      </c>
      <c r="M771">
        <v>2022</v>
      </c>
      <c r="N771" t="s">
        <v>43</v>
      </c>
    </row>
    <row r="772" spans="1:14" x14ac:dyDescent="0.3">
      <c r="A772" s="1">
        <v>45026</v>
      </c>
      <c r="B772" t="s">
        <v>31</v>
      </c>
      <c r="C772" t="s">
        <v>25</v>
      </c>
      <c r="D772" t="s">
        <v>26</v>
      </c>
      <c r="E772">
        <v>43</v>
      </c>
      <c r="F772">
        <v>14360.52</v>
      </c>
      <c r="G772" t="s">
        <v>12</v>
      </c>
      <c r="H772">
        <v>3</v>
      </c>
      <c r="I772">
        <v>7146.88</v>
      </c>
      <c r="J772">
        <v>7213.64</v>
      </c>
      <c r="K772" t="s">
        <v>55</v>
      </c>
      <c r="L772" t="s">
        <v>51</v>
      </c>
      <c r="M772">
        <v>2023</v>
      </c>
      <c r="N772" t="s">
        <v>45</v>
      </c>
    </row>
    <row r="773" spans="1:14" x14ac:dyDescent="0.3">
      <c r="A773" s="1">
        <v>45252</v>
      </c>
      <c r="B773" t="s">
        <v>23</v>
      </c>
      <c r="C773" t="s">
        <v>10</v>
      </c>
      <c r="D773" t="s">
        <v>11</v>
      </c>
      <c r="E773">
        <v>13</v>
      </c>
      <c r="F773">
        <v>6037.45</v>
      </c>
      <c r="G773" t="s">
        <v>12</v>
      </c>
      <c r="H773">
        <v>1</v>
      </c>
      <c r="I773">
        <v>3113.79</v>
      </c>
      <c r="J773">
        <v>2923.66</v>
      </c>
      <c r="K773" t="s">
        <v>65</v>
      </c>
      <c r="L773" t="s">
        <v>59</v>
      </c>
      <c r="M773">
        <v>2023</v>
      </c>
      <c r="N773" t="s">
        <v>43</v>
      </c>
    </row>
    <row r="774" spans="1:14" x14ac:dyDescent="0.3">
      <c r="A774" s="1">
        <v>45216</v>
      </c>
      <c r="B774" t="s">
        <v>31</v>
      </c>
      <c r="C774" t="s">
        <v>16</v>
      </c>
      <c r="D774" t="s">
        <v>37</v>
      </c>
      <c r="E774">
        <v>31</v>
      </c>
      <c r="F774">
        <v>4772.37</v>
      </c>
      <c r="G774" t="s">
        <v>20</v>
      </c>
      <c r="H774">
        <v>1</v>
      </c>
      <c r="I774">
        <v>4660.5</v>
      </c>
      <c r="J774">
        <v>111.87</v>
      </c>
      <c r="K774" t="s">
        <v>62</v>
      </c>
      <c r="L774" t="s">
        <v>59</v>
      </c>
      <c r="M774">
        <v>2023</v>
      </c>
      <c r="N774" t="s">
        <v>44</v>
      </c>
    </row>
    <row r="775" spans="1:14" x14ac:dyDescent="0.3">
      <c r="A775" s="1">
        <v>44596</v>
      </c>
      <c r="B775" t="s">
        <v>9</v>
      </c>
      <c r="C775" t="s">
        <v>25</v>
      </c>
      <c r="D775" t="s">
        <v>26</v>
      </c>
      <c r="E775">
        <v>12</v>
      </c>
      <c r="F775">
        <v>4239.01</v>
      </c>
      <c r="G775" t="s">
        <v>20</v>
      </c>
      <c r="H775">
        <v>4</v>
      </c>
      <c r="I775">
        <v>2857.51</v>
      </c>
      <c r="J775">
        <v>1381.5</v>
      </c>
      <c r="K775" t="s">
        <v>54</v>
      </c>
      <c r="L775" t="s">
        <v>53</v>
      </c>
      <c r="M775">
        <v>2022</v>
      </c>
      <c r="N775" t="s">
        <v>44</v>
      </c>
    </row>
    <row r="776" spans="1:14" x14ac:dyDescent="0.3">
      <c r="A776" s="1">
        <v>44614</v>
      </c>
      <c r="B776" t="s">
        <v>31</v>
      </c>
      <c r="C776" t="s">
        <v>13</v>
      </c>
      <c r="D776" t="s">
        <v>19</v>
      </c>
      <c r="E776">
        <v>30</v>
      </c>
      <c r="F776">
        <v>550.85</v>
      </c>
      <c r="G776" t="s">
        <v>20</v>
      </c>
      <c r="H776">
        <v>3</v>
      </c>
      <c r="I776">
        <v>1632.81</v>
      </c>
      <c r="J776">
        <v>-1081.96</v>
      </c>
      <c r="K776" t="s">
        <v>54</v>
      </c>
      <c r="L776" t="s">
        <v>53</v>
      </c>
      <c r="M776">
        <v>2022</v>
      </c>
      <c r="N776" t="s">
        <v>43</v>
      </c>
    </row>
    <row r="777" spans="1:14" x14ac:dyDescent="0.3">
      <c r="A777" s="1">
        <v>44598</v>
      </c>
      <c r="B777" t="s">
        <v>9</v>
      </c>
      <c r="C777" t="s">
        <v>13</v>
      </c>
      <c r="D777" t="s">
        <v>29</v>
      </c>
      <c r="E777">
        <v>27</v>
      </c>
      <c r="F777">
        <v>1404.42</v>
      </c>
      <c r="G777" t="s">
        <v>12</v>
      </c>
      <c r="H777">
        <v>1</v>
      </c>
      <c r="I777">
        <v>3319.84</v>
      </c>
      <c r="J777">
        <v>-1915.42</v>
      </c>
      <c r="K777" t="s">
        <v>54</v>
      </c>
      <c r="L777" t="s">
        <v>53</v>
      </c>
      <c r="M777">
        <v>2022</v>
      </c>
      <c r="N777" t="s">
        <v>44</v>
      </c>
    </row>
    <row r="778" spans="1:14" x14ac:dyDescent="0.3">
      <c r="A778" s="1">
        <v>45087</v>
      </c>
      <c r="B778" t="s">
        <v>31</v>
      </c>
      <c r="C778" t="s">
        <v>21</v>
      </c>
      <c r="D778" t="s">
        <v>22</v>
      </c>
      <c r="E778">
        <v>7</v>
      </c>
      <c r="F778">
        <v>3084.47</v>
      </c>
      <c r="G778" t="s">
        <v>12</v>
      </c>
      <c r="H778">
        <v>2</v>
      </c>
      <c r="I778">
        <v>766.66</v>
      </c>
      <c r="J778">
        <v>2317.81</v>
      </c>
      <c r="K778" t="s">
        <v>50</v>
      </c>
      <c r="L778" t="s">
        <v>51</v>
      </c>
      <c r="M778">
        <v>2023</v>
      </c>
      <c r="N778" t="s">
        <v>44</v>
      </c>
    </row>
    <row r="779" spans="1:14" x14ac:dyDescent="0.3">
      <c r="A779" s="1">
        <v>45064</v>
      </c>
      <c r="B779" t="s">
        <v>9</v>
      </c>
      <c r="C779" t="s">
        <v>10</v>
      </c>
      <c r="D779" t="s">
        <v>34</v>
      </c>
      <c r="E779">
        <v>14</v>
      </c>
      <c r="F779">
        <v>2378.0700000000002</v>
      </c>
      <c r="G779" t="s">
        <v>20</v>
      </c>
      <c r="H779">
        <v>2</v>
      </c>
      <c r="I779">
        <v>734.72</v>
      </c>
      <c r="J779">
        <v>1643.35</v>
      </c>
      <c r="K779" t="s">
        <v>56</v>
      </c>
      <c r="L779" t="s">
        <v>51</v>
      </c>
      <c r="M779">
        <v>2023</v>
      </c>
      <c r="N779" t="s">
        <v>44</v>
      </c>
    </row>
    <row r="780" spans="1:14" x14ac:dyDescent="0.3">
      <c r="A780" s="1">
        <v>44991</v>
      </c>
      <c r="B780" t="s">
        <v>18</v>
      </c>
      <c r="C780" t="s">
        <v>13</v>
      </c>
      <c r="D780" t="s">
        <v>29</v>
      </c>
      <c r="E780">
        <v>26</v>
      </c>
      <c r="F780">
        <v>4842.26</v>
      </c>
      <c r="G780" t="s">
        <v>12</v>
      </c>
      <c r="H780">
        <v>5</v>
      </c>
      <c r="I780">
        <v>2266.4</v>
      </c>
      <c r="J780">
        <v>2575.86</v>
      </c>
      <c r="K780" t="s">
        <v>52</v>
      </c>
      <c r="L780" t="s">
        <v>53</v>
      </c>
      <c r="M780">
        <v>2023</v>
      </c>
      <c r="N780" t="s">
        <v>45</v>
      </c>
    </row>
    <row r="781" spans="1:14" x14ac:dyDescent="0.3">
      <c r="A781" s="1">
        <v>44714</v>
      </c>
      <c r="B781" t="s">
        <v>18</v>
      </c>
      <c r="C781" t="s">
        <v>21</v>
      </c>
      <c r="D781" t="s">
        <v>33</v>
      </c>
      <c r="E781">
        <v>24</v>
      </c>
      <c r="F781">
        <v>11958.58</v>
      </c>
      <c r="G781" t="s">
        <v>20</v>
      </c>
      <c r="H781">
        <v>2</v>
      </c>
      <c r="I781">
        <v>378.11</v>
      </c>
      <c r="J781">
        <v>11580.47</v>
      </c>
      <c r="K781" t="s">
        <v>50</v>
      </c>
      <c r="L781" t="s">
        <v>51</v>
      </c>
      <c r="M781">
        <v>2022</v>
      </c>
      <c r="N781" t="s">
        <v>44</v>
      </c>
    </row>
    <row r="782" spans="1:14" x14ac:dyDescent="0.3">
      <c r="A782" s="1">
        <v>44871</v>
      </c>
      <c r="B782" t="s">
        <v>15</v>
      </c>
      <c r="C782" t="s">
        <v>25</v>
      </c>
      <c r="D782" t="s">
        <v>39</v>
      </c>
      <c r="E782">
        <v>21</v>
      </c>
      <c r="F782">
        <v>8406.23</v>
      </c>
      <c r="G782" t="s">
        <v>12</v>
      </c>
      <c r="H782">
        <v>2</v>
      </c>
      <c r="I782">
        <v>1662.05</v>
      </c>
      <c r="J782">
        <v>6744.18</v>
      </c>
      <c r="K782" t="s">
        <v>65</v>
      </c>
      <c r="L782" t="s">
        <v>59</v>
      </c>
      <c r="M782">
        <v>2022</v>
      </c>
      <c r="N782" t="s">
        <v>44</v>
      </c>
    </row>
    <row r="783" spans="1:14" x14ac:dyDescent="0.3">
      <c r="A783" s="1">
        <v>44614</v>
      </c>
      <c r="B783" t="s">
        <v>18</v>
      </c>
      <c r="C783" t="s">
        <v>21</v>
      </c>
      <c r="D783" t="s">
        <v>32</v>
      </c>
      <c r="E783">
        <v>33</v>
      </c>
      <c r="F783">
        <v>8110.77</v>
      </c>
      <c r="G783" t="s">
        <v>12</v>
      </c>
      <c r="H783">
        <v>4</v>
      </c>
      <c r="I783">
        <v>6955.27</v>
      </c>
      <c r="J783">
        <v>1155.5</v>
      </c>
      <c r="K783" t="s">
        <v>54</v>
      </c>
      <c r="L783" t="s">
        <v>53</v>
      </c>
      <c r="M783">
        <v>2022</v>
      </c>
      <c r="N783" t="s">
        <v>47</v>
      </c>
    </row>
    <row r="784" spans="1:14" x14ac:dyDescent="0.3">
      <c r="A784" s="1">
        <v>44713</v>
      </c>
      <c r="B784" t="s">
        <v>9</v>
      </c>
      <c r="C784" t="s">
        <v>10</v>
      </c>
      <c r="D784" t="s">
        <v>35</v>
      </c>
      <c r="E784">
        <v>28</v>
      </c>
      <c r="F784">
        <v>6234.72</v>
      </c>
      <c r="G784" t="s">
        <v>20</v>
      </c>
      <c r="H784">
        <v>2</v>
      </c>
      <c r="I784">
        <v>2742.33</v>
      </c>
      <c r="J784">
        <v>3492.39</v>
      </c>
      <c r="K784" t="s">
        <v>50</v>
      </c>
      <c r="L784" t="s">
        <v>51</v>
      </c>
      <c r="M784">
        <v>2022</v>
      </c>
      <c r="N784" t="s">
        <v>44</v>
      </c>
    </row>
    <row r="785" spans="1:14" x14ac:dyDescent="0.3">
      <c r="A785" s="1">
        <v>44658</v>
      </c>
      <c r="B785" t="s">
        <v>15</v>
      </c>
      <c r="C785" t="s">
        <v>16</v>
      </c>
      <c r="D785" t="s">
        <v>37</v>
      </c>
      <c r="E785">
        <v>23</v>
      </c>
      <c r="F785">
        <v>1664.07</v>
      </c>
      <c r="G785" t="s">
        <v>20</v>
      </c>
      <c r="H785">
        <v>5</v>
      </c>
      <c r="I785">
        <v>4314.4399999999996</v>
      </c>
      <c r="J785">
        <v>-2650.37</v>
      </c>
      <c r="K785" t="s">
        <v>55</v>
      </c>
      <c r="L785" t="s">
        <v>51</v>
      </c>
      <c r="M785">
        <v>2022</v>
      </c>
      <c r="N785" t="s">
        <v>44</v>
      </c>
    </row>
    <row r="786" spans="1:14" x14ac:dyDescent="0.3">
      <c r="A786" s="1">
        <v>44695</v>
      </c>
      <c r="B786" t="s">
        <v>18</v>
      </c>
      <c r="C786" t="s">
        <v>21</v>
      </c>
      <c r="D786" t="s">
        <v>32</v>
      </c>
      <c r="E786">
        <v>39</v>
      </c>
      <c r="F786">
        <v>2953.35</v>
      </c>
      <c r="G786" t="s">
        <v>12</v>
      </c>
      <c r="H786">
        <v>2</v>
      </c>
      <c r="I786">
        <v>5702.95</v>
      </c>
      <c r="J786">
        <v>-2749.6</v>
      </c>
      <c r="K786" t="s">
        <v>56</v>
      </c>
      <c r="L786" t="s">
        <v>51</v>
      </c>
      <c r="M786">
        <v>2022</v>
      </c>
      <c r="N786" t="s">
        <v>43</v>
      </c>
    </row>
    <row r="787" spans="1:14" x14ac:dyDescent="0.3">
      <c r="A787" s="1">
        <v>44881</v>
      </c>
      <c r="B787" t="s">
        <v>31</v>
      </c>
      <c r="C787" t="s">
        <v>13</v>
      </c>
      <c r="D787" t="s">
        <v>14</v>
      </c>
      <c r="E787">
        <v>6</v>
      </c>
      <c r="F787">
        <v>1490.56</v>
      </c>
      <c r="G787" t="s">
        <v>12</v>
      </c>
      <c r="H787">
        <v>3</v>
      </c>
      <c r="I787">
        <v>1091.6099999999999</v>
      </c>
      <c r="J787">
        <v>398.95</v>
      </c>
      <c r="K787" t="s">
        <v>65</v>
      </c>
      <c r="L787" t="s">
        <v>59</v>
      </c>
      <c r="M787">
        <v>2022</v>
      </c>
      <c r="N787" t="s">
        <v>47</v>
      </c>
    </row>
    <row r="788" spans="1:14" x14ac:dyDescent="0.3">
      <c r="A788" s="1">
        <v>45070</v>
      </c>
      <c r="B788" t="s">
        <v>15</v>
      </c>
      <c r="C788" t="s">
        <v>16</v>
      </c>
      <c r="D788" t="s">
        <v>24</v>
      </c>
      <c r="E788">
        <v>28</v>
      </c>
      <c r="F788">
        <v>6481.44</v>
      </c>
      <c r="G788" t="s">
        <v>12</v>
      </c>
      <c r="H788">
        <v>1</v>
      </c>
      <c r="I788">
        <v>3202.63</v>
      </c>
      <c r="J788">
        <v>3278.81</v>
      </c>
      <c r="K788" t="s">
        <v>56</v>
      </c>
      <c r="L788" t="s">
        <v>51</v>
      </c>
      <c r="M788">
        <v>2023</v>
      </c>
      <c r="N788" t="s">
        <v>44</v>
      </c>
    </row>
    <row r="789" spans="1:14" x14ac:dyDescent="0.3">
      <c r="A789" s="1">
        <v>44860</v>
      </c>
      <c r="B789" t="s">
        <v>23</v>
      </c>
      <c r="C789" t="s">
        <v>25</v>
      </c>
      <c r="D789" t="s">
        <v>30</v>
      </c>
      <c r="E789">
        <v>34</v>
      </c>
      <c r="F789">
        <v>6245.45</v>
      </c>
      <c r="G789" t="s">
        <v>20</v>
      </c>
      <c r="H789">
        <v>3</v>
      </c>
      <c r="I789">
        <v>2014.93</v>
      </c>
      <c r="J789">
        <v>4230.5200000000004</v>
      </c>
      <c r="K789" t="s">
        <v>62</v>
      </c>
      <c r="L789" t="s">
        <v>59</v>
      </c>
      <c r="M789">
        <v>2022</v>
      </c>
      <c r="N789" t="s">
        <v>45</v>
      </c>
    </row>
    <row r="790" spans="1:14" x14ac:dyDescent="0.3">
      <c r="A790" s="1">
        <v>45052</v>
      </c>
      <c r="B790" t="s">
        <v>9</v>
      </c>
      <c r="C790" t="s">
        <v>16</v>
      </c>
      <c r="D790" t="s">
        <v>37</v>
      </c>
      <c r="E790">
        <v>27</v>
      </c>
      <c r="F790">
        <v>8149.81</v>
      </c>
      <c r="G790" t="s">
        <v>20</v>
      </c>
      <c r="H790">
        <v>4</v>
      </c>
      <c r="I790">
        <v>2872.43</v>
      </c>
      <c r="J790">
        <v>5277.38</v>
      </c>
      <c r="K790" t="s">
        <v>56</v>
      </c>
      <c r="L790" t="s">
        <v>51</v>
      </c>
      <c r="M790">
        <v>2023</v>
      </c>
      <c r="N790" t="s">
        <v>44</v>
      </c>
    </row>
    <row r="791" spans="1:14" x14ac:dyDescent="0.3">
      <c r="A791" s="1">
        <v>44886</v>
      </c>
      <c r="B791" t="s">
        <v>31</v>
      </c>
      <c r="C791" t="s">
        <v>25</v>
      </c>
      <c r="D791" t="s">
        <v>26</v>
      </c>
      <c r="E791">
        <v>12</v>
      </c>
      <c r="F791">
        <v>5707.46</v>
      </c>
      <c r="G791" t="s">
        <v>12</v>
      </c>
      <c r="H791">
        <v>3</v>
      </c>
      <c r="I791">
        <v>1630.45</v>
      </c>
      <c r="J791">
        <v>4077.01</v>
      </c>
      <c r="K791" t="s">
        <v>65</v>
      </c>
      <c r="L791" t="s">
        <v>59</v>
      </c>
      <c r="M791">
        <v>2022</v>
      </c>
      <c r="N791" t="s">
        <v>44</v>
      </c>
    </row>
    <row r="792" spans="1:14" x14ac:dyDescent="0.3">
      <c r="A792" s="1">
        <v>45286</v>
      </c>
      <c r="B792" t="s">
        <v>18</v>
      </c>
      <c r="C792" t="s">
        <v>10</v>
      </c>
      <c r="D792" t="s">
        <v>11</v>
      </c>
      <c r="E792">
        <v>16</v>
      </c>
      <c r="F792">
        <v>5474.4</v>
      </c>
      <c r="G792" t="s">
        <v>20</v>
      </c>
      <c r="H792">
        <v>4</v>
      </c>
      <c r="I792">
        <v>2604.64</v>
      </c>
      <c r="J792">
        <v>2869.76</v>
      </c>
      <c r="K792" t="s">
        <v>58</v>
      </c>
      <c r="L792" t="s">
        <v>59</v>
      </c>
      <c r="M792">
        <v>2023</v>
      </c>
      <c r="N792" t="s">
        <v>45</v>
      </c>
    </row>
    <row r="793" spans="1:14" x14ac:dyDescent="0.3">
      <c r="A793" s="1">
        <v>45200</v>
      </c>
      <c r="B793" t="s">
        <v>31</v>
      </c>
      <c r="C793" t="s">
        <v>16</v>
      </c>
      <c r="D793" t="s">
        <v>24</v>
      </c>
      <c r="E793">
        <v>23</v>
      </c>
      <c r="F793">
        <v>8853.9</v>
      </c>
      <c r="G793" t="s">
        <v>20</v>
      </c>
      <c r="H793">
        <v>3</v>
      </c>
      <c r="I793">
        <v>771.36</v>
      </c>
      <c r="J793">
        <v>8082.54</v>
      </c>
      <c r="K793" t="s">
        <v>62</v>
      </c>
      <c r="L793" t="s">
        <v>59</v>
      </c>
      <c r="M793">
        <v>2023</v>
      </c>
      <c r="N793" t="s">
        <v>44</v>
      </c>
    </row>
    <row r="794" spans="1:14" x14ac:dyDescent="0.3">
      <c r="A794" s="1">
        <v>44938</v>
      </c>
      <c r="B794" t="s">
        <v>15</v>
      </c>
      <c r="C794" t="s">
        <v>25</v>
      </c>
      <c r="D794" t="s">
        <v>38</v>
      </c>
      <c r="E794">
        <v>5</v>
      </c>
      <c r="F794">
        <v>2487.59</v>
      </c>
      <c r="G794" t="s">
        <v>20</v>
      </c>
      <c r="H794">
        <v>1</v>
      </c>
      <c r="I794">
        <v>1115.6600000000001</v>
      </c>
      <c r="J794">
        <v>1371.93</v>
      </c>
      <c r="K794" t="s">
        <v>57</v>
      </c>
      <c r="L794" t="s">
        <v>53</v>
      </c>
      <c r="M794">
        <v>2023</v>
      </c>
      <c r="N794" t="s">
        <v>44</v>
      </c>
    </row>
    <row r="795" spans="1:14" x14ac:dyDescent="0.3">
      <c r="A795" s="1">
        <v>44678</v>
      </c>
      <c r="B795" t="s">
        <v>23</v>
      </c>
      <c r="C795" t="s">
        <v>21</v>
      </c>
      <c r="D795" t="s">
        <v>36</v>
      </c>
      <c r="E795">
        <v>43</v>
      </c>
      <c r="F795">
        <v>9359.94</v>
      </c>
      <c r="G795" t="s">
        <v>20</v>
      </c>
      <c r="H795">
        <v>4</v>
      </c>
      <c r="I795">
        <v>6885.39</v>
      </c>
      <c r="J795">
        <v>2474.5500000000002</v>
      </c>
      <c r="K795" t="s">
        <v>55</v>
      </c>
      <c r="L795" t="s">
        <v>51</v>
      </c>
      <c r="M795">
        <v>2022</v>
      </c>
      <c r="N795" t="s">
        <v>43</v>
      </c>
    </row>
    <row r="796" spans="1:14" x14ac:dyDescent="0.3">
      <c r="A796" s="1">
        <v>44807</v>
      </c>
      <c r="B796" t="s">
        <v>18</v>
      </c>
      <c r="C796" t="s">
        <v>21</v>
      </c>
      <c r="D796" t="s">
        <v>22</v>
      </c>
      <c r="E796">
        <v>29</v>
      </c>
      <c r="F796">
        <v>10604.72</v>
      </c>
      <c r="G796" t="s">
        <v>20</v>
      </c>
      <c r="H796">
        <v>3</v>
      </c>
      <c r="I796">
        <v>3225.86</v>
      </c>
      <c r="J796">
        <v>7378.86</v>
      </c>
      <c r="K796" t="s">
        <v>60</v>
      </c>
      <c r="L796" t="s">
        <v>61</v>
      </c>
      <c r="M796">
        <v>2022</v>
      </c>
      <c r="N796" t="s">
        <v>45</v>
      </c>
    </row>
    <row r="797" spans="1:14" x14ac:dyDescent="0.3">
      <c r="A797" s="1">
        <v>44951</v>
      </c>
      <c r="B797" t="s">
        <v>23</v>
      </c>
      <c r="C797" t="s">
        <v>16</v>
      </c>
      <c r="D797" t="s">
        <v>24</v>
      </c>
      <c r="E797">
        <v>15</v>
      </c>
      <c r="F797">
        <v>7208.78</v>
      </c>
      <c r="G797" t="s">
        <v>12</v>
      </c>
      <c r="H797">
        <v>3</v>
      </c>
      <c r="I797">
        <v>145.63</v>
      </c>
      <c r="J797">
        <v>7063.15</v>
      </c>
      <c r="K797" t="s">
        <v>57</v>
      </c>
      <c r="L797" t="s">
        <v>53</v>
      </c>
      <c r="M797">
        <v>2023</v>
      </c>
      <c r="N797" t="s">
        <v>44</v>
      </c>
    </row>
    <row r="798" spans="1:14" x14ac:dyDescent="0.3">
      <c r="A798" s="1">
        <v>44997</v>
      </c>
      <c r="B798" t="s">
        <v>23</v>
      </c>
      <c r="C798" t="s">
        <v>10</v>
      </c>
      <c r="D798" t="s">
        <v>35</v>
      </c>
      <c r="E798">
        <v>44</v>
      </c>
      <c r="F798">
        <v>9383.07</v>
      </c>
      <c r="G798" t="s">
        <v>20</v>
      </c>
      <c r="H798">
        <v>3</v>
      </c>
      <c r="I798">
        <v>9123.2900000000009</v>
      </c>
      <c r="J798">
        <v>259.77999999999997</v>
      </c>
      <c r="K798" t="s">
        <v>52</v>
      </c>
      <c r="L798" t="s">
        <v>53</v>
      </c>
      <c r="M798">
        <v>2023</v>
      </c>
      <c r="N798" t="s">
        <v>44</v>
      </c>
    </row>
    <row r="799" spans="1:14" x14ac:dyDescent="0.3">
      <c r="A799" s="1">
        <v>44841</v>
      </c>
      <c r="B799" t="s">
        <v>31</v>
      </c>
      <c r="C799" t="s">
        <v>25</v>
      </c>
      <c r="D799" t="s">
        <v>39</v>
      </c>
      <c r="E799">
        <v>29</v>
      </c>
      <c r="F799">
        <v>2658.8</v>
      </c>
      <c r="G799" t="s">
        <v>20</v>
      </c>
      <c r="H799">
        <v>4</v>
      </c>
      <c r="I799">
        <v>4077.67</v>
      </c>
      <c r="J799">
        <v>-1418.87</v>
      </c>
      <c r="K799" t="s">
        <v>62</v>
      </c>
      <c r="L799" t="s">
        <v>59</v>
      </c>
      <c r="M799">
        <v>2022</v>
      </c>
      <c r="N799" t="s">
        <v>43</v>
      </c>
    </row>
    <row r="800" spans="1:14" x14ac:dyDescent="0.3">
      <c r="A800" s="1">
        <v>44754</v>
      </c>
      <c r="B800" t="s">
        <v>23</v>
      </c>
      <c r="C800" t="s">
        <v>10</v>
      </c>
      <c r="D800" t="s">
        <v>35</v>
      </c>
      <c r="E800">
        <v>5</v>
      </c>
      <c r="F800">
        <v>2418.9499999999998</v>
      </c>
      <c r="G800" t="s">
        <v>12</v>
      </c>
      <c r="H800">
        <v>5</v>
      </c>
      <c r="I800">
        <v>164.59</v>
      </c>
      <c r="J800">
        <v>2254.36</v>
      </c>
      <c r="K800" t="s">
        <v>63</v>
      </c>
      <c r="L800" t="s">
        <v>61</v>
      </c>
      <c r="M800">
        <v>2022</v>
      </c>
      <c r="N800" t="s">
        <v>44</v>
      </c>
    </row>
    <row r="801" spans="1:14" x14ac:dyDescent="0.3">
      <c r="A801" s="1">
        <v>44960</v>
      </c>
      <c r="B801" t="s">
        <v>31</v>
      </c>
      <c r="C801" t="s">
        <v>25</v>
      </c>
      <c r="D801" t="s">
        <v>26</v>
      </c>
      <c r="E801">
        <v>25</v>
      </c>
      <c r="F801">
        <v>6024.93</v>
      </c>
      <c r="G801" t="s">
        <v>20</v>
      </c>
      <c r="H801">
        <v>5</v>
      </c>
      <c r="I801">
        <v>3967.36</v>
      </c>
      <c r="J801">
        <v>2057.5700000000002</v>
      </c>
      <c r="K801" t="s">
        <v>54</v>
      </c>
      <c r="L801" t="s">
        <v>53</v>
      </c>
      <c r="M801">
        <v>2023</v>
      </c>
      <c r="N801" t="s">
        <v>45</v>
      </c>
    </row>
    <row r="802" spans="1:14" x14ac:dyDescent="0.3">
      <c r="A802" s="1">
        <v>44582</v>
      </c>
      <c r="B802" t="s">
        <v>18</v>
      </c>
      <c r="C802" t="s">
        <v>21</v>
      </c>
      <c r="D802" t="s">
        <v>22</v>
      </c>
      <c r="E802">
        <v>37</v>
      </c>
      <c r="F802">
        <v>16492.46</v>
      </c>
      <c r="G802" t="s">
        <v>12</v>
      </c>
      <c r="H802">
        <v>1</v>
      </c>
      <c r="I802">
        <v>3919.57</v>
      </c>
      <c r="J802">
        <v>12572.89</v>
      </c>
      <c r="K802" t="s">
        <v>57</v>
      </c>
      <c r="L802" t="s">
        <v>53</v>
      </c>
      <c r="M802">
        <v>2022</v>
      </c>
      <c r="N802" t="s">
        <v>44</v>
      </c>
    </row>
    <row r="803" spans="1:14" x14ac:dyDescent="0.3">
      <c r="A803" s="1">
        <v>44721</v>
      </c>
      <c r="B803" t="s">
        <v>23</v>
      </c>
      <c r="C803" t="s">
        <v>21</v>
      </c>
      <c r="D803" t="s">
        <v>36</v>
      </c>
      <c r="E803">
        <v>36</v>
      </c>
      <c r="F803">
        <v>12468.59</v>
      </c>
      <c r="G803" t="s">
        <v>20</v>
      </c>
      <c r="H803">
        <v>2</v>
      </c>
      <c r="I803">
        <v>7143.61</v>
      </c>
      <c r="J803">
        <v>5324.98</v>
      </c>
      <c r="K803" t="s">
        <v>50</v>
      </c>
      <c r="L803" t="s">
        <v>51</v>
      </c>
      <c r="M803">
        <v>2022</v>
      </c>
      <c r="N803" t="s">
        <v>43</v>
      </c>
    </row>
    <row r="804" spans="1:14" x14ac:dyDescent="0.3">
      <c r="A804" s="1">
        <v>44885</v>
      </c>
      <c r="B804" t="s">
        <v>9</v>
      </c>
      <c r="C804" t="s">
        <v>10</v>
      </c>
      <c r="D804" t="s">
        <v>35</v>
      </c>
      <c r="E804">
        <v>19</v>
      </c>
      <c r="F804">
        <v>3252.39</v>
      </c>
      <c r="G804" t="s">
        <v>20</v>
      </c>
      <c r="H804">
        <v>5</v>
      </c>
      <c r="I804">
        <v>2376.9</v>
      </c>
      <c r="J804">
        <v>875.49</v>
      </c>
      <c r="K804" t="s">
        <v>65</v>
      </c>
      <c r="L804" t="s">
        <v>59</v>
      </c>
      <c r="M804">
        <v>2022</v>
      </c>
      <c r="N804" t="s">
        <v>43</v>
      </c>
    </row>
    <row r="805" spans="1:14" x14ac:dyDescent="0.3">
      <c r="A805" s="1">
        <v>44975</v>
      </c>
      <c r="B805" t="s">
        <v>23</v>
      </c>
      <c r="C805" t="s">
        <v>16</v>
      </c>
      <c r="D805" t="s">
        <v>24</v>
      </c>
      <c r="E805">
        <v>36</v>
      </c>
      <c r="F805">
        <v>5704.6</v>
      </c>
      <c r="G805" t="s">
        <v>20</v>
      </c>
      <c r="H805">
        <v>5</v>
      </c>
      <c r="I805">
        <v>8100.04</v>
      </c>
      <c r="J805">
        <v>-2395.44</v>
      </c>
      <c r="K805" t="s">
        <v>54</v>
      </c>
      <c r="L805" t="s">
        <v>53</v>
      </c>
      <c r="M805">
        <v>2023</v>
      </c>
      <c r="N805" t="s">
        <v>47</v>
      </c>
    </row>
    <row r="806" spans="1:14" x14ac:dyDescent="0.3">
      <c r="A806" s="1">
        <v>44820</v>
      </c>
      <c r="B806" t="s">
        <v>31</v>
      </c>
      <c r="C806" t="s">
        <v>21</v>
      </c>
      <c r="D806" t="s">
        <v>36</v>
      </c>
      <c r="E806">
        <v>23</v>
      </c>
      <c r="F806">
        <v>2836.6</v>
      </c>
      <c r="G806" t="s">
        <v>12</v>
      </c>
      <c r="H806">
        <v>2</v>
      </c>
      <c r="I806">
        <v>1397.02</v>
      </c>
      <c r="J806">
        <v>1439.58</v>
      </c>
      <c r="K806" t="s">
        <v>60</v>
      </c>
      <c r="L806" t="s">
        <v>61</v>
      </c>
      <c r="M806">
        <v>2022</v>
      </c>
      <c r="N806" t="s">
        <v>44</v>
      </c>
    </row>
    <row r="807" spans="1:14" x14ac:dyDescent="0.3">
      <c r="A807" s="1">
        <v>44617</v>
      </c>
      <c r="B807" t="s">
        <v>31</v>
      </c>
      <c r="C807" t="s">
        <v>21</v>
      </c>
      <c r="D807" t="s">
        <v>36</v>
      </c>
      <c r="E807">
        <v>43</v>
      </c>
      <c r="F807">
        <v>12805.84</v>
      </c>
      <c r="G807" t="s">
        <v>12</v>
      </c>
      <c r="H807">
        <v>5</v>
      </c>
      <c r="I807">
        <v>4027.2</v>
      </c>
      <c r="J807">
        <v>8778.64</v>
      </c>
      <c r="K807" t="s">
        <v>54</v>
      </c>
      <c r="L807" t="s">
        <v>53</v>
      </c>
      <c r="M807">
        <v>2022</v>
      </c>
      <c r="N807" t="s">
        <v>45</v>
      </c>
    </row>
    <row r="808" spans="1:14" x14ac:dyDescent="0.3">
      <c r="A808" s="1">
        <v>44826</v>
      </c>
      <c r="B808" t="s">
        <v>23</v>
      </c>
      <c r="C808" t="s">
        <v>25</v>
      </c>
      <c r="D808" t="s">
        <v>30</v>
      </c>
      <c r="E808">
        <v>5</v>
      </c>
      <c r="F808">
        <v>1502.17</v>
      </c>
      <c r="G808" t="s">
        <v>20</v>
      </c>
      <c r="H808">
        <v>3</v>
      </c>
      <c r="I808">
        <v>50.25</v>
      </c>
      <c r="J808">
        <v>1451.92</v>
      </c>
      <c r="K808" t="s">
        <v>60</v>
      </c>
      <c r="L808" t="s">
        <v>61</v>
      </c>
      <c r="M808">
        <v>2022</v>
      </c>
      <c r="N808" t="s">
        <v>47</v>
      </c>
    </row>
    <row r="809" spans="1:14" x14ac:dyDescent="0.3">
      <c r="A809" s="1">
        <v>44737</v>
      </c>
      <c r="B809" t="s">
        <v>15</v>
      </c>
      <c r="C809" t="s">
        <v>21</v>
      </c>
      <c r="D809" t="s">
        <v>22</v>
      </c>
      <c r="E809">
        <v>38</v>
      </c>
      <c r="F809">
        <v>14525.44</v>
      </c>
      <c r="G809" t="s">
        <v>20</v>
      </c>
      <c r="H809">
        <v>2</v>
      </c>
      <c r="I809">
        <v>7364.73</v>
      </c>
      <c r="J809">
        <v>7160.71</v>
      </c>
      <c r="K809" t="s">
        <v>50</v>
      </c>
      <c r="L809" t="s">
        <v>51</v>
      </c>
      <c r="M809">
        <v>2022</v>
      </c>
      <c r="N809" t="s">
        <v>47</v>
      </c>
    </row>
    <row r="810" spans="1:14" x14ac:dyDescent="0.3">
      <c r="A810" s="1">
        <v>44810</v>
      </c>
      <c r="B810" t="s">
        <v>9</v>
      </c>
      <c r="C810" t="s">
        <v>21</v>
      </c>
      <c r="D810" t="s">
        <v>33</v>
      </c>
      <c r="E810">
        <v>48</v>
      </c>
      <c r="F810">
        <v>23697.95</v>
      </c>
      <c r="G810" t="s">
        <v>12</v>
      </c>
      <c r="H810">
        <v>2</v>
      </c>
      <c r="I810">
        <v>10676.93</v>
      </c>
      <c r="J810">
        <v>13021.02</v>
      </c>
      <c r="K810" t="s">
        <v>60</v>
      </c>
      <c r="L810" t="s">
        <v>61</v>
      </c>
      <c r="M810">
        <v>2022</v>
      </c>
      <c r="N810" t="s">
        <v>44</v>
      </c>
    </row>
    <row r="811" spans="1:14" x14ac:dyDescent="0.3">
      <c r="A811" s="1">
        <v>44913</v>
      </c>
      <c r="B811" t="s">
        <v>18</v>
      </c>
      <c r="C811" t="s">
        <v>25</v>
      </c>
      <c r="D811" t="s">
        <v>38</v>
      </c>
      <c r="E811">
        <v>45</v>
      </c>
      <c r="F811">
        <v>21568.99</v>
      </c>
      <c r="G811" t="s">
        <v>20</v>
      </c>
      <c r="H811">
        <v>2</v>
      </c>
      <c r="I811">
        <v>3615.5</v>
      </c>
      <c r="J811">
        <v>17953.490000000002</v>
      </c>
      <c r="K811" t="s">
        <v>58</v>
      </c>
      <c r="L811" t="s">
        <v>59</v>
      </c>
      <c r="M811">
        <v>2022</v>
      </c>
      <c r="N811" t="s">
        <v>44</v>
      </c>
    </row>
    <row r="812" spans="1:14" x14ac:dyDescent="0.3">
      <c r="A812" s="1">
        <v>44855</v>
      </c>
      <c r="B812" t="s">
        <v>18</v>
      </c>
      <c r="C812" t="s">
        <v>13</v>
      </c>
      <c r="D812" t="s">
        <v>29</v>
      </c>
      <c r="E812">
        <v>41</v>
      </c>
      <c r="F812">
        <v>11441.83</v>
      </c>
      <c r="G812" t="s">
        <v>20</v>
      </c>
      <c r="H812">
        <v>3</v>
      </c>
      <c r="I812">
        <v>6920.72</v>
      </c>
      <c r="J812">
        <v>4521.1099999999997</v>
      </c>
      <c r="K812" t="s">
        <v>62</v>
      </c>
      <c r="L812" t="s">
        <v>59</v>
      </c>
      <c r="M812">
        <v>2022</v>
      </c>
      <c r="N812" t="s">
        <v>44</v>
      </c>
    </row>
    <row r="813" spans="1:14" x14ac:dyDescent="0.3">
      <c r="A813" s="1">
        <v>44611</v>
      </c>
      <c r="B813" t="s">
        <v>9</v>
      </c>
      <c r="C813" t="s">
        <v>13</v>
      </c>
      <c r="D813" t="s">
        <v>29</v>
      </c>
      <c r="E813">
        <v>30</v>
      </c>
      <c r="F813">
        <v>10172.02</v>
      </c>
      <c r="G813" t="s">
        <v>20</v>
      </c>
      <c r="H813">
        <v>5</v>
      </c>
      <c r="I813">
        <v>1908.27</v>
      </c>
      <c r="J813">
        <v>8263.75</v>
      </c>
      <c r="K813" t="s">
        <v>54</v>
      </c>
      <c r="L813" t="s">
        <v>53</v>
      </c>
      <c r="M813">
        <v>2022</v>
      </c>
      <c r="N813" t="s">
        <v>43</v>
      </c>
    </row>
    <row r="814" spans="1:14" x14ac:dyDescent="0.3">
      <c r="A814" s="1">
        <v>44620</v>
      </c>
      <c r="B814" t="s">
        <v>18</v>
      </c>
      <c r="C814" t="s">
        <v>25</v>
      </c>
      <c r="D814" t="s">
        <v>26</v>
      </c>
      <c r="E814">
        <v>26</v>
      </c>
      <c r="F814">
        <v>11596.06</v>
      </c>
      <c r="G814" t="s">
        <v>20</v>
      </c>
      <c r="H814">
        <v>4</v>
      </c>
      <c r="I814">
        <v>3643.44</v>
      </c>
      <c r="J814">
        <v>7952.62</v>
      </c>
      <c r="K814" t="s">
        <v>54</v>
      </c>
      <c r="L814" t="s">
        <v>53</v>
      </c>
      <c r="M814">
        <v>2022</v>
      </c>
      <c r="N814" t="s">
        <v>44</v>
      </c>
    </row>
    <row r="815" spans="1:14" x14ac:dyDescent="0.3">
      <c r="A815" s="1">
        <v>44919</v>
      </c>
      <c r="B815" t="s">
        <v>15</v>
      </c>
      <c r="C815" t="s">
        <v>21</v>
      </c>
      <c r="D815" t="s">
        <v>33</v>
      </c>
      <c r="E815">
        <v>13</v>
      </c>
      <c r="F815">
        <v>1822.46</v>
      </c>
      <c r="G815" t="s">
        <v>12</v>
      </c>
      <c r="H815">
        <v>2</v>
      </c>
      <c r="I815">
        <v>2294.59</v>
      </c>
      <c r="J815">
        <v>-472.13</v>
      </c>
      <c r="K815" t="s">
        <v>58</v>
      </c>
      <c r="L815" t="s">
        <v>59</v>
      </c>
      <c r="M815">
        <v>2022</v>
      </c>
      <c r="N815" t="s">
        <v>44</v>
      </c>
    </row>
    <row r="816" spans="1:14" x14ac:dyDescent="0.3">
      <c r="A816" s="1">
        <v>45264</v>
      </c>
      <c r="B816" t="s">
        <v>31</v>
      </c>
      <c r="C816" t="s">
        <v>13</v>
      </c>
      <c r="D816" t="s">
        <v>40</v>
      </c>
      <c r="E816">
        <v>17</v>
      </c>
      <c r="F816">
        <v>5387.8</v>
      </c>
      <c r="G816" t="s">
        <v>20</v>
      </c>
      <c r="H816">
        <v>3</v>
      </c>
      <c r="I816">
        <v>979.96</v>
      </c>
      <c r="J816">
        <v>4407.84</v>
      </c>
      <c r="K816" t="s">
        <v>58</v>
      </c>
      <c r="L816" t="s">
        <v>59</v>
      </c>
      <c r="M816">
        <v>2023</v>
      </c>
      <c r="N816" t="s">
        <v>44</v>
      </c>
    </row>
    <row r="817" spans="1:14" x14ac:dyDescent="0.3">
      <c r="A817" s="1">
        <v>44775</v>
      </c>
      <c r="B817" t="s">
        <v>23</v>
      </c>
      <c r="C817" t="s">
        <v>13</v>
      </c>
      <c r="D817" t="s">
        <v>29</v>
      </c>
      <c r="E817">
        <v>34</v>
      </c>
      <c r="F817">
        <v>5257.08</v>
      </c>
      <c r="G817" t="s">
        <v>20</v>
      </c>
      <c r="H817">
        <v>1</v>
      </c>
      <c r="I817">
        <v>7185.23</v>
      </c>
      <c r="J817">
        <v>-1928.15</v>
      </c>
      <c r="K817" t="s">
        <v>64</v>
      </c>
      <c r="L817" t="s">
        <v>61</v>
      </c>
      <c r="M817">
        <v>2022</v>
      </c>
      <c r="N817" t="s">
        <v>44</v>
      </c>
    </row>
    <row r="818" spans="1:14" x14ac:dyDescent="0.3">
      <c r="A818" s="1">
        <v>44649</v>
      </c>
      <c r="B818" t="s">
        <v>23</v>
      </c>
      <c r="C818" t="s">
        <v>13</v>
      </c>
      <c r="D818" t="s">
        <v>29</v>
      </c>
      <c r="E818">
        <v>41</v>
      </c>
      <c r="F818">
        <v>16296.06</v>
      </c>
      <c r="G818" t="s">
        <v>20</v>
      </c>
      <c r="H818">
        <v>1</v>
      </c>
      <c r="I818">
        <v>3817.42</v>
      </c>
      <c r="J818">
        <v>12478.64</v>
      </c>
      <c r="K818" t="s">
        <v>52</v>
      </c>
      <c r="L818" t="s">
        <v>53</v>
      </c>
      <c r="M818">
        <v>2022</v>
      </c>
      <c r="N818" t="s">
        <v>44</v>
      </c>
    </row>
    <row r="819" spans="1:14" x14ac:dyDescent="0.3">
      <c r="A819" s="1">
        <v>44926</v>
      </c>
      <c r="B819" t="s">
        <v>9</v>
      </c>
      <c r="C819" t="s">
        <v>16</v>
      </c>
      <c r="D819" t="s">
        <v>37</v>
      </c>
      <c r="E819">
        <v>43</v>
      </c>
      <c r="F819">
        <v>803.24</v>
      </c>
      <c r="G819" t="s">
        <v>20</v>
      </c>
      <c r="H819">
        <v>1</v>
      </c>
      <c r="I819">
        <v>8134.38</v>
      </c>
      <c r="J819">
        <v>-7331.14</v>
      </c>
      <c r="K819" t="s">
        <v>58</v>
      </c>
      <c r="L819" t="s">
        <v>59</v>
      </c>
      <c r="M819">
        <v>2022</v>
      </c>
      <c r="N819" t="s">
        <v>43</v>
      </c>
    </row>
    <row r="820" spans="1:14" x14ac:dyDescent="0.3">
      <c r="A820" s="1">
        <v>45004</v>
      </c>
      <c r="B820" t="s">
        <v>23</v>
      </c>
      <c r="C820" t="s">
        <v>10</v>
      </c>
      <c r="D820" t="s">
        <v>34</v>
      </c>
      <c r="E820">
        <v>1</v>
      </c>
      <c r="F820">
        <v>41.69</v>
      </c>
      <c r="G820" t="s">
        <v>20</v>
      </c>
      <c r="H820">
        <v>3</v>
      </c>
      <c r="I820">
        <v>229.44</v>
      </c>
      <c r="J820">
        <v>-187.75</v>
      </c>
      <c r="K820" t="s">
        <v>52</v>
      </c>
      <c r="L820" t="s">
        <v>53</v>
      </c>
      <c r="M820">
        <v>2023</v>
      </c>
      <c r="N820" t="s">
        <v>45</v>
      </c>
    </row>
    <row r="821" spans="1:14" x14ac:dyDescent="0.3">
      <c r="A821" s="1">
        <v>44978</v>
      </c>
      <c r="B821" t="s">
        <v>31</v>
      </c>
      <c r="C821" t="s">
        <v>13</v>
      </c>
      <c r="D821" t="s">
        <v>14</v>
      </c>
      <c r="E821">
        <v>41</v>
      </c>
      <c r="F821">
        <v>13332.51</v>
      </c>
      <c r="G821" t="s">
        <v>12</v>
      </c>
      <c r="H821">
        <v>2</v>
      </c>
      <c r="I821">
        <v>4143.88</v>
      </c>
      <c r="J821">
        <v>9188.6299999999992</v>
      </c>
      <c r="K821" t="s">
        <v>54</v>
      </c>
      <c r="L821" t="s">
        <v>53</v>
      </c>
      <c r="M821">
        <v>2023</v>
      </c>
      <c r="N821" t="s">
        <v>44</v>
      </c>
    </row>
    <row r="822" spans="1:14" x14ac:dyDescent="0.3">
      <c r="A822" s="1">
        <v>44662</v>
      </c>
      <c r="B822" t="s">
        <v>23</v>
      </c>
      <c r="C822" t="s">
        <v>25</v>
      </c>
      <c r="D822" t="s">
        <v>30</v>
      </c>
      <c r="E822">
        <v>36</v>
      </c>
      <c r="F822">
        <v>4072.45</v>
      </c>
      <c r="G822" t="s">
        <v>12</v>
      </c>
      <c r="H822">
        <v>3</v>
      </c>
      <c r="I822">
        <v>4832.3999999999996</v>
      </c>
      <c r="J822">
        <v>-759.95</v>
      </c>
      <c r="K822" t="s">
        <v>55</v>
      </c>
      <c r="L822" t="s">
        <v>51</v>
      </c>
      <c r="M822">
        <v>2022</v>
      </c>
      <c r="N822" t="s">
        <v>44</v>
      </c>
    </row>
    <row r="823" spans="1:14" x14ac:dyDescent="0.3">
      <c r="A823" s="1">
        <v>45246</v>
      </c>
      <c r="B823" t="s">
        <v>9</v>
      </c>
      <c r="C823" t="s">
        <v>21</v>
      </c>
      <c r="D823" t="s">
        <v>36</v>
      </c>
      <c r="E823">
        <v>13</v>
      </c>
      <c r="F823">
        <v>5288.36</v>
      </c>
      <c r="G823" t="s">
        <v>12</v>
      </c>
      <c r="H823">
        <v>2</v>
      </c>
      <c r="I823">
        <v>460</v>
      </c>
      <c r="J823">
        <v>4828.3599999999997</v>
      </c>
      <c r="K823" t="s">
        <v>65</v>
      </c>
      <c r="L823" t="s">
        <v>59</v>
      </c>
      <c r="M823">
        <v>2023</v>
      </c>
      <c r="N823" t="s">
        <v>43</v>
      </c>
    </row>
    <row r="824" spans="1:14" x14ac:dyDescent="0.3">
      <c r="A824" s="1">
        <v>45120</v>
      </c>
      <c r="B824" t="s">
        <v>31</v>
      </c>
      <c r="C824" t="s">
        <v>13</v>
      </c>
      <c r="D824" t="s">
        <v>40</v>
      </c>
      <c r="E824">
        <v>41</v>
      </c>
      <c r="F824">
        <v>714.65</v>
      </c>
      <c r="G824" t="s">
        <v>12</v>
      </c>
      <c r="H824">
        <v>2</v>
      </c>
      <c r="I824">
        <v>6946.88</v>
      </c>
      <c r="J824">
        <v>-6232.23</v>
      </c>
      <c r="K824" t="s">
        <v>63</v>
      </c>
      <c r="L824" t="s">
        <v>61</v>
      </c>
      <c r="M824">
        <v>2023</v>
      </c>
      <c r="N824" t="s">
        <v>44</v>
      </c>
    </row>
    <row r="825" spans="1:14" x14ac:dyDescent="0.3">
      <c r="A825" s="1">
        <v>44759</v>
      </c>
      <c r="B825" t="s">
        <v>23</v>
      </c>
      <c r="C825" t="s">
        <v>10</v>
      </c>
      <c r="D825" t="s">
        <v>35</v>
      </c>
      <c r="E825">
        <v>45</v>
      </c>
      <c r="F825">
        <v>1956.97</v>
      </c>
      <c r="G825" t="s">
        <v>12</v>
      </c>
      <c r="H825">
        <v>4</v>
      </c>
      <c r="I825">
        <v>1218.83</v>
      </c>
      <c r="J825">
        <v>738.14</v>
      </c>
      <c r="K825" t="s">
        <v>63</v>
      </c>
      <c r="L825" t="s">
        <v>61</v>
      </c>
      <c r="M825">
        <v>2022</v>
      </c>
      <c r="N825" t="s">
        <v>44</v>
      </c>
    </row>
    <row r="826" spans="1:14" x14ac:dyDescent="0.3">
      <c r="A826" s="1">
        <v>44812</v>
      </c>
      <c r="B826" t="s">
        <v>15</v>
      </c>
      <c r="C826" t="s">
        <v>13</v>
      </c>
      <c r="D826" t="s">
        <v>40</v>
      </c>
      <c r="E826">
        <v>12</v>
      </c>
      <c r="F826">
        <v>881.56</v>
      </c>
      <c r="G826" t="s">
        <v>12</v>
      </c>
      <c r="H826">
        <v>5</v>
      </c>
      <c r="I826">
        <v>1431.98</v>
      </c>
      <c r="J826">
        <v>-550.41999999999996</v>
      </c>
      <c r="K826" t="s">
        <v>60</v>
      </c>
      <c r="L826" t="s">
        <v>61</v>
      </c>
      <c r="M826">
        <v>2022</v>
      </c>
      <c r="N826" t="s">
        <v>44</v>
      </c>
    </row>
    <row r="827" spans="1:14" x14ac:dyDescent="0.3">
      <c r="A827" s="1">
        <v>45135</v>
      </c>
      <c r="B827" t="s">
        <v>31</v>
      </c>
      <c r="C827" t="s">
        <v>21</v>
      </c>
      <c r="D827" t="s">
        <v>33</v>
      </c>
      <c r="E827">
        <v>29</v>
      </c>
      <c r="F827">
        <v>437.17</v>
      </c>
      <c r="G827" t="s">
        <v>20</v>
      </c>
      <c r="H827">
        <v>2</v>
      </c>
      <c r="I827">
        <v>2587.4499999999998</v>
      </c>
      <c r="J827">
        <v>-2150.2800000000002</v>
      </c>
      <c r="K827" t="s">
        <v>63</v>
      </c>
      <c r="L827" t="s">
        <v>61</v>
      </c>
      <c r="M827">
        <v>2023</v>
      </c>
      <c r="N827" t="s">
        <v>47</v>
      </c>
    </row>
    <row r="828" spans="1:14" x14ac:dyDescent="0.3">
      <c r="A828" s="1">
        <v>44608</v>
      </c>
      <c r="B828" t="s">
        <v>9</v>
      </c>
      <c r="C828" t="s">
        <v>21</v>
      </c>
      <c r="D828" t="s">
        <v>33</v>
      </c>
      <c r="E828">
        <v>32</v>
      </c>
      <c r="F828">
        <v>1027</v>
      </c>
      <c r="G828" t="s">
        <v>20</v>
      </c>
      <c r="H828">
        <v>2</v>
      </c>
      <c r="I828">
        <v>5536.74</v>
      </c>
      <c r="J828">
        <v>-4509.74</v>
      </c>
      <c r="K828" t="s">
        <v>54</v>
      </c>
      <c r="L828" t="s">
        <v>53</v>
      </c>
      <c r="M828">
        <v>2022</v>
      </c>
      <c r="N828" t="s">
        <v>44</v>
      </c>
    </row>
    <row r="829" spans="1:14" x14ac:dyDescent="0.3">
      <c r="A829" s="1">
        <v>44826</v>
      </c>
      <c r="B829" t="s">
        <v>18</v>
      </c>
      <c r="C829" t="s">
        <v>16</v>
      </c>
      <c r="D829" t="s">
        <v>37</v>
      </c>
      <c r="E829">
        <v>24</v>
      </c>
      <c r="F829">
        <v>4118.1499999999996</v>
      </c>
      <c r="G829" t="s">
        <v>12</v>
      </c>
      <c r="H829">
        <v>5</v>
      </c>
      <c r="I829">
        <v>2576.39</v>
      </c>
      <c r="J829">
        <v>1541.76</v>
      </c>
      <c r="K829" t="s">
        <v>60</v>
      </c>
      <c r="L829" t="s">
        <v>61</v>
      </c>
      <c r="M829">
        <v>2022</v>
      </c>
      <c r="N829" t="s">
        <v>44</v>
      </c>
    </row>
    <row r="830" spans="1:14" x14ac:dyDescent="0.3">
      <c r="A830" s="1">
        <v>45254</v>
      </c>
      <c r="B830" t="s">
        <v>15</v>
      </c>
      <c r="C830" t="s">
        <v>16</v>
      </c>
      <c r="D830" t="s">
        <v>37</v>
      </c>
      <c r="E830">
        <v>50</v>
      </c>
      <c r="F830">
        <v>17485.32</v>
      </c>
      <c r="G830" t="s">
        <v>20</v>
      </c>
      <c r="H830">
        <v>5</v>
      </c>
      <c r="I830">
        <v>6887.79</v>
      </c>
      <c r="J830">
        <v>10597.53</v>
      </c>
      <c r="K830" t="s">
        <v>65</v>
      </c>
      <c r="L830" t="s">
        <v>59</v>
      </c>
      <c r="M830">
        <v>2023</v>
      </c>
      <c r="N830" t="s">
        <v>45</v>
      </c>
    </row>
    <row r="831" spans="1:14" x14ac:dyDescent="0.3">
      <c r="A831" s="1">
        <v>44987</v>
      </c>
      <c r="B831" t="s">
        <v>15</v>
      </c>
      <c r="C831" t="s">
        <v>21</v>
      </c>
      <c r="D831" t="s">
        <v>32</v>
      </c>
      <c r="E831">
        <v>27</v>
      </c>
      <c r="F831">
        <v>4916.0200000000004</v>
      </c>
      <c r="G831" t="s">
        <v>12</v>
      </c>
      <c r="H831">
        <v>3</v>
      </c>
      <c r="I831">
        <v>1711.04</v>
      </c>
      <c r="J831">
        <v>3204.98</v>
      </c>
      <c r="K831" t="s">
        <v>52</v>
      </c>
      <c r="L831" t="s">
        <v>53</v>
      </c>
      <c r="M831">
        <v>2023</v>
      </c>
      <c r="N831" t="s">
        <v>44</v>
      </c>
    </row>
    <row r="832" spans="1:14" x14ac:dyDescent="0.3">
      <c r="A832" s="1">
        <v>44593</v>
      </c>
      <c r="B832" t="s">
        <v>18</v>
      </c>
      <c r="C832" t="s">
        <v>16</v>
      </c>
      <c r="D832" t="s">
        <v>24</v>
      </c>
      <c r="E832">
        <v>33</v>
      </c>
      <c r="F832">
        <v>12396.69</v>
      </c>
      <c r="G832" t="s">
        <v>12</v>
      </c>
      <c r="H832">
        <v>5</v>
      </c>
      <c r="I832">
        <v>7446.26</v>
      </c>
      <c r="J832">
        <v>4950.43</v>
      </c>
      <c r="K832" t="s">
        <v>54</v>
      </c>
      <c r="L832" t="s">
        <v>53</v>
      </c>
      <c r="M832">
        <v>2022</v>
      </c>
      <c r="N832" t="s">
        <v>44</v>
      </c>
    </row>
    <row r="833" spans="1:14" x14ac:dyDescent="0.3">
      <c r="A833" s="1">
        <v>44688</v>
      </c>
      <c r="B833" t="s">
        <v>23</v>
      </c>
      <c r="C833" t="s">
        <v>16</v>
      </c>
      <c r="D833" t="s">
        <v>37</v>
      </c>
      <c r="E833">
        <v>6</v>
      </c>
      <c r="F833">
        <v>60.2</v>
      </c>
      <c r="G833" t="s">
        <v>12</v>
      </c>
      <c r="H833">
        <v>2</v>
      </c>
      <c r="I833">
        <v>379.68</v>
      </c>
      <c r="J833">
        <v>-319.48</v>
      </c>
      <c r="K833" t="s">
        <v>56</v>
      </c>
      <c r="L833" t="s">
        <v>51</v>
      </c>
      <c r="M833">
        <v>2022</v>
      </c>
      <c r="N833" t="s">
        <v>44</v>
      </c>
    </row>
    <row r="834" spans="1:14" x14ac:dyDescent="0.3">
      <c r="A834" s="1">
        <v>44571</v>
      </c>
      <c r="B834" t="s">
        <v>31</v>
      </c>
      <c r="C834" t="s">
        <v>25</v>
      </c>
      <c r="D834" t="s">
        <v>30</v>
      </c>
      <c r="E834">
        <v>25</v>
      </c>
      <c r="F834">
        <v>4254.0200000000004</v>
      </c>
      <c r="G834" t="s">
        <v>20</v>
      </c>
      <c r="H834">
        <v>4</v>
      </c>
      <c r="I834">
        <v>301.98</v>
      </c>
      <c r="J834">
        <v>3952.04</v>
      </c>
      <c r="K834" t="s">
        <v>57</v>
      </c>
      <c r="L834" t="s">
        <v>53</v>
      </c>
      <c r="M834">
        <v>2022</v>
      </c>
      <c r="N834" t="s">
        <v>45</v>
      </c>
    </row>
    <row r="835" spans="1:14" x14ac:dyDescent="0.3">
      <c r="A835" s="1">
        <v>44912</v>
      </c>
      <c r="B835" t="s">
        <v>18</v>
      </c>
      <c r="C835" t="s">
        <v>21</v>
      </c>
      <c r="D835" t="s">
        <v>36</v>
      </c>
      <c r="E835">
        <v>23</v>
      </c>
      <c r="F835">
        <v>3836.59</v>
      </c>
      <c r="G835" t="s">
        <v>20</v>
      </c>
      <c r="H835">
        <v>1</v>
      </c>
      <c r="I835">
        <v>3449.11</v>
      </c>
      <c r="J835">
        <v>387.48</v>
      </c>
      <c r="K835" t="s">
        <v>58</v>
      </c>
      <c r="L835" t="s">
        <v>59</v>
      </c>
      <c r="M835">
        <v>2022</v>
      </c>
      <c r="N835" t="s">
        <v>44</v>
      </c>
    </row>
    <row r="836" spans="1:14" x14ac:dyDescent="0.3">
      <c r="A836" s="1">
        <v>44567</v>
      </c>
      <c r="B836" t="s">
        <v>15</v>
      </c>
      <c r="C836" t="s">
        <v>13</v>
      </c>
      <c r="D836" t="s">
        <v>29</v>
      </c>
      <c r="E836">
        <v>6</v>
      </c>
      <c r="F836">
        <v>1169.3699999999999</v>
      </c>
      <c r="G836" t="s">
        <v>20</v>
      </c>
      <c r="H836">
        <v>2</v>
      </c>
      <c r="I836">
        <v>529.91999999999996</v>
      </c>
      <c r="J836">
        <v>639.45000000000005</v>
      </c>
      <c r="K836" t="s">
        <v>57</v>
      </c>
      <c r="L836" t="s">
        <v>53</v>
      </c>
      <c r="M836">
        <v>2022</v>
      </c>
      <c r="N836" t="s">
        <v>44</v>
      </c>
    </row>
    <row r="837" spans="1:14" x14ac:dyDescent="0.3">
      <c r="A837" s="1">
        <v>44753</v>
      </c>
      <c r="B837" t="s">
        <v>18</v>
      </c>
      <c r="C837" t="s">
        <v>10</v>
      </c>
      <c r="D837" t="s">
        <v>28</v>
      </c>
      <c r="E837">
        <v>40</v>
      </c>
      <c r="F837">
        <v>15782.09</v>
      </c>
      <c r="G837" t="s">
        <v>12</v>
      </c>
      <c r="H837">
        <v>2</v>
      </c>
      <c r="I837">
        <v>2175.12</v>
      </c>
      <c r="J837">
        <v>13606.97</v>
      </c>
      <c r="K837" t="s">
        <v>63</v>
      </c>
      <c r="L837" t="s">
        <v>61</v>
      </c>
      <c r="M837">
        <v>2022</v>
      </c>
      <c r="N837" t="s">
        <v>44</v>
      </c>
    </row>
    <row r="838" spans="1:14" x14ac:dyDescent="0.3">
      <c r="A838" s="1">
        <v>44689</v>
      </c>
      <c r="B838" t="s">
        <v>31</v>
      </c>
      <c r="C838" t="s">
        <v>10</v>
      </c>
      <c r="D838" t="s">
        <v>28</v>
      </c>
      <c r="E838">
        <v>7</v>
      </c>
      <c r="F838">
        <v>691.09</v>
      </c>
      <c r="G838" t="s">
        <v>12</v>
      </c>
      <c r="H838">
        <v>1</v>
      </c>
      <c r="I838">
        <v>1186.26</v>
      </c>
      <c r="J838">
        <v>-495.17</v>
      </c>
      <c r="K838" t="s">
        <v>56</v>
      </c>
      <c r="L838" t="s">
        <v>51</v>
      </c>
      <c r="M838">
        <v>2022</v>
      </c>
      <c r="N838" t="s">
        <v>44</v>
      </c>
    </row>
    <row r="839" spans="1:14" x14ac:dyDescent="0.3">
      <c r="A839" s="1">
        <v>44907</v>
      </c>
      <c r="B839" t="s">
        <v>31</v>
      </c>
      <c r="C839" t="s">
        <v>16</v>
      </c>
      <c r="D839" t="s">
        <v>37</v>
      </c>
      <c r="E839">
        <v>43</v>
      </c>
      <c r="F839">
        <v>6988.41</v>
      </c>
      <c r="G839" t="s">
        <v>20</v>
      </c>
      <c r="H839">
        <v>2</v>
      </c>
      <c r="I839">
        <v>5706.93</v>
      </c>
      <c r="J839">
        <v>1281.48</v>
      </c>
      <c r="K839" t="s">
        <v>58</v>
      </c>
      <c r="L839" t="s">
        <v>59</v>
      </c>
      <c r="M839">
        <v>2022</v>
      </c>
      <c r="N839" t="s">
        <v>43</v>
      </c>
    </row>
    <row r="840" spans="1:14" x14ac:dyDescent="0.3">
      <c r="A840" s="1">
        <v>45177</v>
      </c>
      <c r="B840" t="s">
        <v>18</v>
      </c>
      <c r="C840" t="s">
        <v>21</v>
      </c>
      <c r="D840" t="s">
        <v>32</v>
      </c>
      <c r="E840">
        <v>37</v>
      </c>
      <c r="F840">
        <v>16500.599999999999</v>
      </c>
      <c r="G840" t="s">
        <v>12</v>
      </c>
      <c r="H840">
        <v>4</v>
      </c>
      <c r="I840">
        <v>7142.47</v>
      </c>
      <c r="J840">
        <v>9358.1299999999992</v>
      </c>
      <c r="K840" t="s">
        <v>60</v>
      </c>
      <c r="L840" t="s">
        <v>61</v>
      </c>
      <c r="M840">
        <v>2023</v>
      </c>
      <c r="N840" t="s">
        <v>45</v>
      </c>
    </row>
    <row r="841" spans="1:14" x14ac:dyDescent="0.3">
      <c r="A841" s="1">
        <v>45252</v>
      </c>
      <c r="B841" t="s">
        <v>9</v>
      </c>
      <c r="C841" t="s">
        <v>10</v>
      </c>
      <c r="D841" t="s">
        <v>28</v>
      </c>
      <c r="E841">
        <v>23</v>
      </c>
      <c r="F841">
        <v>10902.31</v>
      </c>
      <c r="G841" t="s">
        <v>12</v>
      </c>
      <c r="H841">
        <v>5</v>
      </c>
      <c r="I841">
        <v>3721.27</v>
      </c>
      <c r="J841">
        <v>7181.04</v>
      </c>
      <c r="K841" t="s">
        <v>65</v>
      </c>
      <c r="L841" t="s">
        <v>59</v>
      </c>
      <c r="M841">
        <v>2023</v>
      </c>
      <c r="N841" t="s">
        <v>45</v>
      </c>
    </row>
    <row r="842" spans="1:14" x14ac:dyDescent="0.3">
      <c r="A842" s="1">
        <v>44810</v>
      </c>
      <c r="B842" t="s">
        <v>31</v>
      </c>
      <c r="C842" t="s">
        <v>25</v>
      </c>
      <c r="D842" t="s">
        <v>39</v>
      </c>
      <c r="E842">
        <v>4</v>
      </c>
      <c r="F842">
        <v>1473.57</v>
      </c>
      <c r="G842" t="s">
        <v>20</v>
      </c>
      <c r="H842">
        <v>3</v>
      </c>
      <c r="I842">
        <v>151.29</v>
      </c>
      <c r="J842">
        <v>1322.28</v>
      </c>
      <c r="K842" t="s">
        <v>60</v>
      </c>
      <c r="L842" t="s">
        <v>61</v>
      </c>
      <c r="M842">
        <v>2022</v>
      </c>
      <c r="N842" t="s">
        <v>45</v>
      </c>
    </row>
    <row r="843" spans="1:14" x14ac:dyDescent="0.3">
      <c r="A843" s="1">
        <v>45149</v>
      </c>
      <c r="B843" t="s">
        <v>15</v>
      </c>
      <c r="C843" t="s">
        <v>13</v>
      </c>
      <c r="D843" t="s">
        <v>29</v>
      </c>
      <c r="E843">
        <v>17</v>
      </c>
      <c r="F843">
        <v>3639.02</v>
      </c>
      <c r="G843" t="s">
        <v>20</v>
      </c>
      <c r="H843">
        <v>3</v>
      </c>
      <c r="I843">
        <v>2833.57</v>
      </c>
      <c r="J843">
        <v>805.45</v>
      </c>
      <c r="K843" t="s">
        <v>64</v>
      </c>
      <c r="L843" t="s">
        <v>61</v>
      </c>
      <c r="M843">
        <v>2023</v>
      </c>
      <c r="N843" t="s">
        <v>45</v>
      </c>
    </row>
    <row r="844" spans="1:14" x14ac:dyDescent="0.3">
      <c r="A844" s="1">
        <v>45013</v>
      </c>
      <c r="B844" t="s">
        <v>15</v>
      </c>
      <c r="C844" t="s">
        <v>16</v>
      </c>
      <c r="D844" t="s">
        <v>24</v>
      </c>
      <c r="E844">
        <v>21</v>
      </c>
      <c r="F844">
        <v>6110.42</v>
      </c>
      <c r="G844" t="s">
        <v>12</v>
      </c>
      <c r="H844">
        <v>1</v>
      </c>
      <c r="I844">
        <v>4512.8500000000004</v>
      </c>
      <c r="J844">
        <v>1597.57</v>
      </c>
      <c r="K844" t="s">
        <v>52</v>
      </c>
      <c r="L844" t="s">
        <v>53</v>
      </c>
      <c r="M844">
        <v>2023</v>
      </c>
      <c r="N844" t="s">
        <v>45</v>
      </c>
    </row>
    <row r="845" spans="1:14" x14ac:dyDescent="0.3">
      <c r="A845" s="1">
        <v>44887</v>
      </c>
      <c r="B845" t="s">
        <v>31</v>
      </c>
      <c r="C845" t="s">
        <v>25</v>
      </c>
      <c r="D845" t="s">
        <v>38</v>
      </c>
      <c r="E845">
        <v>49</v>
      </c>
      <c r="F845">
        <v>23388.31</v>
      </c>
      <c r="G845" t="s">
        <v>12</v>
      </c>
      <c r="H845">
        <v>5</v>
      </c>
      <c r="I845">
        <v>316.95</v>
      </c>
      <c r="J845">
        <v>23071.360000000001</v>
      </c>
      <c r="K845" t="s">
        <v>65</v>
      </c>
      <c r="L845" t="s">
        <v>59</v>
      </c>
      <c r="M845">
        <v>2022</v>
      </c>
      <c r="N845" t="s">
        <v>44</v>
      </c>
    </row>
    <row r="846" spans="1:14" x14ac:dyDescent="0.3">
      <c r="A846" s="1">
        <v>44824</v>
      </c>
      <c r="B846" t="s">
        <v>9</v>
      </c>
      <c r="C846" t="s">
        <v>16</v>
      </c>
      <c r="D846" t="s">
        <v>17</v>
      </c>
      <c r="E846">
        <v>38</v>
      </c>
      <c r="F846">
        <v>17189.72</v>
      </c>
      <c r="G846" t="s">
        <v>20</v>
      </c>
      <c r="H846">
        <v>2</v>
      </c>
      <c r="I846">
        <v>4320.3100000000004</v>
      </c>
      <c r="J846">
        <v>12869.41</v>
      </c>
      <c r="K846" t="s">
        <v>60</v>
      </c>
      <c r="L846" t="s">
        <v>61</v>
      </c>
      <c r="M846">
        <v>2022</v>
      </c>
      <c r="N846" t="s">
        <v>45</v>
      </c>
    </row>
    <row r="847" spans="1:14" x14ac:dyDescent="0.3">
      <c r="A847" s="1">
        <v>44986</v>
      </c>
      <c r="B847" t="s">
        <v>18</v>
      </c>
      <c r="C847" t="s">
        <v>13</v>
      </c>
      <c r="D847" t="s">
        <v>19</v>
      </c>
      <c r="E847">
        <v>40</v>
      </c>
      <c r="F847">
        <v>12711.29</v>
      </c>
      <c r="G847" t="s">
        <v>12</v>
      </c>
      <c r="H847">
        <v>4</v>
      </c>
      <c r="I847">
        <v>470.44</v>
      </c>
      <c r="J847">
        <v>12240.85</v>
      </c>
      <c r="K847" t="s">
        <v>52</v>
      </c>
      <c r="L847" t="s">
        <v>53</v>
      </c>
      <c r="M847">
        <v>2023</v>
      </c>
      <c r="N847" t="s">
        <v>45</v>
      </c>
    </row>
    <row r="848" spans="1:14" x14ac:dyDescent="0.3">
      <c r="A848" s="1">
        <v>44841</v>
      </c>
      <c r="B848" t="s">
        <v>9</v>
      </c>
      <c r="C848" t="s">
        <v>25</v>
      </c>
      <c r="D848" t="s">
        <v>30</v>
      </c>
      <c r="E848">
        <v>24</v>
      </c>
      <c r="F848">
        <v>10663.3</v>
      </c>
      <c r="G848" t="s">
        <v>12</v>
      </c>
      <c r="H848">
        <v>2</v>
      </c>
      <c r="I848">
        <v>481.57</v>
      </c>
      <c r="J848">
        <v>10181.73</v>
      </c>
      <c r="K848" t="s">
        <v>62</v>
      </c>
      <c r="L848" t="s">
        <v>59</v>
      </c>
      <c r="M848">
        <v>2022</v>
      </c>
      <c r="N848" t="s">
        <v>45</v>
      </c>
    </row>
    <row r="849" spans="1:14" x14ac:dyDescent="0.3">
      <c r="A849" s="1">
        <v>44943</v>
      </c>
      <c r="B849" t="s">
        <v>31</v>
      </c>
      <c r="C849" t="s">
        <v>10</v>
      </c>
      <c r="D849" t="s">
        <v>35</v>
      </c>
      <c r="E849">
        <v>44</v>
      </c>
      <c r="F849">
        <v>15587.57</v>
      </c>
      <c r="G849" t="s">
        <v>12</v>
      </c>
      <c r="H849">
        <v>3</v>
      </c>
      <c r="I849">
        <v>2566.66</v>
      </c>
      <c r="J849">
        <v>13020.91</v>
      </c>
      <c r="K849" t="s">
        <v>57</v>
      </c>
      <c r="L849" t="s">
        <v>53</v>
      </c>
      <c r="M849">
        <v>2023</v>
      </c>
      <c r="N849" t="s">
        <v>44</v>
      </c>
    </row>
    <row r="850" spans="1:14" x14ac:dyDescent="0.3">
      <c r="A850" s="1">
        <v>45265</v>
      </c>
      <c r="B850" t="s">
        <v>15</v>
      </c>
      <c r="C850" t="s">
        <v>13</v>
      </c>
      <c r="D850" t="s">
        <v>14</v>
      </c>
      <c r="E850">
        <v>41</v>
      </c>
      <c r="F850">
        <v>12143.34</v>
      </c>
      <c r="G850" t="s">
        <v>20</v>
      </c>
      <c r="H850">
        <v>5</v>
      </c>
      <c r="I850">
        <v>3323.69</v>
      </c>
      <c r="J850">
        <v>8819.65</v>
      </c>
      <c r="K850" t="s">
        <v>58</v>
      </c>
      <c r="L850" t="s">
        <v>59</v>
      </c>
      <c r="M850">
        <v>2023</v>
      </c>
      <c r="N850" t="s">
        <v>44</v>
      </c>
    </row>
    <row r="851" spans="1:14" x14ac:dyDescent="0.3">
      <c r="A851" s="1">
        <v>44633</v>
      </c>
      <c r="B851" t="s">
        <v>23</v>
      </c>
      <c r="C851" t="s">
        <v>10</v>
      </c>
      <c r="D851" t="s">
        <v>35</v>
      </c>
      <c r="E851">
        <v>20</v>
      </c>
      <c r="F851">
        <v>3383.9</v>
      </c>
      <c r="G851" t="s">
        <v>20</v>
      </c>
      <c r="H851">
        <v>1</v>
      </c>
      <c r="I851">
        <v>3682.91</v>
      </c>
      <c r="J851">
        <v>-299.01</v>
      </c>
      <c r="K851" t="s">
        <v>52</v>
      </c>
      <c r="L851" t="s">
        <v>53</v>
      </c>
      <c r="M851">
        <v>2022</v>
      </c>
      <c r="N851" t="s">
        <v>44</v>
      </c>
    </row>
    <row r="852" spans="1:14" x14ac:dyDescent="0.3">
      <c r="A852" s="1">
        <v>45020</v>
      </c>
      <c r="B852" t="s">
        <v>9</v>
      </c>
      <c r="C852" t="s">
        <v>13</v>
      </c>
      <c r="D852" t="s">
        <v>19</v>
      </c>
      <c r="E852">
        <v>49</v>
      </c>
      <c r="F852">
        <v>963.63</v>
      </c>
      <c r="G852" t="s">
        <v>12</v>
      </c>
      <c r="H852">
        <v>2</v>
      </c>
      <c r="I852">
        <v>6381.31</v>
      </c>
      <c r="J852">
        <v>-5417.68</v>
      </c>
      <c r="K852" t="s">
        <v>55</v>
      </c>
      <c r="L852" t="s">
        <v>51</v>
      </c>
      <c r="M852">
        <v>2023</v>
      </c>
      <c r="N852" t="s">
        <v>45</v>
      </c>
    </row>
    <row r="853" spans="1:14" x14ac:dyDescent="0.3">
      <c r="A853" s="1">
        <v>44651</v>
      </c>
      <c r="B853" t="s">
        <v>31</v>
      </c>
      <c r="C853" t="s">
        <v>21</v>
      </c>
      <c r="D853" t="s">
        <v>33</v>
      </c>
      <c r="E853">
        <v>37</v>
      </c>
      <c r="F853">
        <v>7509.05</v>
      </c>
      <c r="G853" t="s">
        <v>12</v>
      </c>
      <c r="H853">
        <v>2</v>
      </c>
      <c r="I853">
        <v>3120.24</v>
      </c>
      <c r="J853">
        <v>4388.8100000000004</v>
      </c>
      <c r="K853" t="s">
        <v>52</v>
      </c>
      <c r="L853" t="s">
        <v>53</v>
      </c>
      <c r="M853">
        <v>2022</v>
      </c>
      <c r="N853" t="s">
        <v>44</v>
      </c>
    </row>
    <row r="854" spans="1:14" x14ac:dyDescent="0.3">
      <c r="A854" s="1">
        <v>44589</v>
      </c>
      <c r="B854" t="s">
        <v>23</v>
      </c>
      <c r="C854" t="s">
        <v>10</v>
      </c>
      <c r="D854" t="s">
        <v>34</v>
      </c>
      <c r="E854">
        <v>35</v>
      </c>
      <c r="F854">
        <v>15697.03</v>
      </c>
      <c r="G854" t="s">
        <v>20</v>
      </c>
      <c r="H854">
        <v>1</v>
      </c>
      <c r="I854">
        <v>3815.12</v>
      </c>
      <c r="J854">
        <v>11881.91</v>
      </c>
      <c r="K854" t="s">
        <v>57</v>
      </c>
      <c r="L854" t="s">
        <v>53</v>
      </c>
      <c r="M854">
        <v>2022</v>
      </c>
      <c r="N854" t="s">
        <v>44</v>
      </c>
    </row>
    <row r="855" spans="1:14" x14ac:dyDescent="0.3">
      <c r="A855" s="1">
        <v>44610</v>
      </c>
      <c r="B855" t="s">
        <v>18</v>
      </c>
      <c r="C855" t="s">
        <v>16</v>
      </c>
      <c r="D855" t="s">
        <v>27</v>
      </c>
      <c r="E855">
        <v>11</v>
      </c>
      <c r="F855">
        <v>5179.43</v>
      </c>
      <c r="G855" t="s">
        <v>12</v>
      </c>
      <c r="H855">
        <v>4</v>
      </c>
      <c r="I855">
        <v>2673.67</v>
      </c>
      <c r="J855">
        <v>2505.7600000000002</v>
      </c>
      <c r="K855" t="s">
        <v>54</v>
      </c>
      <c r="L855" t="s">
        <v>53</v>
      </c>
      <c r="M855">
        <v>2022</v>
      </c>
      <c r="N855" t="s">
        <v>45</v>
      </c>
    </row>
    <row r="856" spans="1:14" x14ac:dyDescent="0.3">
      <c r="A856" s="1">
        <v>45181</v>
      </c>
      <c r="B856" t="s">
        <v>23</v>
      </c>
      <c r="C856" t="s">
        <v>13</v>
      </c>
      <c r="D856" t="s">
        <v>19</v>
      </c>
      <c r="E856">
        <v>38</v>
      </c>
      <c r="F856">
        <v>5996.68</v>
      </c>
      <c r="G856" t="s">
        <v>12</v>
      </c>
      <c r="H856">
        <v>1</v>
      </c>
      <c r="I856">
        <v>2864.44</v>
      </c>
      <c r="J856">
        <v>3132.24</v>
      </c>
      <c r="K856" t="s">
        <v>60</v>
      </c>
      <c r="L856" t="s">
        <v>61</v>
      </c>
      <c r="M856">
        <v>2023</v>
      </c>
      <c r="N856" t="s">
        <v>44</v>
      </c>
    </row>
    <row r="857" spans="1:14" x14ac:dyDescent="0.3">
      <c r="A857" s="1">
        <v>44817</v>
      </c>
      <c r="B857" t="s">
        <v>15</v>
      </c>
      <c r="C857" t="s">
        <v>25</v>
      </c>
      <c r="D857" t="s">
        <v>38</v>
      </c>
      <c r="E857">
        <v>44</v>
      </c>
      <c r="F857">
        <v>6963.89</v>
      </c>
      <c r="G857" t="s">
        <v>12</v>
      </c>
      <c r="H857">
        <v>3</v>
      </c>
      <c r="I857">
        <v>2053.09</v>
      </c>
      <c r="J857">
        <v>4910.8</v>
      </c>
      <c r="K857" t="s">
        <v>60</v>
      </c>
      <c r="L857" t="s">
        <v>61</v>
      </c>
      <c r="M857">
        <v>2022</v>
      </c>
      <c r="N857" t="s">
        <v>47</v>
      </c>
    </row>
    <row r="858" spans="1:14" x14ac:dyDescent="0.3">
      <c r="A858" s="1">
        <v>44811</v>
      </c>
      <c r="B858" t="s">
        <v>18</v>
      </c>
      <c r="C858" t="s">
        <v>13</v>
      </c>
      <c r="D858" t="s">
        <v>40</v>
      </c>
      <c r="E858">
        <v>20</v>
      </c>
      <c r="F858">
        <v>1325.04</v>
      </c>
      <c r="G858" t="s">
        <v>12</v>
      </c>
      <c r="H858">
        <v>5</v>
      </c>
      <c r="I858">
        <v>2022.14</v>
      </c>
      <c r="J858">
        <v>-697.1</v>
      </c>
      <c r="K858" t="s">
        <v>60</v>
      </c>
      <c r="L858" t="s">
        <v>61</v>
      </c>
      <c r="M858">
        <v>2022</v>
      </c>
      <c r="N858" t="s">
        <v>44</v>
      </c>
    </row>
    <row r="859" spans="1:14" x14ac:dyDescent="0.3">
      <c r="A859" s="1">
        <v>44679</v>
      </c>
      <c r="B859" t="s">
        <v>31</v>
      </c>
      <c r="C859" t="s">
        <v>16</v>
      </c>
      <c r="D859" t="s">
        <v>37</v>
      </c>
      <c r="E859">
        <v>22</v>
      </c>
      <c r="F859">
        <v>10838.8</v>
      </c>
      <c r="G859" t="s">
        <v>20</v>
      </c>
      <c r="H859">
        <v>2</v>
      </c>
      <c r="I859">
        <v>1427.5</v>
      </c>
      <c r="J859">
        <v>9411.2999999999993</v>
      </c>
      <c r="K859" t="s">
        <v>55</v>
      </c>
      <c r="L859" t="s">
        <v>51</v>
      </c>
      <c r="M859">
        <v>2022</v>
      </c>
      <c r="N859" t="s">
        <v>44</v>
      </c>
    </row>
    <row r="860" spans="1:14" x14ac:dyDescent="0.3">
      <c r="A860" s="1">
        <v>44744</v>
      </c>
      <c r="B860" t="s">
        <v>15</v>
      </c>
      <c r="C860" t="s">
        <v>10</v>
      </c>
      <c r="D860" t="s">
        <v>34</v>
      </c>
      <c r="E860">
        <v>11</v>
      </c>
      <c r="F860">
        <v>2616.3000000000002</v>
      </c>
      <c r="G860" t="s">
        <v>20</v>
      </c>
      <c r="H860">
        <v>5</v>
      </c>
      <c r="I860">
        <v>287.27</v>
      </c>
      <c r="J860">
        <v>2329.0300000000002</v>
      </c>
      <c r="K860" t="s">
        <v>63</v>
      </c>
      <c r="L860" t="s">
        <v>61</v>
      </c>
      <c r="M860">
        <v>2022</v>
      </c>
      <c r="N860" t="s">
        <v>45</v>
      </c>
    </row>
    <row r="861" spans="1:14" x14ac:dyDescent="0.3">
      <c r="A861" s="1">
        <v>44870</v>
      </c>
      <c r="B861" t="s">
        <v>31</v>
      </c>
      <c r="C861" t="s">
        <v>13</v>
      </c>
      <c r="D861" t="s">
        <v>19</v>
      </c>
      <c r="E861">
        <v>33</v>
      </c>
      <c r="F861">
        <v>14356.85</v>
      </c>
      <c r="G861" t="s">
        <v>12</v>
      </c>
      <c r="H861">
        <v>1</v>
      </c>
      <c r="I861">
        <v>3877.44</v>
      </c>
      <c r="J861">
        <v>10479.41</v>
      </c>
      <c r="K861" t="s">
        <v>65</v>
      </c>
      <c r="L861" t="s">
        <v>59</v>
      </c>
      <c r="M861">
        <v>2022</v>
      </c>
      <c r="N861" t="s">
        <v>44</v>
      </c>
    </row>
    <row r="862" spans="1:14" x14ac:dyDescent="0.3">
      <c r="A862" s="1">
        <v>44619</v>
      </c>
      <c r="B862" t="s">
        <v>15</v>
      </c>
      <c r="C862" t="s">
        <v>25</v>
      </c>
      <c r="D862" t="s">
        <v>38</v>
      </c>
      <c r="E862">
        <v>49</v>
      </c>
      <c r="F862">
        <v>18716.36</v>
      </c>
      <c r="G862" t="s">
        <v>20</v>
      </c>
      <c r="H862">
        <v>2</v>
      </c>
      <c r="I862">
        <v>7073.52</v>
      </c>
      <c r="J862">
        <v>11642.84</v>
      </c>
      <c r="K862" t="s">
        <v>54</v>
      </c>
      <c r="L862" t="s">
        <v>53</v>
      </c>
      <c r="M862">
        <v>2022</v>
      </c>
      <c r="N862" t="s">
        <v>44</v>
      </c>
    </row>
    <row r="863" spans="1:14" x14ac:dyDescent="0.3">
      <c r="A863" s="1">
        <v>44977</v>
      </c>
      <c r="B863" t="s">
        <v>18</v>
      </c>
      <c r="C863" t="s">
        <v>16</v>
      </c>
      <c r="D863" t="s">
        <v>17</v>
      </c>
      <c r="E863">
        <v>4</v>
      </c>
      <c r="F863">
        <v>1873.16</v>
      </c>
      <c r="G863" t="s">
        <v>20</v>
      </c>
      <c r="H863">
        <v>2</v>
      </c>
      <c r="I863">
        <v>601.27</v>
      </c>
      <c r="J863">
        <v>1271.8900000000001</v>
      </c>
      <c r="K863" t="s">
        <v>54</v>
      </c>
      <c r="L863" t="s">
        <v>53</v>
      </c>
      <c r="M863">
        <v>2023</v>
      </c>
      <c r="N863" t="s">
        <v>45</v>
      </c>
    </row>
    <row r="864" spans="1:14" x14ac:dyDescent="0.3">
      <c r="A864" s="1">
        <v>45259</v>
      </c>
      <c r="B864" t="s">
        <v>31</v>
      </c>
      <c r="C864" t="s">
        <v>25</v>
      </c>
      <c r="D864" t="s">
        <v>26</v>
      </c>
      <c r="E864">
        <v>10</v>
      </c>
      <c r="F864">
        <v>351.15</v>
      </c>
      <c r="G864" t="s">
        <v>12</v>
      </c>
      <c r="H864">
        <v>5</v>
      </c>
      <c r="I864">
        <v>2407.0500000000002</v>
      </c>
      <c r="J864">
        <v>-2055.9</v>
      </c>
      <c r="K864" t="s">
        <v>65</v>
      </c>
      <c r="L864" t="s">
        <v>59</v>
      </c>
      <c r="M864">
        <v>2023</v>
      </c>
      <c r="N864" t="s">
        <v>45</v>
      </c>
    </row>
    <row r="865" spans="1:14" x14ac:dyDescent="0.3">
      <c r="A865" s="1">
        <v>44975</v>
      </c>
      <c r="B865" t="s">
        <v>9</v>
      </c>
      <c r="C865" t="s">
        <v>13</v>
      </c>
      <c r="D865" t="s">
        <v>40</v>
      </c>
      <c r="E865">
        <v>26</v>
      </c>
      <c r="F865">
        <v>12296.44</v>
      </c>
      <c r="G865" t="s">
        <v>12</v>
      </c>
      <c r="H865">
        <v>4</v>
      </c>
      <c r="I865">
        <v>2555.48</v>
      </c>
      <c r="J865">
        <v>9740.9599999999991</v>
      </c>
      <c r="K865" t="s">
        <v>54</v>
      </c>
      <c r="L865" t="s">
        <v>53</v>
      </c>
      <c r="M865">
        <v>2023</v>
      </c>
      <c r="N865" t="s">
        <v>44</v>
      </c>
    </row>
    <row r="866" spans="1:14" x14ac:dyDescent="0.3">
      <c r="A866" s="1">
        <v>44818</v>
      </c>
      <c r="B866" t="s">
        <v>18</v>
      </c>
      <c r="C866" t="s">
        <v>13</v>
      </c>
      <c r="D866" t="s">
        <v>19</v>
      </c>
      <c r="E866">
        <v>49</v>
      </c>
      <c r="F866">
        <v>17471.28</v>
      </c>
      <c r="G866" t="s">
        <v>20</v>
      </c>
      <c r="H866">
        <v>3</v>
      </c>
      <c r="I866">
        <v>10785.32</v>
      </c>
      <c r="J866">
        <v>6685.96</v>
      </c>
      <c r="K866" t="s">
        <v>60</v>
      </c>
      <c r="L866" t="s">
        <v>61</v>
      </c>
      <c r="M866">
        <v>2022</v>
      </c>
      <c r="N866" t="s">
        <v>44</v>
      </c>
    </row>
    <row r="867" spans="1:14" x14ac:dyDescent="0.3">
      <c r="A867" s="1">
        <v>44706</v>
      </c>
      <c r="B867" t="s">
        <v>15</v>
      </c>
      <c r="C867" t="s">
        <v>16</v>
      </c>
      <c r="D867" t="s">
        <v>27</v>
      </c>
      <c r="E867">
        <v>1</v>
      </c>
      <c r="F867">
        <v>58</v>
      </c>
      <c r="G867" t="s">
        <v>20</v>
      </c>
      <c r="H867">
        <v>1</v>
      </c>
      <c r="I867">
        <v>120.96</v>
      </c>
      <c r="J867">
        <v>-62.96</v>
      </c>
      <c r="K867" t="s">
        <v>56</v>
      </c>
      <c r="L867" t="s">
        <v>51</v>
      </c>
      <c r="M867">
        <v>2022</v>
      </c>
      <c r="N867" t="s">
        <v>44</v>
      </c>
    </row>
    <row r="868" spans="1:14" x14ac:dyDescent="0.3">
      <c r="A868" s="1">
        <v>44686</v>
      </c>
      <c r="B868" t="s">
        <v>18</v>
      </c>
      <c r="C868" t="s">
        <v>16</v>
      </c>
      <c r="D868" t="s">
        <v>24</v>
      </c>
      <c r="E868">
        <v>9</v>
      </c>
      <c r="F868">
        <v>3848.35</v>
      </c>
      <c r="G868" t="s">
        <v>12</v>
      </c>
      <c r="H868">
        <v>4</v>
      </c>
      <c r="I868">
        <v>366.06</v>
      </c>
      <c r="J868">
        <v>3482.29</v>
      </c>
      <c r="K868" t="s">
        <v>56</v>
      </c>
      <c r="L868" t="s">
        <v>51</v>
      </c>
      <c r="M868">
        <v>2022</v>
      </c>
      <c r="N868" t="s">
        <v>44</v>
      </c>
    </row>
    <row r="869" spans="1:14" x14ac:dyDescent="0.3">
      <c r="A869" s="1">
        <v>45165</v>
      </c>
      <c r="B869" t="s">
        <v>9</v>
      </c>
      <c r="C869" t="s">
        <v>25</v>
      </c>
      <c r="D869" t="s">
        <v>30</v>
      </c>
      <c r="E869">
        <v>29</v>
      </c>
      <c r="F869">
        <v>3003.7</v>
      </c>
      <c r="G869" t="s">
        <v>20</v>
      </c>
      <c r="H869">
        <v>5</v>
      </c>
      <c r="I869">
        <v>5454.1</v>
      </c>
      <c r="J869">
        <v>-2450.4</v>
      </c>
      <c r="K869" t="s">
        <v>64</v>
      </c>
      <c r="L869" t="s">
        <v>61</v>
      </c>
      <c r="M869">
        <v>2023</v>
      </c>
      <c r="N869" t="s">
        <v>44</v>
      </c>
    </row>
    <row r="870" spans="1:14" x14ac:dyDescent="0.3">
      <c r="A870" s="1">
        <v>44929</v>
      </c>
      <c r="B870" t="s">
        <v>9</v>
      </c>
      <c r="C870" t="s">
        <v>10</v>
      </c>
      <c r="D870" t="s">
        <v>34</v>
      </c>
      <c r="E870">
        <v>48</v>
      </c>
      <c r="F870">
        <v>17001.62</v>
      </c>
      <c r="G870" t="s">
        <v>12</v>
      </c>
      <c r="H870">
        <v>4</v>
      </c>
      <c r="I870">
        <v>9478.16</v>
      </c>
      <c r="J870">
        <v>7523.46</v>
      </c>
      <c r="K870" t="s">
        <v>57</v>
      </c>
      <c r="L870" t="s">
        <v>53</v>
      </c>
      <c r="M870">
        <v>2023</v>
      </c>
      <c r="N870" t="s">
        <v>44</v>
      </c>
    </row>
    <row r="871" spans="1:14" x14ac:dyDescent="0.3">
      <c r="A871" s="1">
        <v>44616</v>
      </c>
      <c r="B871" t="s">
        <v>9</v>
      </c>
      <c r="C871" t="s">
        <v>25</v>
      </c>
      <c r="D871" t="s">
        <v>30</v>
      </c>
      <c r="E871">
        <v>34</v>
      </c>
      <c r="F871">
        <v>16038.24</v>
      </c>
      <c r="G871" t="s">
        <v>12</v>
      </c>
      <c r="H871">
        <v>4</v>
      </c>
      <c r="I871">
        <v>4186.97</v>
      </c>
      <c r="J871">
        <v>11851.27</v>
      </c>
      <c r="K871" t="s">
        <v>54</v>
      </c>
      <c r="L871" t="s">
        <v>53</v>
      </c>
      <c r="M871">
        <v>2022</v>
      </c>
      <c r="N871" t="s">
        <v>43</v>
      </c>
    </row>
    <row r="872" spans="1:14" x14ac:dyDescent="0.3">
      <c r="A872" s="1">
        <v>44970</v>
      </c>
      <c r="B872" t="s">
        <v>18</v>
      </c>
      <c r="C872" t="s">
        <v>25</v>
      </c>
      <c r="D872" t="s">
        <v>26</v>
      </c>
      <c r="E872">
        <v>1</v>
      </c>
      <c r="F872">
        <v>237.25</v>
      </c>
      <c r="G872" t="s">
        <v>12</v>
      </c>
      <c r="H872">
        <v>5</v>
      </c>
      <c r="I872">
        <v>148.32</v>
      </c>
      <c r="J872">
        <v>88.93</v>
      </c>
      <c r="K872" t="s">
        <v>54</v>
      </c>
      <c r="L872" t="s">
        <v>53</v>
      </c>
      <c r="M872">
        <v>2023</v>
      </c>
      <c r="N872" t="s">
        <v>43</v>
      </c>
    </row>
    <row r="873" spans="1:14" x14ac:dyDescent="0.3">
      <c r="A873" s="1">
        <v>44906</v>
      </c>
      <c r="B873" t="s">
        <v>23</v>
      </c>
      <c r="C873" t="s">
        <v>16</v>
      </c>
      <c r="D873" t="s">
        <v>27</v>
      </c>
      <c r="E873">
        <v>39</v>
      </c>
      <c r="F873">
        <v>3116.14</v>
      </c>
      <c r="G873" t="s">
        <v>20</v>
      </c>
      <c r="H873">
        <v>1</v>
      </c>
      <c r="I873">
        <v>2359.98</v>
      </c>
      <c r="J873">
        <v>756.16</v>
      </c>
      <c r="K873" t="s">
        <v>58</v>
      </c>
      <c r="L873" t="s">
        <v>59</v>
      </c>
      <c r="M873">
        <v>2022</v>
      </c>
      <c r="N873" t="s">
        <v>45</v>
      </c>
    </row>
    <row r="874" spans="1:14" x14ac:dyDescent="0.3">
      <c r="A874" s="1">
        <v>45057</v>
      </c>
      <c r="B874" t="s">
        <v>23</v>
      </c>
      <c r="C874" t="s">
        <v>13</v>
      </c>
      <c r="D874" t="s">
        <v>14</v>
      </c>
      <c r="E874">
        <v>7</v>
      </c>
      <c r="F874">
        <v>828.68</v>
      </c>
      <c r="G874" t="s">
        <v>20</v>
      </c>
      <c r="H874">
        <v>3</v>
      </c>
      <c r="I874">
        <v>946.02</v>
      </c>
      <c r="J874">
        <v>-117.34</v>
      </c>
      <c r="K874" t="s">
        <v>56</v>
      </c>
      <c r="L874" t="s">
        <v>51</v>
      </c>
      <c r="M874">
        <v>2023</v>
      </c>
      <c r="N874" t="s">
        <v>45</v>
      </c>
    </row>
    <row r="875" spans="1:14" x14ac:dyDescent="0.3">
      <c r="A875" s="1">
        <v>45230</v>
      </c>
      <c r="B875" t="s">
        <v>23</v>
      </c>
      <c r="C875" t="s">
        <v>10</v>
      </c>
      <c r="D875" t="s">
        <v>11</v>
      </c>
      <c r="E875">
        <v>45</v>
      </c>
      <c r="F875">
        <v>13493.16</v>
      </c>
      <c r="G875" t="s">
        <v>12</v>
      </c>
      <c r="H875">
        <v>5</v>
      </c>
      <c r="I875">
        <v>7580.81</v>
      </c>
      <c r="J875">
        <v>5912.35</v>
      </c>
      <c r="K875" t="s">
        <v>62</v>
      </c>
      <c r="L875" t="s">
        <v>59</v>
      </c>
      <c r="M875">
        <v>2023</v>
      </c>
      <c r="N875" t="s">
        <v>44</v>
      </c>
    </row>
    <row r="876" spans="1:14" x14ac:dyDescent="0.3">
      <c r="A876" s="1">
        <v>44666</v>
      </c>
      <c r="B876" t="s">
        <v>23</v>
      </c>
      <c r="C876" t="s">
        <v>25</v>
      </c>
      <c r="D876" t="s">
        <v>30</v>
      </c>
      <c r="E876">
        <v>11</v>
      </c>
      <c r="F876">
        <v>4538.43</v>
      </c>
      <c r="G876" t="s">
        <v>12</v>
      </c>
      <c r="H876">
        <v>3</v>
      </c>
      <c r="I876">
        <v>1809.47</v>
      </c>
      <c r="J876">
        <v>2728.96</v>
      </c>
      <c r="K876" t="s">
        <v>55</v>
      </c>
      <c r="L876" t="s">
        <v>51</v>
      </c>
      <c r="M876">
        <v>2022</v>
      </c>
      <c r="N876" t="s">
        <v>43</v>
      </c>
    </row>
    <row r="877" spans="1:14" x14ac:dyDescent="0.3">
      <c r="A877" s="1">
        <v>44963</v>
      </c>
      <c r="B877" t="s">
        <v>18</v>
      </c>
      <c r="C877" t="s">
        <v>13</v>
      </c>
      <c r="D877" t="s">
        <v>29</v>
      </c>
      <c r="E877">
        <v>27</v>
      </c>
      <c r="F877">
        <v>12880.26</v>
      </c>
      <c r="G877" t="s">
        <v>12</v>
      </c>
      <c r="H877">
        <v>5</v>
      </c>
      <c r="I877">
        <v>4183.8900000000003</v>
      </c>
      <c r="J877">
        <v>8696.3700000000008</v>
      </c>
      <c r="K877" t="s">
        <v>54</v>
      </c>
      <c r="L877" t="s">
        <v>53</v>
      </c>
      <c r="M877">
        <v>2023</v>
      </c>
      <c r="N877" t="s">
        <v>44</v>
      </c>
    </row>
    <row r="878" spans="1:14" x14ac:dyDescent="0.3">
      <c r="A878" s="1">
        <v>44877</v>
      </c>
      <c r="B878" t="s">
        <v>15</v>
      </c>
      <c r="C878" t="s">
        <v>13</v>
      </c>
      <c r="D878" t="s">
        <v>40</v>
      </c>
      <c r="E878">
        <v>33</v>
      </c>
      <c r="F878">
        <v>12804.71</v>
      </c>
      <c r="G878" t="s">
        <v>20</v>
      </c>
      <c r="H878">
        <v>2</v>
      </c>
      <c r="I878">
        <v>3415.83</v>
      </c>
      <c r="J878">
        <v>9388.8799999999992</v>
      </c>
      <c r="K878" t="s">
        <v>65</v>
      </c>
      <c r="L878" t="s">
        <v>59</v>
      </c>
      <c r="M878">
        <v>2022</v>
      </c>
      <c r="N878" t="s">
        <v>43</v>
      </c>
    </row>
    <row r="879" spans="1:14" x14ac:dyDescent="0.3">
      <c r="A879" s="1">
        <v>44972</v>
      </c>
      <c r="B879" t="s">
        <v>18</v>
      </c>
      <c r="C879" t="s">
        <v>10</v>
      </c>
      <c r="D879" t="s">
        <v>35</v>
      </c>
      <c r="E879">
        <v>37</v>
      </c>
      <c r="F879">
        <v>11870.68</v>
      </c>
      <c r="G879" t="s">
        <v>12</v>
      </c>
      <c r="H879">
        <v>2</v>
      </c>
      <c r="I879">
        <v>1357.52</v>
      </c>
      <c r="J879">
        <v>10513.16</v>
      </c>
      <c r="K879" t="s">
        <v>54</v>
      </c>
      <c r="L879" t="s">
        <v>53</v>
      </c>
      <c r="M879">
        <v>2023</v>
      </c>
      <c r="N879" t="s">
        <v>43</v>
      </c>
    </row>
    <row r="880" spans="1:14" x14ac:dyDescent="0.3">
      <c r="A880" s="1">
        <v>44576</v>
      </c>
      <c r="B880" t="s">
        <v>15</v>
      </c>
      <c r="C880" t="s">
        <v>13</v>
      </c>
      <c r="D880" t="s">
        <v>14</v>
      </c>
      <c r="E880">
        <v>41</v>
      </c>
      <c r="F880">
        <v>16697.86</v>
      </c>
      <c r="G880" t="s">
        <v>12</v>
      </c>
      <c r="H880">
        <v>5</v>
      </c>
      <c r="I880">
        <v>3471.48</v>
      </c>
      <c r="J880">
        <v>13226.38</v>
      </c>
      <c r="K880" t="s">
        <v>57</v>
      </c>
      <c r="L880" t="s">
        <v>53</v>
      </c>
      <c r="M880">
        <v>2022</v>
      </c>
      <c r="N880" t="s">
        <v>43</v>
      </c>
    </row>
    <row r="881" spans="1:14" x14ac:dyDescent="0.3">
      <c r="A881" s="1">
        <v>44873</v>
      </c>
      <c r="B881" t="s">
        <v>23</v>
      </c>
      <c r="C881" t="s">
        <v>16</v>
      </c>
      <c r="D881" t="s">
        <v>27</v>
      </c>
      <c r="E881">
        <v>32</v>
      </c>
      <c r="F881">
        <v>12716.96</v>
      </c>
      <c r="G881" t="s">
        <v>20</v>
      </c>
      <c r="H881">
        <v>3</v>
      </c>
      <c r="I881">
        <v>6576.09</v>
      </c>
      <c r="J881">
        <v>6140.87</v>
      </c>
      <c r="K881" t="s">
        <v>65</v>
      </c>
      <c r="L881" t="s">
        <v>59</v>
      </c>
      <c r="M881">
        <v>2022</v>
      </c>
      <c r="N881" t="s">
        <v>44</v>
      </c>
    </row>
    <row r="882" spans="1:14" x14ac:dyDescent="0.3">
      <c r="A882" s="1">
        <v>45216</v>
      </c>
      <c r="B882" t="s">
        <v>18</v>
      </c>
      <c r="C882" t="s">
        <v>13</v>
      </c>
      <c r="D882" t="s">
        <v>29</v>
      </c>
      <c r="E882">
        <v>50</v>
      </c>
      <c r="F882">
        <v>8424.09</v>
      </c>
      <c r="G882" t="s">
        <v>12</v>
      </c>
      <c r="H882">
        <v>5</v>
      </c>
      <c r="I882">
        <v>9688.82</v>
      </c>
      <c r="J882">
        <v>-1264.73</v>
      </c>
      <c r="K882" t="s">
        <v>62</v>
      </c>
      <c r="L882" t="s">
        <v>59</v>
      </c>
      <c r="M882">
        <v>2023</v>
      </c>
      <c r="N882" t="s">
        <v>44</v>
      </c>
    </row>
    <row r="883" spans="1:14" x14ac:dyDescent="0.3">
      <c r="A883" s="1">
        <v>45000</v>
      </c>
      <c r="B883" t="s">
        <v>15</v>
      </c>
      <c r="C883" t="s">
        <v>13</v>
      </c>
      <c r="D883" t="s">
        <v>40</v>
      </c>
      <c r="E883">
        <v>50</v>
      </c>
      <c r="F883">
        <v>18616.48</v>
      </c>
      <c r="G883" t="s">
        <v>20</v>
      </c>
      <c r="H883">
        <v>1</v>
      </c>
      <c r="I883">
        <v>763.99</v>
      </c>
      <c r="J883">
        <v>17852.490000000002</v>
      </c>
      <c r="K883" t="s">
        <v>52</v>
      </c>
      <c r="L883" t="s">
        <v>53</v>
      </c>
      <c r="M883">
        <v>2023</v>
      </c>
      <c r="N883" t="s">
        <v>44</v>
      </c>
    </row>
    <row r="884" spans="1:14" x14ac:dyDescent="0.3">
      <c r="A884" s="1">
        <v>45282</v>
      </c>
      <c r="B884" t="s">
        <v>31</v>
      </c>
      <c r="C884" t="s">
        <v>10</v>
      </c>
      <c r="D884" t="s">
        <v>11</v>
      </c>
      <c r="E884">
        <v>23</v>
      </c>
      <c r="F884">
        <v>2380.92</v>
      </c>
      <c r="G884" t="s">
        <v>12</v>
      </c>
      <c r="H884">
        <v>4</v>
      </c>
      <c r="I884">
        <v>3413.75</v>
      </c>
      <c r="J884">
        <v>-1032.83</v>
      </c>
      <c r="K884" t="s">
        <v>58</v>
      </c>
      <c r="L884" t="s">
        <v>59</v>
      </c>
      <c r="M884">
        <v>2023</v>
      </c>
      <c r="N884" t="s">
        <v>44</v>
      </c>
    </row>
    <row r="885" spans="1:14" x14ac:dyDescent="0.3">
      <c r="A885" s="1">
        <v>44797</v>
      </c>
      <c r="B885" t="s">
        <v>31</v>
      </c>
      <c r="C885" t="s">
        <v>25</v>
      </c>
      <c r="D885" t="s">
        <v>39</v>
      </c>
      <c r="E885">
        <v>6</v>
      </c>
      <c r="F885">
        <v>838.25</v>
      </c>
      <c r="G885" t="s">
        <v>12</v>
      </c>
      <c r="H885">
        <v>3</v>
      </c>
      <c r="I885">
        <v>668.54</v>
      </c>
      <c r="J885">
        <v>169.71</v>
      </c>
      <c r="K885" t="s">
        <v>64</v>
      </c>
      <c r="L885" t="s">
        <v>61</v>
      </c>
      <c r="M885">
        <v>2022</v>
      </c>
      <c r="N885" t="s">
        <v>44</v>
      </c>
    </row>
    <row r="886" spans="1:14" x14ac:dyDescent="0.3">
      <c r="A886" s="1">
        <v>45056</v>
      </c>
      <c r="B886" t="s">
        <v>15</v>
      </c>
      <c r="C886" t="s">
        <v>10</v>
      </c>
      <c r="D886" t="s">
        <v>34</v>
      </c>
      <c r="E886">
        <v>46</v>
      </c>
      <c r="F886">
        <v>10163.61</v>
      </c>
      <c r="G886" t="s">
        <v>20</v>
      </c>
      <c r="H886">
        <v>3</v>
      </c>
      <c r="I886">
        <v>674.58</v>
      </c>
      <c r="J886">
        <v>9489.0300000000007</v>
      </c>
      <c r="K886" t="s">
        <v>56</v>
      </c>
      <c r="L886" t="s">
        <v>51</v>
      </c>
      <c r="M886">
        <v>2023</v>
      </c>
      <c r="N886" t="s">
        <v>44</v>
      </c>
    </row>
    <row r="887" spans="1:14" x14ac:dyDescent="0.3">
      <c r="A887" s="1">
        <v>44899</v>
      </c>
      <c r="B887" t="s">
        <v>15</v>
      </c>
      <c r="C887" t="s">
        <v>10</v>
      </c>
      <c r="D887" t="s">
        <v>28</v>
      </c>
      <c r="E887">
        <v>37</v>
      </c>
      <c r="F887">
        <v>14640.5</v>
      </c>
      <c r="G887" t="s">
        <v>12</v>
      </c>
      <c r="H887">
        <v>2</v>
      </c>
      <c r="I887">
        <v>650.99</v>
      </c>
      <c r="J887">
        <v>13989.51</v>
      </c>
      <c r="K887" t="s">
        <v>58</v>
      </c>
      <c r="L887" t="s">
        <v>59</v>
      </c>
      <c r="M887">
        <v>2022</v>
      </c>
      <c r="N887" t="s">
        <v>46</v>
      </c>
    </row>
    <row r="888" spans="1:14" x14ac:dyDescent="0.3">
      <c r="A888" s="1">
        <v>44900</v>
      </c>
      <c r="B888" t="s">
        <v>15</v>
      </c>
      <c r="C888" t="s">
        <v>13</v>
      </c>
      <c r="D888" t="s">
        <v>14</v>
      </c>
      <c r="E888">
        <v>28</v>
      </c>
      <c r="F888">
        <v>8062.7</v>
      </c>
      <c r="G888" t="s">
        <v>12</v>
      </c>
      <c r="H888">
        <v>5</v>
      </c>
      <c r="I888">
        <v>2513.64</v>
      </c>
      <c r="J888">
        <v>5549.06</v>
      </c>
      <c r="K888" t="s">
        <v>58</v>
      </c>
      <c r="L888" t="s">
        <v>59</v>
      </c>
      <c r="M888">
        <v>2022</v>
      </c>
      <c r="N888" t="s">
        <v>43</v>
      </c>
    </row>
    <row r="889" spans="1:14" x14ac:dyDescent="0.3">
      <c r="A889" s="1">
        <v>44736</v>
      </c>
      <c r="B889" t="s">
        <v>18</v>
      </c>
      <c r="C889" t="s">
        <v>21</v>
      </c>
      <c r="D889" t="s">
        <v>36</v>
      </c>
      <c r="E889">
        <v>4</v>
      </c>
      <c r="F889">
        <v>916.38</v>
      </c>
      <c r="G889" t="s">
        <v>12</v>
      </c>
      <c r="H889">
        <v>5</v>
      </c>
      <c r="I889">
        <v>893.69</v>
      </c>
      <c r="J889">
        <v>22.69</v>
      </c>
      <c r="K889" t="s">
        <v>50</v>
      </c>
      <c r="L889" t="s">
        <v>51</v>
      </c>
      <c r="M889">
        <v>2022</v>
      </c>
      <c r="N889" t="s">
        <v>44</v>
      </c>
    </row>
    <row r="890" spans="1:14" x14ac:dyDescent="0.3">
      <c r="A890" s="1">
        <v>44814</v>
      </c>
      <c r="B890" t="s">
        <v>18</v>
      </c>
      <c r="C890" t="s">
        <v>10</v>
      </c>
      <c r="D890" t="s">
        <v>28</v>
      </c>
      <c r="E890">
        <v>48</v>
      </c>
      <c r="F890">
        <v>16533.09</v>
      </c>
      <c r="G890" t="s">
        <v>12</v>
      </c>
      <c r="H890">
        <v>5</v>
      </c>
      <c r="I890">
        <v>9902.07</v>
      </c>
      <c r="J890">
        <v>6631.02</v>
      </c>
      <c r="K890" t="s">
        <v>60</v>
      </c>
      <c r="L890" t="s">
        <v>61</v>
      </c>
      <c r="M890">
        <v>2022</v>
      </c>
      <c r="N890" t="s">
        <v>44</v>
      </c>
    </row>
    <row r="891" spans="1:14" x14ac:dyDescent="0.3">
      <c r="A891" s="1">
        <v>45041</v>
      </c>
      <c r="B891" t="s">
        <v>15</v>
      </c>
      <c r="C891" t="s">
        <v>10</v>
      </c>
      <c r="D891" t="s">
        <v>11</v>
      </c>
      <c r="E891">
        <v>29</v>
      </c>
      <c r="F891">
        <v>8745.2199999999993</v>
      </c>
      <c r="G891" t="s">
        <v>12</v>
      </c>
      <c r="H891">
        <v>1</v>
      </c>
      <c r="I891">
        <v>6049.52</v>
      </c>
      <c r="J891">
        <v>2695.7</v>
      </c>
      <c r="K891" t="s">
        <v>55</v>
      </c>
      <c r="L891" t="s">
        <v>51</v>
      </c>
      <c r="M891">
        <v>2023</v>
      </c>
      <c r="N891" t="s">
        <v>43</v>
      </c>
    </row>
    <row r="892" spans="1:14" x14ac:dyDescent="0.3">
      <c r="A892" s="1">
        <v>44578</v>
      </c>
      <c r="B892" t="s">
        <v>23</v>
      </c>
      <c r="C892" t="s">
        <v>13</v>
      </c>
      <c r="D892" t="s">
        <v>40</v>
      </c>
      <c r="E892">
        <v>31</v>
      </c>
      <c r="F892">
        <v>13260.85</v>
      </c>
      <c r="G892" t="s">
        <v>20</v>
      </c>
      <c r="H892">
        <v>3</v>
      </c>
      <c r="I892">
        <v>7589.66</v>
      </c>
      <c r="J892">
        <v>5671.19</v>
      </c>
      <c r="K892" t="s">
        <v>57</v>
      </c>
      <c r="L892" t="s">
        <v>53</v>
      </c>
      <c r="M892">
        <v>2022</v>
      </c>
      <c r="N892" t="s">
        <v>44</v>
      </c>
    </row>
    <row r="893" spans="1:14" x14ac:dyDescent="0.3">
      <c r="A893" s="1">
        <v>44871</v>
      </c>
      <c r="B893" t="s">
        <v>9</v>
      </c>
      <c r="C893" t="s">
        <v>10</v>
      </c>
      <c r="D893" t="s">
        <v>11</v>
      </c>
      <c r="E893">
        <v>31</v>
      </c>
      <c r="F893">
        <v>12957.12</v>
      </c>
      <c r="G893" t="s">
        <v>12</v>
      </c>
      <c r="H893">
        <v>2</v>
      </c>
      <c r="I893">
        <v>4378.6499999999996</v>
      </c>
      <c r="J893">
        <v>8578.4699999999993</v>
      </c>
      <c r="K893" t="s">
        <v>65</v>
      </c>
      <c r="L893" t="s">
        <v>59</v>
      </c>
      <c r="M893">
        <v>2022</v>
      </c>
      <c r="N893" t="s">
        <v>44</v>
      </c>
    </row>
    <row r="894" spans="1:14" x14ac:dyDescent="0.3">
      <c r="A894" s="1">
        <v>45030</v>
      </c>
      <c r="B894" t="s">
        <v>9</v>
      </c>
      <c r="C894" t="s">
        <v>21</v>
      </c>
      <c r="D894" t="s">
        <v>32</v>
      </c>
      <c r="E894">
        <v>6</v>
      </c>
      <c r="F894">
        <v>2036.86</v>
      </c>
      <c r="G894" t="s">
        <v>12</v>
      </c>
      <c r="H894">
        <v>5</v>
      </c>
      <c r="I894">
        <v>1251.3599999999999</v>
      </c>
      <c r="J894">
        <v>785.5</v>
      </c>
      <c r="K894" t="s">
        <v>55</v>
      </c>
      <c r="L894" t="s">
        <v>51</v>
      </c>
      <c r="M894">
        <v>2023</v>
      </c>
      <c r="N894" t="s">
        <v>43</v>
      </c>
    </row>
    <row r="895" spans="1:14" x14ac:dyDescent="0.3">
      <c r="A895" s="1">
        <v>45217</v>
      </c>
      <c r="B895" t="s">
        <v>31</v>
      </c>
      <c r="C895" t="s">
        <v>10</v>
      </c>
      <c r="D895" t="s">
        <v>11</v>
      </c>
      <c r="E895">
        <v>35</v>
      </c>
      <c r="F895">
        <v>13564.36</v>
      </c>
      <c r="G895" t="s">
        <v>20</v>
      </c>
      <c r="H895">
        <v>1</v>
      </c>
      <c r="I895">
        <v>5206.9399999999996</v>
      </c>
      <c r="J895">
        <v>8357.42</v>
      </c>
      <c r="K895" t="s">
        <v>62</v>
      </c>
      <c r="L895" t="s">
        <v>59</v>
      </c>
      <c r="M895">
        <v>2023</v>
      </c>
      <c r="N895" t="s">
        <v>44</v>
      </c>
    </row>
    <row r="896" spans="1:14" x14ac:dyDescent="0.3">
      <c r="A896" s="1">
        <v>44727</v>
      </c>
      <c r="B896" t="s">
        <v>18</v>
      </c>
      <c r="C896" t="s">
        <v>10</v>
      </c>
      <c r="D896" t="s">
        <v>28</v>
      </c>
      <c r="E896">
        <v>8</v>
      </c>
      <c r="F896">
        <v>3788.2</v>
      </c>
      <c r="G896" t="s">
        <v>20</v>
      </c>
      <c r="H896">
        <v>2</v>
      </c>
      <c r="I896">
        <v>1180.99</v>
      </c>
      <c r="J896">
        <v>2607.21</v>
      </c>
      <c r="K896" t="s">
        <v>50</v>
      </c>
      <c r="L896" t="s">
        <v>51</v>
      </c>
      <c r="M896">
        <v>2022</v>
      </c>
      <c r="N896" t="s">
        <v>45</v>
      </c>
    </row>
    <row r="897" spans="1:14" x14ac:dyDescent="0.3">
      <c r="A897" s="1">
        <v>44884</v>
      </c>
      <c r="B897" t="s">
        <v>18</v>
      </c>
      <c r="C897" t="s">
        <v>21</v>
      </c>
      <c r="D897" t="s">
        <v>22</v>
      </c>
      <c r="E897">
        <v>23</v>
      </c>
      <c r="F897">
        <v>8435.67</v>
      </c>
      <c r="G897" t="s">
        <v>20</v>
      </c>
      <c r="H897">
        <v>5</v>
      </c>
      <c r="I897">
        <v>3834.35</v>
      </c>
      <c r="J897">
        <v>4601.32</v>
      </c>
      <c r="K897" t="s">
        <v>65</v>
      </c>
      <c r="L897" t="s">
        <v>59</v>
      </c>
      <c r="M897">
        <v>2022</v>
      </c>
      <c r="N897" t="s">
        <v>44</v>
      </c>
    </row>
    <row r="898" spans="1:14" x14ac:dyDescent="0.3">
      <c r="A898" s="1">
        <v>44950</v>
      </c>
      <c r="B898" t="s">
        <v>23</v>
      </c>
      <c r="C898" t="s">
        <v>13</v>
      </c>
      <c r="D898" t="s">
        <v>14</v>
      </c>
      <c r="E898">
        <v>47</v>
      </c>
      <c r="F898">
        <v>14152.35</v>
      </c>
      <c r="G898" t="s">
        <v>20</v>
      </c>
      <c r="H898">
        <v>1</v>
      </c>
      <c r="I898">
        <v>10568.13</v>
      </c>
      <c r="J898">
        <v>3584.22</v>
      </c>
      <c r="K898" t="s">
        <v>57</v>
      </c>
      <c r="L898" t="s">
        <v>53</v>
      </c>
      <c r="M898">
        <v>2023</v>
      </c>
      <c r="N898" t="s">
        <v>44</v>
      </c>
    </row>
    <row r="899" spans="1:14" x14ac:dyDescent="0.3">
      <c r="A899" s="1">
        <v>45230</v>
      </c>
      <c r="B899" t="s">
        <v>18</v>
      </c>
      <c r="C899" t="s">
        <v>13</v>
      </c>
      <c r="D899" t="s">
        <v>14</v>
      </c>
      <c r="E899">
        <v>20</v>
      </c>
      <c r="F899">
        <v>4672.4399999999996</v>
      </c>
      <c r="G899" t="s">
        <v>20</v>
      </c>
      <c r="H899">
        <v>1</v>
      </c>
      <c r="I899">
        <v>3902.08</v>
      </c>
      <c r="J899">
        <v>770.36</v>
      </c>
      <c r="K899" t="s">
        <v>62</v>
      </c>
      <c r="L899" t="s">
        <v>59</v>
      </c>
      <c r="M899">
        <v>2023</v>
      </c>
      <c r="N899" t="s">
        <v>44</v>
      </c>
    </row>
    <row r="900" spans="1:14" x14ac:dyDescent="0.3">
      <c r="A900" s="1">
        <v>44643</v>
      </c>
      <c r="B900" t="s">
        <v>9</v>
      </c>
      <c r="C900" t="s">
        <v>16</v>
      </c>
      <c r="D900" t="s">
        <v>17</v>
      </c>
      <c r="E900">
        <v>3</v>
      </c>
      <c r="F900">
        <v>209.72</v>
      </c>
      <c r="G900" t="s">
        <v>12</v>
      </c>
      <c r="H900">
        <v>3</v>
      </c>
      <c r="I900">
        <v>350.38</v>
      </c>
      <c r="J900">
        <v>-140.66</v>
      </c>
      <c r="K900" t="s">
        <v>52</v>
      </c>
      <c r="L900" t="s">
        <v>53</v>
      </c>
      <c r="M900">
        <v>2022</v>
      </c>
      <c r="N900" t="s">
        <v>44</v>
      </c>
    </row>
    <row r="901" spans="1:14" x14ac:dyDescent="0.3">
      <c r="A901" s="1">
        <v>44846</v>
      </c>
      <c r="B901" t="s">
        <v>18</v>
      </c>
      <c r="C901" t="s">
        <v>25</v>
      </c>
      <c r="D901" t="s">
        <v>38</v>
      </c>
      <c r="E901">
        <v>50</v>
      </c>
      <c r="F901">
        <v>10342.56</v>
      </c>
      <c r="G901" t="s">
        <v>20</v>
      </c>
      <c r="H901">
        <v>4</v>
      </c>
      <c r="I901">
        <v>7029.18</v>
      </c>
      <c r="J901">
        <v>3313.38</v>
      </c>
      <c r="K901" t="s">
        <v>62</v>
      </c>
      <c r="L901" t="s">
        <v>59</v>
      </c>
      <c r="M901">
        <v>2022</v>
      </c>
      <c r="N901" t="s">
        <v>44</v>
      </c>
    </row>
    <row r="902" spans="1:14" x14ac:dyDescent="0.3">
      <c r="A902" s="1">
        <v>44601</v>
      </c>
      <c r="B902" t="s">
        <v>23</v>
      </c>
      <c r="C902" t="s">
        <v>10</v>
      </c>
      <c r="D902" t="s">
        <v>35</v>
      </c>
      <c r="E902">
        <v>25</v>
      </c>
      <c r="F902">
        <v>10630.78</v>
      </c>
      <c r="G902" t="s">
        <v>20</v>
      </c>
      <c r="H902">
        <v>3</v>
      </c>
      <c r="I902">
        <v>1285.3399999999999</v>
      </c>
      <c r="J902">
        <v>9345.44</v>
      </c>
      <c r="K902" t="s">
        <v>54</v>
      </c>
      <c r="L902" t="s">
        <v>53</v>
      </c>
      <c r="M902">
        <v>2022</v>
      </c>
      <c r="N902" t="s">
        <v>44</v>
      </c>
    </row>
    <row r="903" spans="1:14" x14ac:dyDescent="0.3">
      <c r="A903" s="1">
        <v>44623</v>
      </c>
      <c r="B903" t="s">
        <v>15</v>
      </c>
      <c r="C903" t="s">
        <v>16</v>
      </c>
      <c r="D903" t="s">
        <v>17</v>
      </c>
      <c r="E903">
        <v>26</v>
      </c>
      <c r="F903">
        <v>8635.42</v>
      </c>
      <c r="G903" t="s">
        <v>20</v>
      </c>
      <c r="H903">
        <v>4</v>
      </c>
      <c r="I903">
        <v>5972.97</v>
      </c>
      <c r="J903">
        <v>2662.45</v>
      </c>
      <c r="K903" t="s">
        <v>52</v>
      </c>
      <c r="L903" t="s">
        <v>53</v>
      </c>
      <c r="M903">
        <v>2022</v>
      </c>
      <c r="N903" t="s">
        <v>43</v>
      </c>
    </row>
    <row r="904" spans="1:14" x14ac:dyDescent="0.3">
      <c r="A904" s="1">
        <v>45253</v>
      </c>
      <c r="B904" t="s">
        <v>9</v>
      </c>
      <c r="C904" t="s">
        <v>21</v>
      </c>
      <c r="D904" t="s">
        <v>22</v>
      </c>
      <c r="E904">
        <v>22</v>
      </c>
      <c r="F904">
        <v>6690.67</v>
      </c>
      <c r="G904" t="s">
        <v>12</v>
      </c>
      <c r="H904">
        <v>4</v>
      </c>
      <c r="I904">
        <v>1808.93</v>
      </c>
      <c r="J904">
        <v>4881.74</v>
      </c>
      <c r="K904" t="s">
        <v>65</v>
      </c>
      <c r="L904" t="s">
        <v>59</v>
      </c>
      <c r="M904">
        <v>2023</v>
      </c>
      <c r="N904" t="s">
        <v>44</v>
      </c>
    </row>
    <row r="905" spans="1:14" x14ac:dyDescent="0.3">
      <c r="A905" s="1">
        <v>45180</v>
      </c>
      <c r="B905" t="s">
        <v>31</v>
      </c>
      <c r="C905" t="s">
        <v>16</v>
      </c>
      <c r="D905" t="s">
        <v>37</v>
      </c>
      <c r="E905">
        <v>21</v>
      </c>
      <c r="F905">
        <v>502.68</v>
      </c>
      <c r="G905" t="s">
        <v>20</v>
      </c>
      <c r="H905">
        <v>1</v>
      </c>
      <c r="I905">
        <v>3893.2</v>
      </c>
      <c r="J905">
        <v>-3390.52</v>
      </c>
      <c r="K905" t="s">
        <v>60</v>
      </c>
      <c r="L905" t="s">
        <v>61</v>
      </c>
      <c r="M905">
        <v>2023</v>
      </c>
      <c r="N905" t="s">
        <v>44</v>
      </c>
    </row>
    <row r="906" spans="1:14" x14ac:dyDescent="0.3">
      <c r="A906" s="1">
        <v>44930</v>
      </c>
      <c r="B906" t="s">
        <v>9</v>
      </c>
      <c r="C906" t="s">
        <v>10</v>
      </c>
      <c r="D906" t="s">
        <v>11</v>
      </c>
      <c r="E906">
        <v>49</v>
      </c>
      <c r="F906">
        <v>22687.119999999999</v>
      </c>
      <c r="G906" t="s">
        <v>12</v>
      </c>
      <c r="H906">
        <v>2</v>
      </c>
      <c r="I906">
        <v>1755.17</v>
      </c>
      <c r="J906">
        <v>20931.95</v>
      </c>
      <c r="K906" t="s">
        <v>57</v>
      </c>
      <c r="L906" t="s">
        <v>53</v>
      </c>
      <c r="M906">
        <v>2023</v>
      </c>
      <c r="N906" t="s">
        <v>44</v>
      </c>
    </row>
    <row r="907" spans="1:14" x14ac:dyDescent="0.3">
      <c r="A907" s="1">
        <v>44619</v>
      </c>
      <c r="B907" t="s">
        <v>18</v>
      </c>
      <c r="C907" t="s">
        <v>25</v>
      </c>
      <c r="D907" t="s">
        <v>26</v>
      </c>
      <c r="E907">
        <v>19</v>
      </c>
      <c r="F907">
        <v>9266.41</v>
      </c>
      <c r="G907" t="s">
        <v>12</v>
      </c>
      <c r="H907">
        <v>2</v>
      </c>
      <c r="I907">
        <v>3218.8</v>
      </c>
      <c r="J907">
        <v>6047.61</v>
      </c>
      <c r="K907" t="s">
        <v>54</v>
      </c>
      <c r="L907" t="s">
        <v>53</v>
      </c>
      <c r="M907">
        <v>2022</v>
      </c>
      <c r="N907" t="s">
        <v>45</v>
      </c>
    </row>
    <row r="908" spans="1:14" x14ac:dyDescent="0.3">
      <c r="A908" s="1">
        <v>45119</v>
      </c>
      <c r="B908" t="s">
        <v>23</v>
      </c>
      <c r="C908" t="s">
        <v>25</v>
      </c>
      <c r="D908" t="s">
        <v>30</v>
      </c>
      <c r="E908">
        <v>41</v>
      </c>
      <c r="F908">
        <v>9528.52</v>
      </c>
      <c r="G908" t="s">
        <v>20</v>
      </c>
      <c r="H908">
        <v>3</v>
      </c>
      <c r="I908">
        <v>2709.71</v>
      </c>
      <c r="J908">
        <v>6818.81</v>
      </c>
      <c r="K908" t="s">
        <v>63</v>
      </c>
      <c r="L908" t="s">
        <v>61</v>
      </c>
      <c r="M908">
        <v>2023</v>
      </c>
      <c r="N908" t="s">
        <v>44</v>
      </c>
    </row>
    <row r="909" spans="1:14" x14ac:dyDescent="0.3">
      <c r="A909" s="1">
        <v>44876</v>
      </c>
      <c r="B909" t="s">
        <v>15</v>
      </c>
      <c r="C909" t="s">
        <v>10</v>
      </c>
      <c r="D909" t="s">
        <v>35</v>
      </c>
      <c r="E909">
        <v>3</v>
      </c>
      <c r="F909">
        <v>1135.6400000000001</v>
      </c>
      <c r="G909" t="s">
        <v>12</v>
      </c>
      <c r="H909">
        <v>4</v>
      </c>
      <c r="I909">
        <v>284.95999999999998</v>
      </c>
      <c r="J909">
        <v>850.68</v>
      </c>
      <c r="K909" t="s">
        <v>65</v>
      </c>
      <c r="L909" t="s">
        <v>59</v>
      </c>
      <c r="M909">
        <v>2022</v>
      </c>
      <c r="N909" t="s">
        <v>44</v>
      </c>
    </row>
    <row r="910" spans="1:14" x14ac:dyDescent="0.3">
      <c r="A910" s="1">
        <v>45084</v>
      </c>
      <c r="B910" t="s">
        <v>15</v>
      </c>
      <c r="C910" t="s">
        <v>16</v>
      </c>
      <c r="D910" t="s">
        <v>27</v>
      </c>
      <c r="E910">
        <v>49</v>
      </c>
      <c r="F910">
        <v>11861.21</v>
      </c>
      <c r="G910" t="s">
        <v>12</v>
      </c>
      <c r="H910">
        <v>2</v>
      </c>
      <c r="I910">
        <v>7832.78</v>
      </c>
      <c r="J910">
        <v>4028.43</v>
      </c>
      <c r="K910" t="s">
        <v>50</v>
      </c>
      <c r="L910" t="s">
        <v>51</v>
      </c>
      <c r="M910">
        <v>2023</v>
      </c>
      <c r="N910" t="s">
        <v>46</v>
      </c>
    </row>
    <row r="911" spans="1:14" x14ac:dyDescent="0.3">
      <c r="A911" s="1">
        <v>45110</v>
      </c>
      <c r="B911" t="s">
        <v>23</v>
      </c>
      <c r="C911" t="s">
        <v>21</v>
      </c>
      <c r="D911" t="s">
        <v>33</v>
      </c>
      <c r="E911">
        <v>33</v>
      </c>
      <c r="F911">
        <v>3557.57</v>
      </c>
      <c r="G911" t="s">
        <v>12</v>
      </c>
      <c r="H911">
        <v>1</v>
      </c>
      <c r="I911">
        <v>2198.34</v>
      </c>
      <c r="J911">
        <v>1359.23</v>
      </c>
      <c r="K911" t="s">
        <v>63</v>
      </c>
      <c r="L911" t="s">
        <v>61</v>
      </c>
      <c r="M911">
        <v>2023</v>
      </c>
      <c r="N911" t="s">
        <v>45</v>
      </c>
    </row>
    <row r="912" spans="1:14" x14ac:dyDescent="0.3">
      <c r="A912" s="1">
        <v>44800</v>
      </c>
      <c r="B912" t="s">
        <v>18</v>
      </c>
      <c r="C912" t="s">
        <v>25</v>
      </c>
      <c r="D912" t="s">
        <v>30</v>
      </c>
      <c r="E912">
        <v>9</v>
      </c>
      <c r="F912">
        <v>3294.2</v>
      </c>
      <c r="G912" t="s">
        <v>12</v>
      </c>
      <c r="H912">
        <v>1</v>
      </c>
      <c r="I912">
        <v>1298.1400000000001</v>
      </c>
      <c r="J912">
        <v>1996.06</v>
      </c>
      <c r="K912" t="s">
        <v>64</v>
      </c>
      <c r="L912" t="s">
        <v>61</v>
      </c>
      <c r="M912">
        <v>2022</v>
      </c>
      <c r="N912" t="s">
        <v>45</v>
      </c>
    </row>
    <row r="913" spans="1:14" x14ac:dyDescent="0.3">
      <c r="A913" s="1">
        <v>45217</v>
      </c>
      <c r="B913" t="s">
        <v>23</v>
      </c>
      <c r="C913" t="s">
        <v>25</v>
      </c>
      <c r="D913" t="s">
        <v>38</v>
      </c>
      <c r="E913">
        <v>4</v>
      </c>
      <c r="F913">
        <v>1451.26</v>
      </c>
      <c r="G913" t="s">
        <v>20</v>
      </c>
      <c r="H913">
        <v>1</v>
      </c>
      <c r="I913">
        <v>268.72000000000003</v>
      </c>
      <c r="J913">
        <v>1182.54</v>
      </c>
      <c r="K913" t="s">
        <v>62</v>
      </c>
      <c r="L913" t="s">
        <v>59</v>
      </c>
      <c r="M913">
        <v>2023</v>
      </c>
      <c r="N913" t="s">
        <v>45</v>
      </c>
    </row>
    <row r="914" spans="1:14" x14ac:dyDescent="0.3">
      <c r="A914" s="1">
        <v>45121</v>
      </c>
      <c r="B914" t="s">
        <v>9</v>
      </c>
      <c r="C914" t="s">
        <v>16</v>
      </c>
      <c r="D914" t="s">
        <v>37</v>
      </c>
      <c r="E914">
        <v>9</v>
      </c>
      <c r="F914">
        <v>2402.13</v>
      </c>
      <c r="G914" t="s">
        <v>12</v>
      </c>
      <c r="H914">
        <v>4</v>
      </c>
      <c r="I914">
        <v>1102.45</v>
      </c>
      <c r="J914">
        <v>1299.68</v>
      </c>
      <c r="K914" t="s">
        <v>63</v>
      </c>
      <c r="L914" t="s">
        <v>61</v>
      </c>
      <c r="M914">
        <v>2023</v>
      </c>
      <c r="N914" t="s">
        <v>44</v>
      </c>
    </row>
    <row r="915" spans="1:14" x14ac:dyDescent="0.3">
      <c r="A915" s="1">
        <v>44589</v>
      </c>
      <c r="B915" t="s">
        <v>31</v>
      </c>
      <c r="C915" t="s">
        <v>16</v>
      </c>
      <c r="D915" t="s">
        <v>17</v>
      </c>
      <c r="E915">
        <v>47</v>
      </c>
      <c r="F915">
        <v>22271.31</v>
      </c>
      <c r="G915" t="s">
        <v>12</v>
      </c>
      <c r="H915">
        <v>4</v>
      </c>
      <c r="I915">
        <v>9758.34</v>
      </c>
      <c r="J915">
        <v>12512.97</v>
      </c>
      <c r="K915" t="s">
        <v>57</v>
      </c>
      <c r="L915" t="s">
        <v>53</v>
      </c>
      <c r="M915">
        <v>2022</v>
      </c>
      <c r="N915" t="s">
        <v>44</v>
      </c>
    </row>
    <row r="916" spans="1:14" x14ac:dyDescent="0.3">
      <c r="A916" s="1">
        <v>44665</v>
      </c>
      <c r="B916" t="s">
        <v>23</v>
      </c>
      <c r="C916" t="s">
        <v>16</v>
      </c>
      <c r="D916" t="s">
        <v>24</v>
      </c>
      <c r="E916">
        <v>40</v>
      </c>
      <c r="F916">
        <v>15984.63</v>
      </c>
      <c r="G916" t="s">
        <v>20</v>
      </c>
      <c r="H916">
        <v>2</v>
      </c>
      <c r="I916">
        <v>9929.2900000000009</v>
      </c>
      <c r="J916">
        <v>6055.34</v>
      </c>
      <c r="K916" t="s">
        <v>55</v>
      </c>
      <c r="L916" t="s">
        <v>51</v>
      </c>
      <c r="M916">
        <v>2022</v>
      </c>
      <c r="N916" t="s">
        <v>46</v>
      </c>
    </row>
    <row r="917" spans="1:14" x14ac:dyDescent="0.3">
      <c r="A917" s="1">
        <v>44976</v>
      </c>
      <c r="B917" t="s">
        <v>23</v>
      </c>
      <c r="C917" t="s">
        <v>16</v>
      </c>
      <c r="D917" t="s">
        <v>17</v>
      </c>
      <c r="E917">
        <v>20</v>
      </c>
      <c r="F917">
        <v>8645.9</v>
      </c>
      <c r="G917" t="s">
        <v>12</v>
      </c>
      <c r="H917">
        <v>3</v>
      </c>
      <c r="I917">
        <v>4474.5</v>
      </c>
      <c r="J917">
        <v>4171.3999999999996</v>
      </c>
      <c r="K917" t="s">
        <v>54</v>
      </c>
      <c r="L917" t="s">
        <v>53</v>
      </c>
      <c r="M917">
        <v>2023</v>
      </c>
      <c r="N917" t="s">
        <v>44</v>
      </c>
    </row>
    <row r="918" spans="1:14" x14ac:dyDescent="0.3">
      <c r="A918" s="1">
        <v>44592</v>
      </c>
      <c r="B918" t="s">
        <v>31</v>
      </c>
      <c r="C918" t="s">
        <v>10</v>
      </c>
      <c r="D918" t="s">
        <v>28</v>
      </c>
      <c r="E918">
        <v>18</v>
      </c>
      <c r="F918">
        <v>609.76</v>
      </c>
      <c r="G918" t="s">
        <v>20</v>
      </c>
      <c r="H918">
        <v>1</v>
      </c>
      <c r="I918">
        <v>2746.66</v>
      </c>
      <c r="J918">
        <v>-2136.9</v>
      </c>
      <c r="K918" t="s">
        <v>57</v>
      </c>
      <c r="L918" t="s">
        <v>53</v>
      </c>
      <c r="M918">
        <v>2022</v>
      </c>
      <c r="N918" t="s">
        <v>44</v>
      </c>
    </row>
    <row r="919" spans="1:14" x14ac:dyDescent="0.3">
      <c r="A919" s="1">
        <v>44752</v>
      </c>
      <c r="B919" t="s">
        <v>23</v>
      </c>
      <c r="C919" t="s">
        <v>25</v>
      </c>
      <c r="D919" t="s">
        <v>30</v>
      </c>
      <c r="E919">
        <v>48</v>
      </c>
      <c r="F919">
        <v>18454.88</v>
      </c>
      <c r="G919" t="s">
        <v>20</v>
      </c>
      <c r="H919">
        <v>4</v>
      </c>
      <c r="I919">
        <v>4384.67</v>
      </c>
      <c r="J919">
        <v>14070.21</v>
      </c>
      <c r="K919" t="s">
        <v>63</v>
      </c>
      <c r="L919" t="s">
        <v>61</v>
      </c>
      <c r="M919">
        <v>2022</v>
      </c>
      <c r="N919" t="s">
        <v>44</v>
      </c>
    </row>
    <row r="920" spans="1:14" x14ac:dyDescent="0.3">
      <c r="A920" s="1">
        <v>45159</v>
      </c>
      <c r="B920" t="s">
        <v>23</v>
      </c>
      <c r="C920" t="s">
        <v>10</v>
      </c>
      <c r="D920" t="s">
        <v>28</v>
      </c>
      <c r="E920">
        <v>15</v>
      </c>
      <c r="F920">
        <v>3153.43</v>
      </c>
      <c r="G920" t="s">
        <v>12</v>
      </c>
      <c r="H920">
        <v>2</v>
      </c>
      <c r="I920">
        <v>3433.46</v>
      </c>
      <c r="J920">
        <v>-280.02999999999997</v>
      </c>
      <c r="K920" t="s">
        <v>64</v>
      </c>
      <c r="L920" t="s">
        <v>61</v>
      </c>
      <c r="M920">
        <v>2023</v>
      </c>
      <c r="N920" t="s">
        <v>46</v>
      </c>
    </row>
    <row r="921" spans="1:14" x14ac:dyDescent="0.3">
      <c r="A921" s="1">
        <v>44634</v>
      </c>
      <c r="B921" t="s">
        <v>15</v>
      </c>
      <c r="C921" t="s">
        <v>16</v>
      </c>
      <c r="D921" t="s">
        <v>27</v>
      </c>
      <c r="E921">
        <v>46</v>
      </c>
      <c r="F921">
        <v>11280.76</v>
      </c>
      <c r="G921" t="s">
        <v>20</v>
      </c>
      <c r="H921">
        <v>5</v>
      </c>
      <c r="I921">
        <v>7734.22</v>
      </c>
      <c r="J921">
        <v>3546.54</v>
      </c>
      <c r="K921" t="s">
        <v>52</v>
      </c>
      <c r="L921" t="s">
        <v>53</v>
      </c>
      <c r="M921">
        <v>2022</v>
      </c>
      <c r="N921" t="s">
        <v>45</v>
      </c>
    </row>
    <row r="922" spans="1:14" x14ac:dyDescent="0.3">
      <c r="A922" s="1">
        <v>45013</v>
      </c>
      <c r="B922" t="s">
        <v>31</v>
      </c>
      <c r="C922" t="s">
        <v>10</v>
      </c>
      <c r="D922" t="s">
        <v>35</v>
      </c>
      <c r="E922">
        <v>43</v>
      </c>
      <c r="F922">
        <v>2894.24</v>
      </c>
      <c r="G922" t="s">
        <v>12</v>
      </c>
      <c r="H922">
        <v>5</v>
      </c>
      <c r="I922">
        <v>5478.36</v>
      </c>
      <c r="J922">
        <v>-2584.12</v>
      </c>
      <c r="K922" t="s">
        <v>52</v>
      </c>
      <c r="L922" t="s">
        <v>53</v>
      </c>
      <c r="M922">
        <v>2023</v>
      </c>
      <c r="N922" t="s">
        <v>44</v>
      </c>
    </row>
    <row r="923" spans="1:14" x14ac:dyDescent="0.3">
      <c r="A923" s="1">
        <v>44638</v>
      </c>
      <c r="B923" t="s">
        <v>31</v>
      </c>
      <c r="C923" t="s">
        <v>21</v>
      </c>
      <c r="D923" t="s">
        <v>22</v>
      </c>
      <c r="E923">
        <v>32</v>
      </c>
      <c r="F923">
        <v>2986.36</v>
      </c>
      <c r="G923" t="s">
        <v>20</v>
      </c>
      <c r="H923">
        <v>1</v>
      </c>
      <c r="I923">
        <v>784.48</v>
      </c>
      <c r="J923">
        <v>2201.88</v>
      </c>
      <c r="K923" t="s">
        <v>52</v>
      </c>
      <c r="L923" t="s">
        <v>53</v>
      </c>
      <c r="M923">
        <v>2022</v>
      </c>
      <c r="N923" t="s">
        <v>44</v>
      </c>
    </row>
    <row r="924" spans="1:14" x14ac:dyDescent="0.3">
      <c r="A924" s="1">
        <v>45155</v>
      </c>
      <c r="B924" t="s">
        <v>23</v>
      </c>
      <c r="C924" t="s">
        <v>25</v>
      </c>
      <c r="D924" t="s">
        <v>30</v>
      </c>
      <c r="E924">
        <v>12</v>
      </c>
      <c r="F924">
        <v>5278.83</v>
      </c>
      <c r="G924" t="s">
        <v>20</v>
      </c>
      <c r="H924">
        <v>4</v>
      </c>
      <c r="I924">
        <v>2897.28</v>
      </c>
      <c r="J924">
        <v>2381.5500000000002</v>
      </c>
      <c r="K924" t="s">
        <v>64</v>
      </c>
      <c r="L924" t="s">
        <v>61</v>
      </c>
      <c r="M924">
        <v>2023</v>
      </c>
      <c r="N924" t="s">
        <v>45</v>
      </c>
    </row>
    <row r="925" spans="1:14" x14ac:dyDescent="0.3">
      <c r="A925" s="1">
        <v>45231</v>
      </c>
      <c r="B925" t="s">
        <v>15</v>
      </c>
      <c r="C925" t="s">
        <v>10</v>
      </c>
      <c r="D925" t="s">
        <v>34</v>
      </c>
      <c r="E925">
        <v>49</v>
      </c>
      <c r="F925">
        <v>12558.43</v>
      </c>
      <c r="G925" t="s">
        <v>12</v>
      </c>
      <c r="H925">
        <v>2</v>
      </c>
      <c r="I925">
        <v>7293.51</v>
      </c>
      <c r="J925">
        <v>5264.92</v>
      </c>
      <c r="K925" t="s">
        <v>65</v>
      </c>
      <c r="L925" t="s">
        <v>59</v>
      </c>
      <c r="M925">
        <v>2023</v>
      </c>
      <c r="N925" t="s">
        <v>44</v>
      </c>
    </row>
    <row r="926" spans="1:14" x14ac:dyDescent="0.3">
      <c r="A926" s="1">
        <v>45025</v>
      </c>
      <c r="B926" t="s">
        <v>18</v>
      </c>
      <c r="C926" t="s">
        <v>16</v>
      </c>
      <c r="D926" t="s">
        <v>37</v>
      </c>
      <c r="E926">
        <v>35</v>
      </c>
      <c r="F926">
        <v>3511.5</v>
      </c>
      <c r="G926" t="s">
        <v>20</v>
      </c>
      <c r="H926">
        <v>5</v>
      </c>
      <c r="I926">
        <v>398.52</v>
      </c>
      <c r="J926">
        <v>3112.98</v>
      </c>
      <c r="K926" t="s">
        <v>55</v>
      </c>
      <c r="L926" t="s">
        <v>51</v>
      </c>
      <c r="M926">
        <v>2023</v>
      </c>
      <c r="N926" t="s">
        <v>45</v>
      </c>
    </row>
    <row r="927" spans="1:14" x14ac:dyDescent="0.3">
      <c r="A927" s="1">
        <v>44993</v>
      </c>
      <c r="B927" t="s">
        <v>31</v>
      </c>
      <c r="C927" t="s">
        <v>25</v>
      </c>
      <c r="D927" t="s">
        <v>30</v>
      </c>
      <c r="E927">
        <v>22</v>
      </c>
      <c r="F927">
        <v>1300.31</v>
      </c>
      <c r="G927" t="s">
        <v>12</v>
      </c>
      <c r="H927">
        <v>2</v>
      </c>
      <c r="I927">
        <v>2067.5100000000002</v>
      </c>
      <c r="J927">
        <v>-767.2</v>
      </c>
      <c r="K927" t="s">
        <v>52</v>
      </c>
      <c r="L927" t="s">
        <v>53</v>
      </c>
      <c r="M927">
        <v>2023</v>
      </c>
      <c r="N927" t="s">
        <v>44</v>
      </c>
    </row>
    <row r="928" spans="1:14" x14ac:dyDescent="0.3">
      <c r="A928" s="1">
        <v>45180</v>
      </c>
      <c r="B928" t="s">
        <v>18</v>
      </c>
      <c r="C928" t="s">
        <v>13</v>
      </c>
      <c r="D928" t="s">
        <v>29</v>
      </c>
      <c r="E928">
        <v>43</v>
      </c>
      <c r="F928">
        <v>10203.01</v>
      </c>
      <c r="G928" t="s">
        <v>12</v>
      </c>
      <c r="H928">
        <v>1</v>
      </c>
      <c r="I928">
        <v>10636.64</v>
      </c>
      <c r="J928">
        <v>-433.63</v>
      </c>
      <c r="K928" t="s">
        <v>60</v>
      </c>
      <c r="L928" t="s">
        <v>61</v>
      </c>
      <c r="M928">
        <v>2023</v>
      </c>
      <c r="N928" t="s">
        <v>44</v>
      </c>
    </row>
    <row r="929" spans="1:14" x14ac:dyDescent="0.3">
      <c r="A929" s="1">
        <v>44903</v>
      </c>
      <c r="B929" t="s">
        <v>15</v>
      </c>
      <c r="C929" t="s">
        <v>21</v>
      </c>
      <c r="D929" t="s">
        <v>36</v>
      </c>
      <c r="E929">
        <v>21</v>
      </c>
      <c r="F929">
        <v>9472.16</v>
      </c>
      <c r="G929" t="s">
        <v>12</v>
      </c>
      <c r="H929">
        <v>2</v>
      </c>
      <c r="I929">
        <v>892.63</v>
      </c>
      <c r="J929">
        <v>8579.5300000000007</v>
      </c>
      <c r="K929" t="s">
        <v>58</v>
      </c>
      <c r="L929" t="s">
        <v>59</v>
      </c>
      <c r="M929">
        <v>2022</v>
      </c>
      <c r="N929" t="s">
        <v>46</v>
      </c>
    </row>
    <row r="930" spans="1:14" x14ac:dyDescent="0.3">
      <c r="A930" s="1">
        <v>45082</v>
      </c>
      <c r="B930" t="s">
        <v>15</v>
      </c>
      <c r="C930" t="s">
        <v>25</v>
      </c>
      <c r="D930" t="s">
        <v>30</v>
      </c>
      <c r="E930">
        <v>23</v>
      </c>
      <c r="F930">
        <v>1690.93</v>
      </c>
      <c r="G930" t="s">
        <v>20</v>
      </c>
      <c r="H930">
        <v>2</v>
      </c>
      <c r="I930">
        <v>787.28</v>
      </c>
      <c r="J930">
        <v>903.65</v>
      </c>
      <c r="K930" t="s">
        <v>50</v>
      </c>
      <c r="L930" t="s">
        <v>51</v>
      </c>
      <c r="M930">
        <v>2023</v>
      </c>
      <c r="N930" t="s">
        <v>44</v>
      </c>
    </row>
    <row r="931" spans="1:14" x14ac:dyDescent="0.3">
      <c r="A931" s="1">
        <v>45037</v>
      </c>
      <c r="B931" t="s">
        <v>31</v>
      </c>
      <c r="C931" t="s">
        <v>21</v>
      </c>
      <c r="D931" t="s">
        <v>33</v>
      </c>
      <c r="E931">
        <v>26</v>
      </c>
      <c r="F931">
        <v>2351.42</v>
      </c>
      <c r="G931" t="s">
        <v>20</v>
      </c>
      <c r="H931">
        <v>5</v>
      </c>
      <c r="I931">
        <v>1395.9</v>
      </c>
      <c r="J931">
        <v>955.52</v>
      </c>
      <c r="K931" t="s">
        <v>55</v>
      </c>
      <c r="L931" t="s">
        <v>51</v>
      </c>
      <c r="M931">
        <v>2023</v>
      </c>
      <c r="N931" t="s">
        <v>45</v>
      </c>
    </row>
    <row r="932" spans="1:14" x14ac:dyDescent="0.3">
      <c r="A932" s="1">
        <v>45098</v>
      </c>
      <c r="B932" t="s">
        <v>23</v>
      </c>
      <c r="C932" t="s">
        <v>21</v>
      </c>
      <c r="D932" t="s">
        <v>33</v>
      </c>
      <c r="E932">
        <v>47</v>
      </c>
      <c r="F932">
        <v>10218.36</v>
      </c>
      <c r="G932" t="s">
        <v>20</v>
      </c>
      <c r="H932">
        <v>4</v>
      </c>
      <c r="I932">
        <v>11740.58</v>
      </c>
      <c r="J932">
        <v>-1522.22</v>
      </c>
      <c r="K932" t="s">
        <v>50</v>
      </c>
      <c r="L932" t="s">
        <v>51</v>
      </c>
      <c r="M932">
        <v>2023</v>
      </c>
      <c r="N932" t="s">
        <v>45</v>
      </c>
    </row>
    <row r="933" spans="1:14" x14ac:dyDescent="0.3">
      <c r="A933" s="1">
        <v>45003</v>
      </c>
      <c r="B933" t="s">
        <v>9</v>
      </c>
      <c r="C933" t="s">
        <v>10</v>
      </c>
      <c r="D933" t="s">
        <v>34</v>
      </c>
      <c r="E933">
        <v>36</v>
      </c>
      <c r="F933">
        <v>13717.5</v>
      </c>
      <c r="G933" t="s">
        <v>12</v>
      </c>
      <c r="H933">
        <v>4</v>
      </c>
      <c r="I933">
        <v>7014.74</v>
      </c>
      <c r="J933">
        <v>6702.76</v>
      </c>
      <c r="K933" t="s">
        <v>52</v>
      </c>
      <c r="L933" t="s">
        <v>53</v>
      </c>
      <c r="M933">
        <v>2023</v>
      </c>
      <c r="N933" t="s">
        <v>45</v>
      </c>
    </row>
    <row r="934" spans="1:14" x14ac:dyDescent="0.3">
      <c r="A934" s="1">
        <v>44595</v>
      </c>
      <c r="B934" t="s">
        <v>31</v>
      </c>
      <c r="C934" t="s">
        <v>13</v>
      </c>
      <c r="D934" t="s">
        <v>40</v>
      </c>
      <c r="E934">
        <v>26</v>
      </c>
      <c r="F934">
        <v>7040.83</v>
      </c>
      <c r="G934" t="s">
        <v>20</v>
      </c>
      <c r="H934">
        <v>4</v>
      </c>
      <c r="I934">
        <v>1547.08</v>
      </c>
      <c r="J934">
        <v>5493.75</v>
      </c>
      <c r="K934" t="s">
        <v>54</v>
      </c>
      <c r="L934" t="s">
        <v>53</v>
      </c>
      <c r="M934">
        <v>2022</v>
      </c>
      <c r="N934" t="s">
        <v>44</v>
      </c>
    </row>
    <row r="935" spans="1:14" x14ac:dyDescent="0.3">
      <c r="A935" s="1">
        <v>44660</v>
      </c>
      <c r="B935" t="s">
        <v>18</v>
      </c>
      <c r="C935" t="s">
        <v>10</v>
      </c>
      <c r="D935" t="s">
        <v>34</v>
      </c>
      <c r="E935">
        <v>17</v>
      </c>
      <c r="F935">
        <v>1227.6600000000001</v>
      </c>
      <c r="G935" t="s">
        <v>20</v>
      </c>
      <c r="H935">
        <v>1</v>
      </c>
      <c r="I935">
        <v>2899.13</v>
      </c>
      <c r="J935">
        <v>-1671.47</v>
      </c>
      <c r="K935" t="s">
        <v>55</v>
      </c>
      <c r="L935" t="s">
        <v>51</v>
      </c>
      <c r="M935">
        <v>2022</v>
      </c>
      <c r="N935" t="s">
        <v>44</v>
      </c>
    </row>
    <row r="936" spans="1:14" x14ac:dyDescent="0.3">
      <c r="A936" s="1">
        <v>45092</v>
      </c>
      <c r="B936" t="s">
        <v>18</v>
      </c>
      <c r="C936" t="s">
        <v>25</v>
      </c>
      <c r="D936" t="s">
        <v>39</v>
      </c>
      <c r="E936">
        <v>22</v>
      </c>
      <c r="F936">
        <v>5123.91</v>
      </c>
      <c r="G936" t="s">
        <v>20</v>
      </c>
      <c r="H936">
        <v>4</v>
      </c>
      <c r="I936">
        <v>3126.56</v>
      </c>
      <c r="J936">
        <v>1997.35</v>
      </c>
      <c r="K936" t="s">
        <v>50</v>
      </c>
      <c r="L936" t="s">
        <v>51</v>
      </c>
      <c r="M936">
        <v>2023</v>
      </c>
      <c r="N936" t="s">
        <v>44</v>
      </c>
    </row>
    <row r="937" spans="1:14" x14ac:dyDescent="0.3">
      <c r="A937" s="1">
        <v>45039</v>
      </c>
      <c r="B937" t="s">
        <v>9</v>
      </c>
      <c r="C937" t="s">
        <v>16</v>
      </c>
      <c r="D937" t="s">
        <v>17</v>
      </c>
      <c r="E937">
        <v>44</v>
      </c>
      <c r="F937">
        <v>4967.92</v>
      </c>
      <c r="G937" t="s">
        <v>12</v>
      </c>
      <c r="H937">
        <v>2</v>
      </c>
      <c r="I937">
        <v>5834.46</v>
      </c>
      <c r="J937">
        <v>-866.54</v>
      </c>
      <c r="K937" t="s">
        <v>55</v>
      </c>
      <c r="L937" t="s">
        <v>51</v>
      </c>
      <c r="M937">
        <v>2023</v>
      </c>
      <c r="N937" t="s">
        <v>44</v>
      </c>
    </row>
    <row r="938" spans="1:14" x14ac:dyDescent="0.3">
      <c r="A938" s="1">
        <v>45074</v>
      </c>
      <c r="B938" t="s">
        <v>15</v>
      </c>
      <c r="C938" t="s">
        <v>16</v>
      </c>
      <c r="D938" t="s">
        <v>27</v>
      </c>
      <c r="E938">
        <v>31</v>
      </c>
      <c r="F938">
        <v>14582.35</v>
      </c>
      <c r="G938" t="s">
        <v>20</v>
      </c>
      <c r="H938">
        <v>3</v>
      </c>
      <c r="I938">
        <v>832.68</v>
      </c>
      <c r="J938">
        <v>13749.67</v>
      </c>
      <c r="K938" t="s">
        <v>56</v>
      </c>
      <c r="L938" t="s">
        <v>51</v>
      </c>
      <c r="M938">
        <v>2023</v>
      </c>
      <c r="N938" t="s">
        <v>45</v>
      </c>
    </row>
    <row r="939" spans="1:14" x14ac:dyDescent="0.3">
      <c r="A939" s="1">
        <v>45171</v>
      </c>
      <c r="B939" t="s">
        <v>15</v>
      </c>
      <c r="C939" t="s">
        <v>25</v>
      </c>
      <c r="D939" t="s">
        <v>38</v>
      </c>
      <c r="E939">
        <v>42</v>
      </c>
      <c r="F939">
        <v>16144.75</v>
      </c>
      <c r="G939" t="s">
        <v>20</v>
      </c>
      <c r="H939">
        <v>2</v>
      </c>
      <c r="I939">
        <v>3155.08</v>
      </c>
      <c r="J939">
        <v>12989.67</v>
      </c>
      <c r="K939" t="s">
        <v>60</v>
      </c>
      <c r="L939" t="s">
        <v>61</v>
      </c>
      <c r="M939">
        <v>2023</v>
      </c>
      <c r="N939" t="s">
        <v>44</v>
      </c>
    </row>
    <row r="940" spans="1:14" x14ac:dyDescent="0.3">
      <c r="A940" s="1">
        <v>44627</v>
      </c>
      <c r="B940" t="s">
        <v>23</v>
      </c>
      <c r="C940" t="s">
        <v>25</v>
      </c>
      <c r="D940" t="s">
        <v>38</v>
      </c>
      <c r="E940">
        <v>48</v>
      </c>
      <c r="F940">
        <v>16227.88</v>
      </c>
      <c r="G940" t="s">
        <v>12</v>
      </c>
      <c r="H940">
        <v>4</v>
      </c>
      <c r="I940">
        <v>8999.23</v>
      </c>
      <c r="J940">
        <v>7228.65</v>
      </c>
      <c r="K940" t="s">
        <v>52</v>
      </c>
      <c r="L940" t="s">
        <v>53</v>
      </c>
      <c r="M940">
        <v>2022</v>
      </c>
      <c r="N940" t="s">
        <v>43</v>
      </c>
    </row>
    <row r="941" spans="1:14" x14ac:dyDescent="0.3">
      <c r="A941" s="1">
        <v>45046</v>
      </c>
      <c r="B941" t="s">
        <v>18</v>
      </c>
      <c r="C941" t="s">
        <v>21</v>
      </c>
      <c r="D941" t="s">
        <v>36</v>
      </c>
      <c r="E941">
        <v>50</v>
      </c>
      <c r="F941">
        <v>18531.939999999999</v>
      </c>
      <c r="G941" t="s">
        <v>12</v>
      </c>
      <c r="H941">
        <v>3</v>
      </c>
      <c r="I941">
        <v>10529.39</v>
      </c>
      <c r="J941">
        <v>8002.55</v>
      </c>
      <c r="K941" t="s">
        <v>55</v>
      </c>
      <c r="L941" t="s">
        <v>51</v>
      </c>
      <c r="M941">
        <v>2023</v>
      </c>
      <c r="N941" t="s">
        <v>43</v>
      </c>
    </row>
    <row r="942" spans="1:14" x14ac:dyDescent="0.3">
      <c r="A942" s="1">
        <v>44614</v>
      </c>
      <c r="B942" t="s">
        <v>31</v>
      </c>
      <c r="C942" t="s">
        <v>21</v>
      </c>
      <c r="D942" t="s">
        <v>22</v>
      </c>
      <c r="E942">
        <v>2</v>
      </c>
      <c r="F942">
        <v>289.76</v>
      </c>
      <c r="G942" t="s">
        <v>20</v>
      </c>
      <c r="H942">
        <v>1</v>
      </c>
      <c r="I942">
        <v>236.38</v>
      </c>
      <c r="J942">
        <v>53.38</v>
      </c>
      <c r="K942" t="s">
        <v>54</v>
      </c>
      <c r="L942" t="s">
        <v>53</v>
      </c>
      <c r="M942">
        <v>2022</v>
      </c>
      <c r="N942" t="s">
        <v>44</v>
      </c>
    </row>
    <row r="943" spans="1:14" x14ac:dyDescent="0.3">
      <c r="A943" s="1">
        <v>44992</v>
      </c>
      <c r="B943" t="s">
        <v>31</v>
      </c>
      <c r="C943" t="s">
        <v>10</v>
      </c>
      <c r="D943" t="s">
        <v>28</v>
      </c>
      <c r="E943">
        <v>24</v>
      </c>
      <c r="F943">
        <v>3500.77</v>
      </c>
      <c r="G943" t="s">
        <v>20</v>
      </c>
      <c r="H943">
        <v>3</v>
      </c>
      <c r="I943">
        <v>1485.09</v>
      </c>
      <c r="J943">
        <v>2015.68</v>
      </c>
      <c r="K943" t="s">
        <v>52</v>
      </c>
      <c r="L943" t="s">
        <v>53</v>
      </c>
      <c r="M943">
        <v>2023</v>
      </c>
      <c r="N943" t="s">
        <v>43</v>
      </c>
    </row>
    <row r="944" spans="1:14" x14ac:dyDescent="0.3">
      <c r="A944" s="1">
        <v>45125</v>
      </c>
      <c r="B944" t="s">
        <v>18</v>
      </c>
      <c r="C944" t="s">
        <v>25</v>
      </c>
      <c r="D944" t="s">
        <v>39</v>
      </c>
      <c r="E944">
        <v>30</v>
      </c>
      <c r="F944">
        <v>11838.27</v>
      </c>
      <c r="G944" t="s">
        <v>12</v>
      </c>
      <c r="H944">
        <v>5</v>
      </c>
      <c r="I944">
        <v>3283.25</v>
      </c>
      <c r="J944">
        <v>8555.02</v>
      </c>
      <c r="K944" t="s">
        <v>63</v>
      </c>
      <c r="L944" t="s">
        <v>61</v>
      </c>
      <c r="M944">
        <v>2023</v>
      </c>
      <c r="N944" t="s">
        <v>43</v>
      </c>
    </row>
    <row r="945" spans="1:14" x14ac:dyDescent="0.3">
      <c r="A945" s="1">
        <v>44996</v>
      </c>
      <c r="B945" t="s">
        <v>9</v>
      </c>
      <c r="C945" t="s">
        <v>10</v>
      </c>
      <c r="D945" t="s">
        <v>34</v>
      </c>
      <c r="E945">
        <v>37</v>
      </c>
      <c r="F945">
        <v>10984.7</v>
      </c>
      <c r="G945" t="s">
        <v>12</v>
      </c>
      <c r="H945">
        <v>5</v>
      </c>
      <c r="I945">
        <v>3288.73</v>
      </c>
      <c r="J945">
        <v>7695.97</v>
      </c>
      <c r="K945" t="s">
        <v>52</v>
      </c>
      <c r="L945" t="s">
        <v>53</v>
      </c>
      <c r="M945">
        <v>2023</v>
      </c>
      <c r="N945" t="s">
        <v>43</v>
      </c>
    </row>
    <row r="946" spans="1:14" x14ac:dyDescent="0.3">
      <c r="A946" s="1">
        <v>44797</v>
      </c>
      <c r="B946" t="s">
        <v>31</v>
      </c>
      <c r="C946" t="s">
        <v>25</v>
      </c>
      <c r="D946" t="s">
        <v>30</v>
      </c>
      <c r="E946">
        <v>5</v>
      </c>
      <c r="F946">
        <v>2127.59</v>
      </c>
      <c r="G946" t="s">
        <v>12</v>
      </c>
      <c r="H946">
        <v>4</v>
      </c>
      <c r="I946">
        <v>668.81</v>
      </c>
      <c r="J946">
        <v>1458.78</v>
      </c>
      <c r="K946" t="s">
        <v>64</v>
      </c>
      <c r="L946" t="s">
        <v>61</v>
      </c>
      <c r="M946">
        <v>2022</v>
      </c>
      <c r="N946" t="s">
        <v>44</v>
      </c>
    </row>
    <row r="947" spans="1:14" x14ac:dyDescent="0.3">
      <c r="A947" s="1">
        <v>44617</v>
      </c>
      <c r="B947" t="s">
        <v>9</v>
      </c>
      <c r="C947" t="s">
        <v>13</v>
      </c>
      <c r="D947" t="s">
        <v>40</v>
      </c>
      <c r="E947">
        <v>18</v>
      </c>
      <c r="F947">
        <v>4859.24</v>
      </c>
      <c r="G947" t="s">
        <v>20</v>
      </c>
      <c r="H947">
        <v>1</v>
      </c>
      <c r="I947">
        <v>3775.51</v>
      </c>
      <c r="J947">
        <v>1083.73</v>
      </c>
      <c r="K947" t="s">
        <v>54</v>
      </c>
      <c r="L947" t="s">
        <v>53</v>
      </c>
      <c r="M947">
        <v>2022</v>
      </c>
      <c r="N947" t="s">
        <v>44</v>
      </c>
    </row>
    <row r="948" spans="1:14" x14ac:dyDescent="0.3">
      <c r="A948" s="1">
        <v>45083</v>
      </c>
      <c r="B948" t="s">
        <v>15</v>
      </c>
      <c r="C948" t="s">
        <v>10</v>
      </c>
      <c r="D948" t="s">
        <v>28</v>
      </c>
      <c r="E948">
        <v>21</v>
      </c>
      <c r="F948">
        <v>8031.07</v>
      </c>
      <c r="G948" t="s">
        <v>12</v>
      </c>
      <c r="H948">
        <v>5</v>
      </c>
      <c r="I948">
        <v>4080.54</v>
      </c>
      <c r="J948">
        <v>3950.53</v>
      </c>
      <c r="K948" t="s">
        <v>50</v>
      </c>
      <c r="L948" t="s">
        <v>51</v>
      </c>
      <c r="M948">
        <v>2023</v>
      </c>
      <c r="N948" t="s">
        <v>44</v>
      </c>
    </row>
    <row r="949" spans="1:14" x14ac:dyDescent="0.3">
      <c r="A949" s="1">
        <v>45216</v>
      </c>
      <c r="B949" t="s">
        <v>23</v>
      </c>
      <c r="C949" t="s">
        <v>21</v>
      </c>
      <c r="D949" t="s">
        <v>36</v>
      </c>
      <c r="E949">
        <v>50</v>
      </c>
      <c r="F949">
        <v>18721.560000000001</v>
      </c>
      <c r="G949" t="s">
        <v>20</v>
      </c>
      <c r="H949">
        <v>1</v>
      </c>
      <c r="I949">
        <v>5150.8</v>
      </c>
      <c r="J949">
        <v>13570.76</v>
      </c>
      <c r="K949" t="s">
        <v>62</v>
      </c>
      <c r="L949" t="s">
        <v>59</v>
      </c>
      <c r="M949">
        <v>2023</v>
      </c>
      <c r="N949" t="s">
        <v>46</v>
      </c>
    </row>
    <row r="950" spans="1:14" x14ac:dyDescent="0.3">
      <c r="A950" s="1">
        <v>44702</v>
      </c>
      <c r="B950" t="s">
        <v>31</v>
      </c>
      <c r="C950" t="s">
        <v>25</v>
      </c>
      <c r="D950" t="s">
        <v>39</v>
      </c>
      <c r="E950">
        <v>26</v>
      </c>
      <c r="F950">
        <v>3457.66</v>
      </c>
      <c r="G950" t="s">
        <v>20</v>
      </c>
      <c r="H950">
        <v>2</v>
      </c>
      <c r="I950">
        <v>3629.35</v>
      </c>
      <c r="J950">
        <v>-171.69</v>
      </c>
      <c r="K950" t="s">
        <v>56</v>
      </c>
      <c r="L950" t="s">
        <v>51</v>
      </c>
      <c r="M950">
        <v>2022</v>
      </c>
      <c r="N950" t="s">
        <v>44</v>
      </c>
    </row>
    <row r="951" spans="1:14" x14ac:dyDescent="0.3">
      <c r="A951" s="1">
        <v>44802</v>
      </c>
      <c r="B951" t="s">
        <v>15</v>
      </c>
      <c r="C951" t="s">
        <v>25</v>
      </c>
      <c r="D951" t="s">
        <v>39</v>
      </c>
      <c r="E951">
        <v>50</v>
      </c>
      <c r="F951">
        <v>2705.41</v>
      </c>
      <c r="G951" t="s">
        <v>20</v>
      </c>
      <c r="H951">
        <v>4</v>
      </c>
      <c r="I951">
        <v>8924.89</v>
      </c>
      <c r="J951">
        <v>-6219.48</v>
      </c>
      <c r="K951" t="s">
        <v>64</v>
      </c>
      <c r="L951" t="s">
        <v>61</v>
      </c>
      <c r="M951">
        <v>2022</v>
      </c>
      <c r="N951" t="s">
        <v>44</v>
      </c>
    </row>
    <row r="952" spans="1:14" x14ac:dyDescent="0.3">
      <c r="A952" s="1">
        <v>45021</v>
      </c>
      <c r="B952" t="s">
        <v>9</v>
      </c>
      <c r="C952" t="s">
        <v>21</v>
      </c>
      <c r="D952" t="s">
        <v>36</v>
      </c>
      <c r="E952">
        <v>17</v>
      </c>
      <c r="F952">
        <v>361.63</v>
      </c>
      <c r="G952" t="s">
        <v>12</v>
      </c>
      <c r="H952">
        <v>3</v>
      </c>
      <c r="I952">
        <v>801</v>
      </c>
      <c r="J952">
        <v>-439.37</v>
      </c>
      <c r="K952" t="s">
        <v>55</v>
      </c>
      <c r="L952" t="s">
        <v>51</v>
      </c>
      <c r="M952">
        <v>2023</v>
      </c>
      <c r="N952" t="s">
        <v>43</v>
      </c>
    </row>
    <row r="953" spans="1:14" x14ac:dyDescent="0.3">
      <c r="A953" s="1">
        <v>45171</v>
      </c>
      <c r="B953" t="s">
        <v>9</v>
      </c>
      <c r="C953" t="s">
        <v>10</v>
      </c>
      <c r="D953" t="s">
        <v>35</v>
      </c>
      <c r="E953">
        <v>31</v>
      </c>
      <c r="F953">
        <v>799.14</v>
      </c>
      <c r="G953" t="s">
        <v>20</v>
      </c>
      <c r="H953">
        <v>2</v>
      </c>
      <c r="I953">
        <v>2445.5300000000002</v>
      </c>
      <c r="J953">
        <v>-1646.39</v>
      </c>
      <c r="K953" t="s">
        <v>60</v>
      </c>
      <c r="L953" t="s">
        <v>61</v>
      </c>
      <c r="M953">
        <v>2023</v>
      </c>
      <c r="N953" t="s">
        <v>43</v>
      </c>
    </row>
    <row r="954" spans="1:14" x14ac:dyDescent="0.3">
      <c r="A954" s="1">
        <v>44764</v>
      </c>
      <c r="B954" t="s">
        <v>9</v>
      </c>
      <c r="C954" t="s">
        <v>21</v>
      </c>
      <c r="D954" t="s">
        <v>33</v>
      </c>
      <c r="E954">
        <v>47</v>
      </c>
      <c r="F954">
        <v>8911.2999999999993</v>
      </c>
      <c r="G954" t="s">
        <v>20</v>
      </c>
      <c r="H954">
        <v>4</v>
      </c>
      <c r="I954">
        <v>2659.1</v>
      </c>
      <c r="J954">
        <v>6252.2</v>
      </c>
      <c r="K954" t="s">
        <v>63</v>
      </c>
      <c r="L954" t="s">
        <v>61</v>
      </c>
      <c r="M954">
        <v>2022</v>
      </c>
      <c r="N954" t="s">
        <v>46</v>
      </c>
    </row>
    <row r="955" spans="1:14" x14ac:dyDescent="0.3">
      <c r="A955" s="1">
        <v>45085</v>
      </c>
      <c r="B955" t="s">
        <v>23</v>
      </c>
      <c r="C955" t="s">
        <v>13</v>
      </c>
      <c r="D955" t="s">
        <v>19</v>
      </c>
      <c r="E955">
        <v>48</v>
      </c>
      <c r="F955">
        <v>12174.62</v>
      </c>
      <c r="G955" t="s">
        <v>20</v>
      </c>
      <c r="H955">
        <v>2</v>
      </c>
      <c r="I955">
        <v>11009.71</v>
      </c>
      <c r="J955">
        <v>1164.9100000000001</v>
      </c>
      <c r="K955" t="s">
        <v>50</v>
      </c>
      <c r="L955" t="s">
        <v>51</v>
      </c>
      <c r="M955">
        <v>2023</v>
      </c>
      <c r="N955" t="s">
        <v>43</v>
      </c>
    </row>
    <row r="956" spans="1:14" x14ac:dyDescent="0.3">
      <c r="A956" s="1">
        <v>45283</v>
      </c>
      <c r="B956" t="s">
        <v>15</v>
      </c>
      <c r="C956" t="s">
        <v>25</v>
      </c>
      <c r="D956" t="s">
        <v>38</v>
      </c>
      <c r="E956">
        <v>23</v>
      </c>
      <c r="F956">
        <v>7173.66</v>
      </c>
      <c r="G956" t="s">
        <v>12</v>
      </c>
      <c r="H956">
        <v>4</v>
      </c>
      <c r="I956">
        <v>3691.26</v>
      </c>
      <c r="J956">
        <v>3482.4</v>
      </c>
      <c r="K956" t="s">
        <v>58</v>
      </c>
      <c r="L956" t="s">
        <v>59</v>
      </c>
      <c r="M956">
        <v>2023</v>
      </c>
      <c r="N956" t="s">
        <v>43</v>
      </c>
    </row>
    <row r="957" spans="1:14" x14ac:dyDescent="0.3">
      <c r="A957" s="1">
        <v>45279</v>
      </c>
      <c r="B957" t="s">
        <v>31</v>
      </c>
      <c r="C957" t="s">
        <v>16</v>
      </c>
      <c r="D957" t="s">
        <v>17</v>
      </c>
      <c r="E957">
        <v>36</v>
      </c>
      <c r="F957">
        <v>3054.92</v>
      </c>
      <c r="G957" t="s">
        <v>12</v>
      </c>
      <c r="H957">
        <v>5</v>
      </c>
      <c r="I957">
        <v>1229.96</v>
      </c>
      <c r="J957">
        <v>1824.96</v>
      </c>
      <c r="K957" t="s">
        <v>58</v>
      </c>
      <c r="L957" t="s">
        <v>59</v>
      </c>
      <c r="M957">
        <v>2023</v>
      </c>
      <c r="N957" t="s">
        <v>45</v>
      </c>
    </row>
    <row r="958" spans="1:14" x14ac:dyDescent="0.3">
      <c r="A958" s="1">
        <v>44696</v>
      </c>
      <c r="B958" t="s">
        <v>15</v>
      </c>
      <c r="C958" t="s">
        <v>10</v>
      </c>
      <c r="D958" t="s">
        <v>34</v>
      </c>
      <c r="E958">
        <v>4</v>
      </c>
      <c r="F958">
        <v>1811.89</v>
      </c>
      <c r="G958" t="s">
        <v>12</v>
      </c>
      <c r="H958">
        <v>3</v>
      </c>
      <c r="I958">
        <v>491.22</v>
      </c>
      <c r="J958">
        <v>1320.67</v>
      </c>
      <c r="K958" t="s">
        <v>56</v>
      </c>
      <c r="L958" t="s">
        <v>51</v>
      </c>
      <c r="M958">
        <v>2022</v>
      </c>
      <c r="N958" t="s">
        <v>43</v>
      </c>
    </row>
    <row r="959" spans="1:14" x14ac:dyDescent="0.3">
      <c r="A959" s="1">
        <v>44721</v>
      </c>
      <c r="B959" t="s">
        <v>23</v>
      </c>
      <c r="C959" t="s">
        <v>21</v>
      </c>
      <c r="D959" t="s">
        <v>22</v>
      </c>
      <c r="E959">
        <v>40</v>
      </c>
      <c r="F959">
        <v>14788.91</v>
      </c>
      <c r="G959" t="s">
        <v>20</v>
      </c>
      <c r="H959">
        <v>5</v>
      </c>
      <c r="I959">
        <v>4741.84</v>
      </c>
      <c r="J959">
        <v>10047.07</v>
      </c>
      <c r="K959" t="s">
        <v>50</v>
      </c>
      <c r="L959" t="s">
        <v>51</v>
      </c>
      <c r="M959">
        <v>2022</v>
      </c>
      <c r="N959" t="s">
        <v>43</v>
      </c>
    </row>
    <row r="960" spans="1:14" x14ac:dyDescent="0.3">
      <c r="A960" s="1">
        <v>45218</v>
      </c>
      <c r="B960" t="s">
        <v>31</v>
      </c>
      <c r="C960" t="s">
        <v>16</v>
      </c>
      <c r="D960" t="s">
        <v>17</v>
      </c>
      <c r="E960">
        <v>30</v>
      </c>
      <c r="F960">
        <v>4863.8900000000003</v>
      </c>
      <c r="G960" t="s">
        <v>12</v>
      </c>
      <c r="H960">
        <v>1</v>
      </c>
      <c r="I960">
        <v>7462.81</v>
      </c>
      <c r="J960">
        <v>-2598.92</v>
      </c>
      <c r="K960" t="s">
        <v>62</v>
      </c>
      <c r="L960" t="s">
        <v>59</v>
      </c>
      <c r="M960">
        <v>2023</v>
      </c>
      <c r="N960" t="s">
        <v>43</v>
      </c>
    </row>
    <row r="961" spans="1:14" x14ac:dyDescent="0.3">
      <c r="A961" s="1">
        <v>45036</v>
      </c>
      <c r="B961" t="s">
        <v>31</v>
      </c>
      <c r="C961" t="s">
        <v>10</v>
      </c>
      <c r="D961" t="s">
        <v>35</v>
      </c>
      <c r="E961">
        <v>7</v>
      </c>
      <c r="F961">
        <v>138.47999999999999</v>
      </c>
      <c r="G961" t="s">
        <v>12</v>
      </c>
      <c r="H961">
        <v>1</v>
      </c>
      <c r="I961">
        <v>966.54</v>
      </c>
      <c r="J961">
        <v>-828.06</v>
      </c>
      <c r="K961" t="s">
        <v>55</v>
      </c>
      <c r="L961" t="s">
        <v>51</v>
      </c>
      <c r="M961">
        <v>2023</v>
      </c>
      <c r="N961" t="s">
        <v>43</v>
      </c>
    </row>
    <row r="962" spans="1:14" x14ac:dyDescent="0.3">
      <c r="A962" s="1">
        <v>44815</v>
      </c>
      <c r="B962" t="s">
        <v>15</v>
      </c>
      <c r="C962" t="s">
        <v>21</v>
      </c>
      <c r="D962" t="s">
        <v>32</v>
      </c>
      <c r="E962">
        <v>3</v>
      </c>
      <c r="F962">
        <v>721.01</v>
      </c>
      <c r="G962" t="s">
        <v>20</v>
      </c>
      <c r="H962">
        <v>2</v>
      </c>
      <c r="I962">
        <v>229.03</v>
      </c>
      <c r="J962">
        <v>491.98</v>
      </c>
      <c r="K962" t="s">
        <v>60</v>
      </c>
      <c r="L962" t="s">
        <v>61</v>
      </c>
      <c r="M962">
        <v>2022</v>
      </c>
      <c r="N962" t="s">
        <v>45</v>
      </c>
    </row>
    <row r="963" spans="1:14" x14ac:dyDescent="0.3">
      <c r="A963" s="1">
        <v>44718</v>
      </c>
      <c r="B963" t="s">
        <v>9</v>
      </c>
      <c r="C963" t="s">
        <v>13</v>
      </c>
      <c r="D963" t="s">
        <v>14</v>
      </c>
      <c r="E963">
        <v>40</v>
      </c>
      <c r="F963">
        <v>3910.25</v>
      </c>
      <c r="G963" t="s">
        <v>20</v>
      </c>
      <c r="H963">
        <v>1</v>
      </c>
      <c r="I963">
        <v>5235.21</v>
      </c>
      <c r="J963">
        <v>-1324.96</v>
      </c>
      <c r="K963" t="s">
        <v>50</v>
      </c>
      <c r="L963" t="s">
        <v>51</v>
      </c>
      <c r="M963">
        <v>2022</v>
      </c>
      <c r="N963" t="s">
        <v>46</v>
      </c>
    </row>
    <row r="964" spans="1:14" x14ac:dyDescent="0.3">
      <c r="A964" s="1">
        <v>44583</v>
      </c>
      <c r="B964" t="s">
        <v>31</v>
      </c>
      <c r="C964" t="s">
        <v>16</v>
      </c>
      <c r="D964" t="s">
        <v>24</v>
      </c>
      <c r="E964">
        <v>23</v>
      </c>
      <c r="F964">
        <v>6697.08</v>
      </c>
      <c r="G964" t="s">
        <v>20</v>
      </c>
      <c r="H964">
        <v>2</v>
      </c>
      <c r="I964">
        <v>2214.31</v>
      </c>
      <c r="J964">
        <v>4482.7700000000004</v>
      </c>
      <c r="K964" t="s">
        <v>57</v>
      </c>
      <c r="L964" t="s">
        <v>53</v>
      </c>
      <c r="M964">
        <v>2022</v>
      </c>
      <c r="N964" t="s">
        <v>46</v>
      </c>
    </row>
    <row r="965" spans="1:14" x14ac:dyDescent="0.3">
      <c r="A965" s="1">
        <v>44627</v>
      </c>
      <c r="B965" t="s">
        <v>9</v>
      </c>
      <c r="C965" t="s">
        <v>10</v>
      </c>
      <c r="D965" t="s">
        <v>35</v>
      </c>
      <c r="E965">
        <v>25</v>
      </c>
      <c r="F965">
        <v>10356.08</v>
      </c>
      <c r="G965" t="s">
        <v>20</v>
      </c>
      <c r="H965">
        <v>2</v>
      </c>
      <c r="I965">
        <v>1793.65</v>
      </c>
      <c r="J965">
        <v>8562.43</v>
      </c>
      <c r="K965" t="s">
        <v>52</v>
      </c>
      <c r="L965" t="s">
        <v>53</v>
      </c>
      <c r="M965">
        <v>2022</v>
      </c>
      <c r="N965" t="s">
        <v>46</v>
      </c>
    </row>
    <row r="966" spans="1:14" x14ac:dyDescent="0.3">
      <c r="A966" s="1">
        <v>45164</v>
      </c>
      <c r="B966" t="s">
        <v>9</v>
      </c>
      <c r="C966" t="s">
        <v>13</v>
      </c>
      <c r="D966" t="s">
        <v>19</v>
      </c>
      <c r="E966">
        <v>39</v>
      </c>
      <c r="F966">
        <v>5627.53</v>
      </c>
      <c r="G966" t="s">
        <v>20</v>
      </c>
      <c r="H966">
        <v>2</v>
      </c>
      <c r="I966">
        <v>768.93</v>
      </c>
      <c r="J966">
        <v>4858.6000000000004</v>
      </c>
      <c r="K966" t="s">
        <v>64</v>
      </c>
      <c r="L966" t="s">
        <v>61</v>
      </c>
      <c r="M966">
        <v>2023</v>
      </c>
      <c r="N966" t="s">
        <v>43</v>
      </c>
    </row>
    <row r="967" spans="1:14" x14ac:dyDescent="0.3">
      <c r="A967" s="1">
        <v>45176</v>
      </c>
      <c r="B967" t="s">
        <v>9</v>
      </c>
      <c r="C967" t="s">
        <v>25</v>
      </c>
      <c r="D967" t="s">
        <v>39</v>
      </c>
      <c r="E967">
        <v>31</v>
      </c>
      <c r="F967">
        <v>3498.41</v>
      </c>
      <c r="G967" t="s">
        <v>12</v>
      </c>
      <c r="H967">
        <v>4</v>
      </c>
      <c r="I967">
        <v>3798.96</v>
      </c>
      <c r="J967">
        <v>-300.55</v>
      </c>
      <c r="K967" t="s">
        <v>60</v>
      </c>
      <c r="L967" t="s">
        <v>61</v>
      </c>
      <c r="M967">
        <v>2023</v>
      </c>
      <c r="N967" t="s">
        <v>46</v>
      </c>
    </row>
    <row r="968" spans="1:14" x14ac:dyDescent="0.3">
      <c r="A968" s="1">
        <v>44714</v>
      </c>
      <c r="B968" t="s">
        <v>18</v>
      </c>
      <c r="C968" t="s">
        <v>13</v>
      </c>
      <c r="D968" t="s">
        <v>29</v>
      </c>
      <c r="E968">
        <v>47</v>
      </c>
      <c r="F968">
        <v>4267.21</v>
      </c>
      <c r="G968" t="s">
        <v>20</v>
      </c>
      <c r="H968">
        <v>2</v>
      </c>
      <c r="I968">
        <v>10256.59</v>
      </c>
      <c r="J968">
        <v>-5989.38</v>
      </c>
      <c r="K968" t="s">
        <v>50</v>
      </c>
      <c r="L968" t="s">
        <v>51</v>
      </c>
      <c r="M968">
        <v>2022</v>
      </c>
      <c r="N968" t="s">
        <v>43</v>
      </c>
    </row>
    <row r="969" spans="1:14" x14ac:dyDescent="0.3">
      <c r="A969" s="1">
        <v>45069</v>
      </c>
      <c r="B969" t="s">
        <v>31</v>
      </c>
      <c r="C969" t="s">
        <v>21</v>
      </c>
      <c r="D969" t="s">
        <v>36</v>
      </c>
      <c r="E969">
        <v>30</v>
      </c>
      <c r="F969">
        <v>14753.36</v>
      </c>
      <c r="G969" t="s">
        <v>20</v>
      </c>
      <c r="H969">
        <v>3</v>
      </c>
      <c r="I969">
        <v>4201.8900000000003</v>
      </c>
      <c r="J969">
        <v>10551.47</v>
      </c>
      <c r="K969" t="s">
        <v>56</v>
      </c>
      <c r="L969" t="s">
        <v>51</v>
      </c>
      <c r="M969">
        <v>2023</v>
      </c>
      <c r="N969" t="s">
        <v>45</v>
      </c>
    </row>
    <row r="970" spans="1:14" x14ac:dyDescent="0.3">
      <c r="A970" s="1">
        <v>44978</v>
      </c>
      <c r="B970" t="s">
        <v>18</v>
      </c>
      <c r="C970" t="s">
        <v>16</v>
      </c>
      <c r="D970" t="s">
        <v>37</v>
      </c>
      <c r="E970">
        <v>42</v>
      </c>
      <c r="F970">
        <v>19058.66</v>
      </c>
      <c r="G970" t="s">
        <v>20</v>
      </c>
      <c r="H970">
        <v>2</v>
      </c>
      <c r="I970">
        <v>265.3</v>
      </c>
      <c r="J970">
        <v>18793.36</v>
      </c>
      <c r="K970" t="s">
        <v>54</v>
      </c>
      <c r="L970" t="s">
        <v>53</v>
      </c>
      <c r="M970">
        <v>2023</v>
      </c>
      <c r="N970" t="s">
        <v>43</v>
      </c>
    </row>
    <row r="971" spans="1:14" x14ac:dyDescent="0.3">
      <c r="A971" s="1">
        <v>44670</v>
      </c>
      <c r="B971" t="s">
        <v>15</v>
      </c>
      <c r="C971" t="s">
        <v>13</v>
      </c>
      <c r="D971" t="s">
        <v>14</v>
      </c>
      <c r="E971">
        <v>31</v>
      </c>
      <c r="F971">
        <v>13350.77</v>
      </c>
      <c r="G971" t="s">
        <v>20</v>
      </c>
      <c r="H971">
        <v>3</v>
      </c>
      <c r="I971">
        <v>3375.31</v>
      </c>
      <c r="J971">
        <v>9975.4599999999991</v>
      </c>
      <c r="K971" t="s">
        <v>55</v>
      </c>
      <c r="L971" t="s">
        <v>51</v>
      </c>
      <c r="M971">
        <v>2022</v>
      </c>
      <c r="N971" t="s">
        <v>43</v>
      </c>
    </row>
    <row r="972" spans="1:14" x14ac:dyDescent="0.3">
      <c r="A972" s="1">
        <v>45058</v>
      </c>
      <c r="B972" t="s">
        <v>15</v>
      </c>
      <c r="C972" t="s">
        <v>13</v>
      </c>
      <c r="D972" t="s">
        <v>40</v>
      </c>
      <c r="E972">
        <v>16</v>
      </c>
      <c r="F972">
        <v>4442.4399999999996</v>
      </c>
      <c r="G972" t="s">
        <v>20</v>
      </c>
      <c r="H972">
        <v>5</v>
      </c>
      <c r="I972">
        <v>1792.94</v>
      </c>
      <c r="J972">
        <v>2649.5</v>
      </c>
      <c r="K972" t="s">
        <v>56</v>
      </c>
      <c r="L972" t="s">
        <v>51</v>
      </c>
      <c r="M972">
        <v>2023</v>
      </c>
      <c r="N972" t="s">
        <v>43</v>
      </c>
    </row>
    <row r="973" spans="1:14" x14ac:dyDescent="0.3">
      <c r="A973" s="1">
        <v>44614</v>
      </c>
      <c r="B973" t="s">
        <v>23</v>
      </c>
      <c r="C973" t="s">
        <v>25</v>
      </c>
      <c r="D973" t="s">
        <v>38</v>
      </c>
      <c r="E973">
        <v>49</v>
      </c>
      <c r="F973">
        <v>23633.39</v>
      </c>
      <c r="G973" t="s">
        <v>20</v>
      </c>
      <c r="H973">
        <v>1</v>
      </c>
      <c r="I973">
        <v>2516.1</v>
      </c>
      <c r="J973">
        <v>21117.29</v>
      </c>
      <c r="K973" t="s">
        <v>54</v>
      </c>
      <c r="L973" t="s">
        <v>53</v>
      </c>
      <c r="M973">
        <v>2022</v>
      </c>
      <c r="N973" t="s">
        <v>43</v>
      </c>
    </row>
    <row r="974" spans="1:14" x14ac:dyDescent="0.3">
      <c r="A974" s="1">
        <v>45240</v>
      </c>
      <c r="B974" t="s">
        <v>9</v>
      </c>
      <c r="C974" t="s">
        <v>21</v>
      </c>
      <c r="D974" t="s">
        <v>33</v>
      </c>
      <c r="E974">
        <v>2</v>
      </c>
      <c r="F974">
        <v>82.07</v>
      </c>
      <c r="G974" t="s">
        <v>20</v>
      </c>
      <c r="H974">
        <v>3</v>
      </c>
      <c r="I974">
        <v>473.59</v>
      </c>
      <c r="J974">
        <v>-391.52</v>
      </c>
      <c r="K974" t="s">
        <v>65</v>
      </c>
      <c r="L974" t="s">
        <v>59</v>
      </c>
      <c r="M974">
        <v>2023</v>
      </c>
      <c r="N974" t="s">
        <v>46</v>
      </c>
    </row>
    <row r="975" spans="1:14" x14ac:dyDescent="0.3">
      <c r="A975" s="1">
        <v>44891</v>
      </c>
      <c r="B975" t="s">
        <v>9</v>
      </c>
      <c r="C975" t="s">
        <v>25</v>
      </c>
      <c r="D975" t="s">
        <v>39</v>
      </c>
      <c r="E975">
        <v>27</v>
      </c>
      <c r="F975">
        <v>7702.07</v>
      </c>
      <c r="G975" t="s">
        <v>20</v>
      </c>
      <c r="H975">
        <v>4</v>
      </c>
      <c r="I975">
        <v>3624</v>
      </c>
      <c r="J975">
        <v>4078.07</v>
      </c>
      <c r="K975" t="s">
        <v>65</v>
      </c>
      <c r="L975" t="s">
        <v>59</v>
      </c>
      <c r="M975">
        <v>2022</v>
      </c>
      <c r="N975" t="s">
        <v>46</v>
      </c>
    </row>
    <row r="976" spans="1:14" x14ac:dyDescent="0.3">
      <c r="A976" s="1">
        <v>44681</v>
      </c>
      <c r="B976" t="s">
        <v>9</v>
      </c>
      <c r="C976" t="s">
        <v>16</v>
      </c>
      <c r="D976" t="s">
        <v>24</v>
      </c>
      <c r="E976">
        <v>4</v>
      </c>
      <c r="F976">
        <v>1268.6500000000001</v>
      </c>
      <c r="G976" t="s">
        <v>20</v>
      </c>
      <c r="H976">
        <v>1</v>
      </c>
      <c r="I976">
        <v>985.95</v>
      </c>
      <c r="J976">
        <v>282.7</v>
      </c>
      <c r="K976" t="s">
        <v>55</v>
      </c>
      <c r="L976" t="s">
        <v>51</v>
      </c>
      <c r="M976">
        <v>2022</v>
      </c>
      <c r="N976" t="s">
        <v>44</v>
      </c>
    </row>
    <row r="977" spans="1:14" x14ac:dyDescent="0.3">
      <c r="A977" s="1">
        <v>45133</v>
      </c>
      <c r="B977" t="s">
        <v>18</v>
      </c>
      <c r="C977" t="s">
        <v>10</v>
      </c>
      <c r="D977" t="s">
        <v>11</v>
      </c>
      <c r="E977">
        <v>23</v>
      </c>
      <c r="F977">
        <v>5752.08</v>
      </c>
      <c r="G977" t="s">
        <v>12</v>
      </c>
      <c r="H977">
        <v>1</v>
      </c>
      <c r="I977">
        <v>5169.25</v>
      </c>
      <c r="J977">
        <v>582.83000000000004</v>
      </c>
      <c r="K977" t="s">
        <v>63</v>
      </c>
      <c r="L977" t="s">
        <v>61</v>
      </c>
      <c r="M977">
        <v>2023</v>
      </c>
      <c r="N977" t="s">
        <v>44</v>
      </c>
    </row>
    <row r="978" spans="1:14" x14ac:dyDescent="0.3">
      <c r="A978" s="1">
        <v>45196</v>
      </c>
      <c r="B978" t="s">
        <v>9</v>
      </c>
      <c r="C978" t="s">
        <v>25</v>
      </c>
      <c r="D978" t="s">
        <v>39</v>
      </c>
      <c r="E978">
        <v>20</v>
      </c>
      <c r="F978">
        <v>6549.89</v>
      </c>
      <c r="G978" t="s">
        <v>20</v>
      </c>
      <c r="H978">
        <v>3</v>
      </c>
      <c r="I978">
        <v>3335.03</v>
      </c>
      <c r="J978">
        <v>3214.86</v>
      </c>
      <c r="K978" t="s">
        <v>60</v>
      </c>
      <c r="L978" t="s">
        <v>61</v>
      </c>
      <c r="M978">
        <v>2023</v>
      </c>
      <c r="N978" t="s">
        <v>44</v>
      </c>
    </row>
    <row r="979" spans="1:14" x14ac:dyDescent="0.3">
      <c r="A979" s="1">
        <v>44716</v>
      </c>
      <c r="B979" t="s">
        <v>23</v>
      </c>
      <c r="C979" t="s">
        <v>10</v>
      </c>
      <c r="D979" t="s">
        <v>28</v>
      </c>
      <c r="E979">
        <v>28</v>
      </c>
      <c r="F979">
        <v>10397.34</v>
      </c>
      <c r="G979" t="s">
        <v>20</v>
      </c>
      <c r="H979">
        <v>5</v>
      </c>
      <c r="I979">
        <v>5807.82</v>
      </c>
      <c r="J979">
        <v>4589.5200000000004</v>
      </c>
      <c r="K979" t="s">
        <v>50</v>
      </c>
      <c r="L979" t="s">
        <v>51</v>
      </c>
      <c r="M979">
        <v>2022</v>
      </c>
      <c r="N979" t="s">
        <v>46</v>
      </c>
    </row>
    <row r="980" spans="1:14" x14ac:dyDescent="0.3">
      <c r="A980" s="1">
        <v>44657</v>
      </c>
      <c r="B980" t="s">
        <v>23</v>
      </c>
      <c r="C980" t="s">
        <v>10</v>
      </c>
      <c r="D980" t="s">
        <v>34</v>
      </c>
      <c r="E980">
        <v>28</v>
      </c>
      <c r="F980">
        <v>11714.86</v>
      </c>
      <c r="G980" t="s">
        <v>20</v>
      </c>
      <c r="H980">
        <v>2</v>
      </c>
      <c r="I980">
        <v>4487.0600000000004</v>
      </c>
      <c r="J980">
        <v>7227.8</v>
      </c>
      <c r="K980" t="s">
        <v>55</v>
      </c>
      <c r="L980" t="s">
        <v>51</v>
      </c>
      <c r="M980">
        <v>2022</v>
      </c>
      <c r="N980" t="s">
        <v>45</v>
      </c>
    </row>
    <row r="981" spans="1:14" x14ac:dyDescent="0.3">
      <c r="A981" s="1">
        <v>44848</v>
      </c>
      <c r="B981" t="s">
        <v>23</v>
      </c>
      <c r="C981" t="s">
        <v>10</v>
      </c>
      <c r="D981" t="s">
        <v>11</v>
      </c>
      <c r="E981">
        <v>18</v>
      </c>
      <c r="F981">
        <v>7868.81</v>
      </c>
      <c r="G981" t="s">
        <v>20</v>
      </c>
      <c r="H981">
        <v>5</v>
      </c>
      <c r="I981">
        <v>4352.1499999999996</v>
      </c>
      <c r="J981">
        <v>3516.66</v>
      </c>
      <c r="K981" t="s">
        <v>62</v>
      </c>
      <c r="L981" t="s">
        <v>59</v>
      </c>
      <c r="M981">
        <v>2022</v>
      </c>
      <c r="N981" t="s">
        <v>43</v>
      </c>
    </row>
    <row r="982" spans="1:14" x14ac:dyDescent="0.3">
      <c r="A982" s="1">
        <v>44982</v>
      </c>
      <c r="B982" t="s">
        <v>9</v>
      </c>
      <c r="C982" t="s">
        <v>16</v>
      </c>
      <c r="D982" t="s">
        <v>27</v>
      </c>
      <c r="E982">
        <v>19</v>
      </c>
      <c r="F982">
        <v>7308.82</v>
      </c>
      <c r="G982" t="s">
        <v>12</v>
      </c>
      <c r="H982">
        <v>4</v>
      </c>
      <c r="I982">
        <v>4636.97</v>
      </c>
      <c r="J982">
        <v>2671.85</v>
      </c>
      <c r="K982" t="s">
        <v>54</v>
      </c>
      <c r="L982" t="s">
        <v>53</v>
      </c>
      <c r="M982">
        <v>2023</v>
      </c>
      <c r="N982" t="s">
        <v>44</v>
      </c>
    </row>
    <row r="983" spans="1:14" x14ac:dyDescent="0.3">
      <c r="A983" s="1">
        <v>44878</v>
      </c>
      <c r="B983" t="s">
        <v>31</v>
      </c>
      <c r="C983" t="s">
        <v>25</v>
      </c>
      <c r="D983" t="s">
        <v>39</v>
      </c>
      <c r="E983">
        <v>5</v>
      </c>
      <c r="F983">
        <v>2489.7199999999998</v>
      </c>
      <c r="G983" t="s">
        <v>20</v>
      </c>
      <c r="H983">
        <v>3</v>
      </c>
      <c r="I983">
        <v>994.17</v>
      </c>
      <c r="J983">
        <v>1495.55</v>
      </c>
      <c r="K983" t="s">
        <v>65</v>
      </c>
      <c r="L983" t="s">
        <v>59</v>
      </c>
      <c r="M983">
        <v>2022</v>
      </c>
      <c r="N983" t="s">
        <v>44</v>
      </c>
    </row>
    <row r="984" spans="1:14" x14ac:dyDescent="0.3">
      <c r="A984" s="1">
        <v>44904</v>
      </c>
      <c r="B984" t="s">
        <v>9</v>
      </c>
      <c r="C984" t="s">
        <v>10</v>
      </c>
      <c r="D984" t="s">
        <v>35</v>
      </c>
      <c r="E984">
        <v>33</v>
      </c>
      <c r="F984">
        <v>11721.75</v>
      </c>
      <c r="G984" t="s">
        <v>12</v>
      </c>
      <c r="H984">
        <v>4</v>
      </c>
      <c r="I984">
        <v>3380.36</v>
      </c>
      <c r="J984">
        <v>8341.39</v>
      </c>
      <c r="K984" t="s">
        <v>58</v>
      </c>
      <c r="L984" t="s">
        <v>59</v>
      </c>
      <c r="M984">
        <v>2022</v>
      </c>
      <c r="N984" t="s">
        <v>44</v>
      </c>
    </row>
    <row r="985" spans="1:14" x14ac:dyDescent="0.3">
      <c r="A985" s="1">
        <v>44869</v>
      </c>
      <c r="B985" t="s">
        <v>15</v>
      </c>
      <c r="C985" t="s">
        <v>25</v>
      </c>
      <c r="D985" t="s">
        <v>38</v>
      </c>
      <c r="E985">
        <v>20</v>
      </c>
      <c r="F985">
        <v>7175.33</v>
      </c>
      <c r="G985" t="s">
        <v>12</v>
      </c>
      <c r="H985">
        <v>2</v>
      </c>
      <c r="I985">
        <v>1863.28</v>
      </c>
      <c r="J985">
        <v>5312.05</v>
      </c>
      <c r="K985" t="s">
        <v>65</v>
      </c>
      <c r="L985" t="s">
        <v>59</v>
      </c>
      <c r="M985">
        <v>2022</v>
      </c>
      <c r="N985" t="s">
        <v>44</v>
      </c>
    </row>
    <row r="986" spans="1:14" x14ac:dyDescent="0.3">
      <c r="A986" s="1">
        <v>44780</v>
      </c>
      <c r="B986" t="s">
        <v>18</v>
      </c>
      <c r="C986" t="s">
        <v>16</v>
      </c>
      <c r="D986" t="s">
        <v>17</v>
      </c>
      <c r="E986">
        <v>1</v>
      </c>
      <c r="F986">
        <v>111.56</v>
      </c>
      <c r="G986" t="s">
        <v>20</v>
      </c>
      <c r="H986">
        <v>2</v>
      </c>
      <c r="I986">
        <v>63.34</v>
      </c>
      <c r="J986">
        <v>48.22</v>
      </c>
      <c r="K986" t="s">
        <v>64</v>
      </c>
      <c r="L986" t="s">
        <v>61</v>
      </c>
      <c r="M986">
        <v>2022</v>
      </c>
      <c r="N986" t="s">
        <v>44</v>
      </c>
    </row>
    <row r="987" spans="1:14" x14ac:dyDescent="0.3">
      <c r="A987" s="1">
        <v>44881</v>
      </c>
      <c r="B987" t="s">
        <v>9</v>
      </c>
      <c r="C987" t="s">
        <v>10</v>
      </c>
      <c r="D987" t="s">
        <v>34</v>
      </c>
      <c r="E987">
        <v>38</v>
      </c>
      <c r="F987">
        <v>15792.22</v>
      </c>
      <c r="G987" t="s">
        <v>12</v>
      </c>
      <c r="H987">
        <v>4</v>
      </c>
      <c r="I987">
        <v>6138.79</v>
      </c>
      <c r="J987">
        <v>9653.43</v>
      </c>
      <c r="K987" t="s">
        <v>65</v>
      </c>
      <c r="L987" t="s">
        <v>59</v>
      </c>
      <c r="M987">
        <v>2022</v>
      </c>
      <c r="N987" t="s">
        <v>46</v>
      </c>
    </row>
    <row r="988" spans="1:14" x14ac:dyDescent="0.3">
      <c r="A988" s="1">
        <v>45160</v>
      </c>
      <c r="B988" t="s">
        <v>18</v>
      </c>
      <c r="C988" t="s">
        <v>16</v>
      </c>
      <c r="D988" t="s">
        <v>24</v>
      </c>
      <c r="E988">
        <v>43</v>
      </c>
      <c r="F988">
        <v>9805.51</v>
      </c>
      <c r="G988" t="s">
        <v>20</v>
      </c>
      <c r="H988">
        <v>2</v>
      </c>
      <c r="I988">
        <v>4372.26</v>
      </c>
      <c r="J988">
        <v>5433.25</v>
      </c>
      <c r="K988" t="s">
        <v>64</v>
      </c>
      <c r="L988" t="s">
        <v>61</v>
      </c>
      <c r="M988">
        <v>2023</v>
      </c>
      <c r="N988" t="s">
        <v>44</v>
      </c>
    </row>
    <row r="989" spans="1:14" x14ac:dyDescent="0.3">
      <c r="A989" s="1">
        <v>44979</v>
      </c>
      <c r="B989" t="s">
        <v>9</v>
      </c>
      <c r="C989" t="s">
        <v>16</v>
      </c>
      <c r="D989" t="s">
        <v>17</v>
      </c>
      <c r="E989">
        <v>5</v>
      </c>
      <c r="F989">
        <v>1089.02</v>
      </c>
      <c r="G989" t="s">
        <v>12</v>
      </c>
      <c r="H989">
        <v>5</v>
      </c>
      <c r="I989">
        <v>1249.1099999999999</v>
      </c>
      <c r="J989">
        <v>-160.09</v>
      </c>
      <c r="K989" t="s">
        <v>54</v>
      </c>
      <c r="L989" t="s">
        <v>53</v>
      </c>
      <c r="M989">
        <v>2023</v>
      </c>
      <c r="N989" t="s">
        <v>44</v>
      </c>
    </row>
    <row r="990" spans="1:14" x14ac:dyDescent="0.3">
      <c r="A990" s="1">
        <v>44577</v>
      </c>
      <c r="B990" t="s">
        <v>15</v>
      </c>
      <c r="C990" t="s">
        <v>21</v>
      </c>
      <c r="D990" t="s">
        <v>32</v>
      </c>
      <c r="E990">
        <v>25</v>
      </c>
      <c r="F990">
        <v>5042.28</v>
      </c>
      <c r="G990" t="s">
        <v>20</v>
      </c>
      <c r="H990">
        <v>1</v>
      </c>
      <c r="I990">
        <v>5420.93</v>
      </c>
      <c r="J990">
        <v>-378.65</v>
      </c>
      <c r="K990" t="s">
        <v>57</v>
      </c>
      <c r="L990" t="s">
        <v>53</v>
      </c>
      <c r="M990">
        <v>2022</v>
      </c>
      <c r="N990" t="s">
        <v>46</v>
      </c>
    </row>
    <row r="991" spans="1:14" x14ac:dyDescent="0.3">
      <c r="A991" s="1">
        <v>45169</v>
      </c>
      <c r="B991" t="s">
        <v>15</v>
      </c>
      <c r="C991" t="s">
        <v>10</v>
      </c>
      <c r="D991" t="s">
        <v>35</v>
      </c>
      <c r="E991">
        <v>23</v>
      </c>
      <c r="F991">
        <v>6883.35</v>
      </c>
      <c r="G991" t="s">
        <v>20</v>
      </c>
      <c r="H991">
        <v>3</v>
      </c>
      <c r="I991">
        <v>5510.43</v>
      </c>
      <c r="J991">
        <v>1372.92</v>
      </c>
      <c r="K991" t="s">
        <v>64</v>
      </c>
      <c r="L991" t="s">
        <v>61</v>
      </c>
      <c r="M991">
        <v>2023</v>
      </c>
      <c r="N991" t="s">
        <v>44</v>
      </c>
    </row>
    <row r="992" spans="1:14" x14ac:dyDescent="0.3">
      <c r="A992" s="1">
        <v>44662</v>
      </c>
      <c r="B992" t="s">
        <v>9</v>
      </c>
      <c r="C992" t="s">
        <v>25</v>
      </c>
      <c r="D992" t="s">
        <v>39</v>
      </c>
      <c r="E992">
        <v>5</v>
      </c>
      <c r="F992">
        <v>1173.3399999999999</v>
      </c>
      <c r="G992" t="s">
        <v>20</v>
      </c>
      <c r="H992">
        <v>5</v>
      </c>
      <c r="I992">
        <v>306.41000000000003</v>
      </c>
      <c r="J992">
        <v>866.93</v>
      </c>
      <c r="K992" t="s">
        <v>55</v>
      </c>
      <c r="L992" t="s">
        <v>51</v>
      </c>
      <c r="M992">
        <v>2022</v>
      </c>
      <c r="N992" t="s">
        <v>44</v>
      </c>
    </row>
    <row r="993" spans="1:14" x14ac:dyDescent="0.3">
      <c r="A993" s="1">
        <v>44722</v>
      </c>
      <c r="B993" t="s">
        <v>23</v>
      </c>
      <c r="C993" t="s">
        <v>25</v>
      </c>
      <c r="D993" t="s">
        <v>30</v>
      </c>
      <c r="E993">
        <v>2</v>
      </c>
      <c r="F993">
        <v>510.51</v>
      </c>
      <c r="G993" t="s">
        <v>20</v>
      </c>
      <c r="H993">
        <v>2</v>
      </c>
      <c r="I993">
        <v>487.66</v>
      </c>
      <c r="J993">
        <v>22.85</v>
      </c>
      <c r="K993" t="s">
        <v>50</v>
      </c>
      <c r="L993" t="s">
        <v>51</v>
      </c>
      <c r="M993">
        <v>2022</v>
      </c>
      <c r="N993" t="s">
        <v>44</v>
      </c>
    </row>
    <row r="994" spans="1:14" x14ac:dyDescent="0.3">
      <c r="A994" s="1">
        <v>45204</v>
      </c>
      <c r="B994" t="s">
        <v>9</v>
      </c>
      <c r="C994" t="s">
        <v>25</v>
      </c>
      <c r="D994" t="s">
        <v>30</v>
      </c>
      <c r="E994">
        <v>33</v>
      </c>
      <c r="F994">
        <v>15609.57</v>
      </c>
      <c r="G994" t="s">
        <v>12</v>
      </c>
      <c r="H994">
        <v>4</v>
      </c>
      <c r="I994">
        <v>4223.3</v>
      </c>
      <c r="J994">
        <v>11386.27</v>
      </c>
      <c r="K994" t="s">
        <v>62</v>
      </c>
      <c r="L994" t="s">
        <v>59</v>
      </c>
      <c r="M994">
        <v>2023</v>
      </c>
      <c r="N994" t="s">
        <v>44</v>
      </c>
    </row>
    <row r="995" spans="1:14" x14ac:dyDescent="0.3">
      <c r="A995" s="1">
        <v>45086</v>
      </c>
      <c r="B995" t="s">
        <v>9</v>
      </c>
      <c r="C995" t="s">
        <v>21</v>
      </c>
      <c r="D995" t="s">
        <v>22</v>
      </c>
      <c r="E995">
        <v>49</v>
      </c>
      <c r="F995">
        <v>11717.47</v>
      </c>
      <c r="G995" t="s">
        <v>12</v>
      </c>
      <c r="H995">
        <v>5</v>
      </c>
      <c r="I995">
        <v>7450.45</v>
      </c>
      <c r="J995">
        <v>4267.0200000000004</v>
      </c>
      <c r="K995" t="s">
        <v>50</v>
      </c>
      <c r="L995" t="s">
        <v>51</v>
      </c>
      <c r="M995">
        <v>2023</v>
      </c>
      <c r="N995" t="s">
        <v>44</v>
      </c>
    </row>
    <row r="996" spans="1:14" x14ac:dyDescent="0.3">
      <c r="A996" s="1">
        <v>44832</v>
      </c>
      <c r="B996" t="s">
        <v>9</v>
      </c>
      <c r="C996" t="s">
        <v>10</v>
      </c>
      <c r="D996" t="s">
        <v>28</v>
      </c>
      <c r="E996">
        <v>20</v>
      </c>
      <c r="F996">
        <v>5477.62</v>
      </c>
      <c r="G996" t="s">
        <v>12</v>
      </c>
      <c r="H996">
        <v>1</v>
      </c>
      <c r="I996">
        <v>1564.07</v>
      </c>
      <c r="J996">
        <v>3913.55</v>
      </c>
      <c r="K996" t="s">
        <v>60</v>
      </c>
      <c r="L996" t="s">
        <v>61</v>
      </c>
      <c r="M996">
        <v>2022</v>
      </c>
      <c r="N996" t="s">
        <v>44</v>
      </c>
    </row>
    <row r="997" spans="1:14" x14ac:dyDescent="0.3">
      <c r="A997" s="1">
        <v>44911</v>
      </c>
      <c r="B997" t="s">
        <v>31</v>
      </c>
      <c r="C997" t="s">
        <v>21</v>
      </c>
      <c r="D997" t="s">
        <v>22</v>
      </c>
      <c r="E997">
        <v>20</v>
      </c>
      <c r="F997">
        <v>7006.51</v>
      </c>
      <c r="G997" t="s">
        <v>12</v>
      </c>
      <c r="H997">
        <v>1</v>
      </c>
      <c r="I997">
        <v>1385.56</v>
      </c>
      <c r="J997">
        <v>5620.95</v>
      </c>
      <c r="K997" t="s">
        <v>58</v>
      </c>
      <c r="L997" t="s">
        <v>59</v>
      </c>
      <c r="M997">
        <v>2022</v>
      </c>
      <c r="N997" t="s">
        <v>43</v>
      </c>
    </row>
    <row r="998" spans="1:14" x14ac:dyDescent="0.3">
      <c r="A998" s="1">
        <v>45204</v>
      </c>
      <c r="B998" t="s">
        <v>31</v>
      </c>
      <c r="C998" t="s">
        <v>10</v>
      </c>
      <c r="D998" t="s">
        <v>28</v>
      </c>
      <c r="E998">
        <v>31</v>
      </c>
      <c r="F998">
        <v>7045.2</v>
      </c>
      <c r="G998" t="s">
        <v>12</v>
      </c>
      <c r="H998">
        <v>2</v>
      </c>
      <c r="I998">
        <v>5083.8</v>
      </c>
      <c r="J998">
        <v>1961.4</v>
      </c>
      <c r="K998" t="s">
        <v>62</v>
      </c>
      <c r="L998" t="s">
        <v>59</v>
      </c>
      <c r="M998">
        <v>2023</v>
      </c>
      <c r="N998" t="s">
        <v>43</v>
      </c>
    </row>
    <row r="999" spans="1:14" x14ac:dyDescent="0.3">
      <c r="A999" s="1">
        <v>44838</v>
      </c>
      <c r="B999" t="s">
        <v>31</v>
      </c>
      <c r="C999" t="s">
        <v>10</v>
      </c>
      <c r="D999" t="s">
        <v>28</v>
      </c>
      <c r="E999">
        <v>32</v>
      </c>
      <c r="F999">
        <v>14350.41</v>
      </c>
      <c r="G999" t="s">
        <v>20</v>
      </c>
      <c r="H999">
        <v>3</v>
      </c>
      <c r="I999">
        <v>1928.95</v>
      </c>
      <c r="J999">
        <v>12421.46</v>
      </c>
      <c r="K999" t="s">
        <v>62</v>
      </c>
      <c r="L999" t="s">
        <v>59</v>
      </c>
      <c r="M999">
        <v>2022</v>
      </c>
      <c r="N999" t="s">
        <v>44</v>
      </c>
    </row>
    <row r="1000" spans="1:14" x14ac:dyDescent="0.3">
      <c r="A1000" s="1">
        <v>45082</v>
      </c>
      <c r="B1000" t="s">
        <v>18</v>
      </c>
      <c r="C1000" t="s">
        <v>13</v>
      </c>
      <c r="D1000" t="s">
        <v>19</v>
      </c>
      <c r="E1000">
        <v>7</v>
      </c>
      <c r="F1000">
        <v>1359.3</v>
      </c>
      <c r="G1000" t="s">
        <v>20</v>
      </c>
      <c r="H1000">
        <v>4</v>
      </c>
      <c r="I1000">
        <v>1462.27</v>
      </c>
      <c r="J1000">
        <v>-102.97</v>
      </c>
      <c r="K1000" t="s">
        <v>50</v>
      </c>
      <c r="L1000" t="s">
        <v>51</v>
      </c>
      <c r="M1000">
        <v>2023</v>
      </c>
      <c r="N1000" t="s">
        <v>43</v>
      </c>
    </row>
    <row r="1001" spans="1:14" x14ac:dyDescent="0.3">
      <c r="A1001" s="1">
        <v>44583</v>
      </c>
      <c r="B1001" t="s">
        <v>15</v>
      </c>
      <c r="C1001" t="s">
        <v>13</v>
      </c>
      <c r="D1001" t="s">
        <v>19</v>
      </c>
      <c r="E1001">
        <v>10</v>
      </c>
      <c r="F1001">
        <v>4114.22</v>
      </c>
      <c r="G1001" t="s">
        <v>20</v>
      </c>
      <c r="H1001">
        <v>3</v>
      </c>
      <c r="I1001">
        <v>863.24</v>
      </c>
      <c r="J1001">
        <v>3250.98</v>
      </c>
      <c r="K1001" t="s">
        <v>57</v>
      </c>
      <c r="L1001" t="s">
        <v>53</v>
      </c>
      <c r="M1001">
        <v>2022</v>
      </c>
      <c r="N1001" t="s">
        <v>44</v>
      </c>
    </row>
    <row r="1002" spans="1:14" x14ac:dyDescent="0.3">
      <c r="A1002" s="1">
        <v>45036</v>
      </c>
      <c r="B1002" t="s">
        <v>15</v>
      </c>
      <c r="C1002" t="s">
        <v>10</v>
      </c>
      <c r="D1002" t="s">
        <v>35</v>
      </c>
      <c r="E1002">
        <v>32</v>
      </c>
      <c r="F1002">
        <v>15402.72</v>
      </c>
      <c r="G1002" t="s">
        <v>20</v>
      </c>
      <c r="H1002">
        <v>5</v>
      </c>
      <c r="I1002">
        <v>3272.23</v>
      </c>
      <c r="J1002">
        <v>12130.49</v>
      </c>
      <c r="K1002" t="s">
        <v>55</v>
      </c>
      <c r="L1002" t="s">
        <v>51</v>
      </c>
      <c r="M1002">
        <v>2023</v>
      </c>
      <c r="N1002" t="s">
        <v>43</v>
      </c>
    </row>
    <row r="1003" spans="1:14" x14ac:dyDescent="0.3">
      <c r="A1003" s="1">
        <v>45086</v>
      </c>
      <c r="B1003" t="s">
        <v>18</v>
      </c>
      <c r="C1003" t="s">
        <v>25</v>
      </c>
      <c r="D1003" t="s">
        <v>38</v>
      </c>
      <c r="E1003">
        <v>37</v>
      </c>
      <c r="F1003">
        <v>824.54</v>
      </c>
      <c r="G1003" t="s">
        <v>12</v>
      </c>
      <c r="H1003">
        <v>3</v>
      </c>
      <c r="I1003">
        <v>8656.7800000000007</v>
      </c>
      <c r="J1003">
        <v>-7832.24</v>
      </c>
      <c r="K1003" t="s">
        <v>50</v>
      </c>
      <c r="L1003" t="s">
        <v>51</v>
      </c>
      <c r="M1003">
        <v>2023</v>
      </c>
      <c r="N1003" t="s">
        <v>44</v>
      </c>
    </row>
    <row r="1004" spans="1:14" x14ac:dyDescent="0.3">
      <c r="A1004" s="1">
        <v>44748</v>
      </c>
      <c r="B1004" t="s">
        <v>31</v>
      </c>
      <c r="C1004" t="s">
        <v>21</v>
      </c>
      <c r="D1004" t="s">
        <v>32</v>
      </c>
      <c r="E1004">
        <v>11</v>
      </c>
      <c r="F1004">
        <v>5087.3999999999996</v>
      </c>
      <c r="G1004" t="s">
        <v>12</v>
      </c>
      <c r="H1004">
        <v>4</v>
      </c>
      <c r="I1004">
        <v>368.14</v>
      </c>
      <c r="J1004">
        <v>4719.26</v>
      </c>
      <c r="K1004" t="s">
        <v>63</v>
      </c>
      <c r="L1004" t="s">
        <v>61</v>
      </c>
      <c r="M1004">
        <v>2022</v>
      </c>
      <c r="N1004" t="s">
        <v>43</v>
      </c>
    </row>
    <row r="1005" spans="1:14" x14ac:dyDescent="0.3">
      <c r="A1005" s="1">
        <v>44591</v>
      </c>
      <c r="B1005" t="s">
        <v>15</v>
      </c>
      <c r="C1005" t="s">
        <v>21</v>
      </c>
      <c r="D1005" t="s">
        <v>33</v>
      </c>
      <c r="E1005">
        <v>34</v>
      </c>
      <c r="F1005">
        <v>7974.36</v>
      </c>
      <c r="G1005" t="s">
        <v>20</v>
      </c>
      <c r="H1005">
        <v>5</v>
      </c>
      <c r="I1005">
        <v>2404.7800000000002</v>
      </c>
      <c r="J1005">
        <v>5569.58</v>
      </c>
      <c r="K1005" t="s">
        <v>57</v>
      </c>
      <c r="L1005" t="s">
        <v>53</v>
      </c>
      <c r="M1005">
        <v>2022</v>
      </c>
      <c r="N1005" t="s">
        <v>44</v>
      </c>
    </row>
    <row r="1006" spans="1:14" x14ac:dyDescent="0.3">
      <c r="A1006" s="1">
        <v>44840</v>
      </c>
      <c r="B1006" t="s">
        <v>15</v>
      </c>
      <c r="C1006" t="s">
        <v>16</v>
      </c>
      <c r="D1006" t="s">
        <v>37</v>
      </c>
      <c r="E1006">
        <v>34</v>
      </c>
      <c r="F1006">
        <v>7516.37</v>
      </c>
      <c r="G1006" t="s">
        <v>20</v>
      </c>
      <c r="H1006">
        <v>2</v>
      </c>
      <c r="I1006">
        <v>2204.7399999999998</v>
      </c>
      <c r="J1006">
        <v>5311.63</v>
      </c>
      <c r="K1006" t="s">
        <v>62</v>
      </c>
      <c r="L1006" t="s">
        <v>59</v>
      </c>
      <c r="M1006">
        <v>2022</v>
      </c>
      <c r="N1006" t="s">
        <v>43</v>
      </c>
    </row>
    <row r="1007" spans="1:14" x14ac:dyDescent="0.3">
      <c r="A1007" s="1">
        <v>44743</v>
      </c>
      <c r="B1007" t="s">
        <v>18</v>
      </c>
      <c r="C1007" t="s">
        <v>25</v>
      </c>
      <c r="D1007" t="s">
        <v>30</v>
      </c>
      <c r="E1007">
        <v>2</v>
      </c>
      <c r="F1007">
        <v>454.83</v>
      </c>
      <c r="G1007" t="s">
        <v>12</v>
      </c>
      <c r="H1007">
        <v>1</v>
      </c>
      <c r="I1007">
        <v>82.76</v>
      </c>
      <c r="J1007">
        <v>372.07</v>
      </c>
      <c r="K1007" t="s">
        <v>63</v>
      </c>
      <c r="L1007" t="s">
        <v>61</v>
      </c>
      <c r="M1007">
        <v>2022</v>
      </c>
      <c r="N1007" t="s">
        <v>43</v>
      </c>
    </row>
    <row r="1008" spans="1:14" x14ac:dyDescent="0.3">
      <c r="A1008" s="1">
        <v>44666</v>
      </c>
      <c r="B1008" t="s">
        <v>15</v>
      </c>
      <c r="C1008" t="s">
        <v>21</v>
      </c>
      <c r="D1008" t="s">
        <v>32</v>
      </c>
      <c r="E1008">
        <v>37</v>
      </c>
      <c r="F1008">
        <v>12987.09</v>
      </c>
      <c r="G1008" t="s">
        <v>12</v>
      </c>
      <c r="H1008">
        <v>1</v>
      </c>
      <c r="I1008">
        <v>8394.84</v>
      </c>
      <c r="J1008">
        <v>4592.25</v>
      </c>
      <c r="K1008" t="s">
        <v>55</v>
      </c>
      <c r="L1008" t="s">
        <v>51</v>
      </c>
      <c r="M1008">
        <v>2022</v>
      </c>
      <c r="N1008" t="s">
        <v>43</v>
      </c>
    </row>
    <row r="1009" spans="1:14" x14ac:dyDescent="0.3">
      <c r="A1009" s="1">
        <v>44881</v>
      </c>
      <c r="B1009" t="s">
        <v>15</v>
      </c>
      <c r="C1009" t="s">
        <v>16</v>
      </c>
      <c r="D1009" t="s">
        <v>17</v>
      </c>
      <c r="E1009">
        <v>37</v>
      </c>
      <c r="F1009">
        <v>17920.830000000002</v>
      </c>
      <c r="G1009" t="s">
        <v>12</v>
      </c>
      <c r="H1009">
        <v>3</v>
      </c>
      <c r="I1009">
        <v>6236.66</v>
      </c>
      <c r="J1009">
        <v>11684.17</v>
      </c>
      <c r="K1009" t="s">
        <v>65</v>
      </c>
      <c r="L1009" t="s">
        <v>59</v>
      </c>
      <c r="M1009">
        <v>2022</v>
      </c>
      <c r="N1009" t="s">
        <v>44</v>
      </c>
    </row>
    <row r="1010" spans="1:14" x14ac:dyDescent="0.3">
      <c r="A1010" s="1">
        <v>44706</v>
      </c>
      <c r="B1010" t="s">
        <v>9</v>
      </c>
      <c r="C1010" t="s">
        <v>16</v>
      </c>
      <c r="D1010" t="s">
        <v>24</v>
      </c>
      <c r="E1010">
        <v>42</v>
      </c>
      <c r="F1010">
        <v>12225.24</v>
      </c>
      <c r="G1010" t="s">
        <v>20</v>
      </c>
      <c r="H1010">
        <v>1</v>
      </c>
      <c r="I1010">
        <v>7869.39</v>
      </c>
      <c r="J1010">
        <v>4355.8500000000004</v>
      </c>
      <c r="K1010" t="s">
        <v>56</v>
      </c>
      <c r="L1010" t="s">
        <v>51</v>
      </c>
      <c r="M1010">
        <v>2022</v>
      </c>
      <c r="N1010" t="s">
        <v>44</v>
      </c>
    </row>
    <row r="1011" spans="1:14" x14ac:dyDescent="0.3">
      <c r="A1011" s="1">
        <v>44640</v>
      </c>
      <c r="B1011" t="s">
        <v>31</v>
      </c>
      <c r="C1011" t="s">
        <v>13</v>
      </c>
      <c r="D1011" t="s">
        <v>19</v>
      </c>
      <c r="E1011">
        <v>30</v>
      </c>
      <c r="F1011">
        <v>6117.88</v>
      </c>
      <c r="G1011" t="s">
        <v>20</v>
      </c>
      <c r="H1011">
        <v>5</v>
      </c>
      <c r="I1011">
        <v>3612.15</v>
      </c>
      <c r="J1011">
        <v>2505.73</v>
      </c>
      <c r="K1011" t="s">
        <v>52</v>
      </c>
      <c r="L1011" t="s">
        <v>53</v>
      </c>
      <c r="M1011">
        <v>2022</v>
      </c>
      <c r="N1011" t="s">
        <v>44</v>
      </c>
    </row>
    <row r="1012" spans="1:14" x14ac:dyDescent="0.3">
      <c r="A1012" s="1">
        <v>44619</v>
      </c>
      <c r="B1012" t="s">
        <v>31</v>
      </c>
      <c r="C1012" t="s">
        <v>25</v>
      </c>
      <c r="D1012" t="s">
        <v>30</v>
      </c>
      <c r="E1012">
        <v>16</v>
      </c>
      <c r="F1012">
        <v>3125.23</v>
      </c>
      <c r="G1012" t="s">
        <v>12</v>
      </c>
      <c r="H1012">
        <v>3</v>
      </c>
      <c r="I1012">
        <v>2414.69</v>
      </c>
      <c r="J1012">
        <v>710.54</v>
      </c>
      <c r="K1012" t="s">
        <v>54</v>
      </c>
      <c r="L1012" t="s">
        <v>53</v>
      </c>
      <c r="M1012">
        <v>2022</v>
      </c>
      <c r="N1012" t="s">
        <v>44</v>
      </c>
    </row>
    <row r="1013" spans="1:14" x14ac:dyDescent="0.3">
      <c r="A1013" s="1">
        <v>44917</v>
      </c>
      <c r="B1013" t="s">
        <v>18</v>
      </c>
      <c r="C1013" t="s">
        <v>16</v>
      </c>
      <c r="D1013" t="s">
        <v>27</v>
      </c>
      <c r="E1013">
        <v>28</v>
      </c>
      <c r="F1013">
        <v>6188.69</v>
      </c>
      <c r="G1013" t="s">
        <v>12</v>
      </c>
      <c r="H1013">
        <v>4</v>
      </c>
      <c r="I1013">
        <v>1222.9000000000001</v>
      </c>
      <c r="J1013">
        <v>4965.79</v>
      </c>
      <c r="K1013" t="s">
        <v>58</v>
      </c>
      <c r="L1013" t="s">
        <v>59</v>
      </c>
      <c r="M1013">
        <v>2022</v>
      </c>
      <c r="N1013" t="s">
        <v>44</v>
      </c>
    </row>
    <row r="1014" spans="1:14" x14ac:dyDescent="0.3">
      <c r="A1014" s="1">
        <v>45029</v>
      </c>
      <c r="B1014" t="s">
        <v>31</v>
      </c>
      <c r="C1014" t="s">
        <v>25</v>
      </c>
      <c r="D1014" t="s">
        <v>30</v>
      </c>
      <c r="E1014">
        <v>32</v>
      </c>
      <c r="F1014">
        <v>2850.4</v>
      </c>
      <c r="G1014" t="s">
        <v>20</v>
      </c>
      <c r="H1014">
        <v>1</v>
      </c>
      <c r="I1014">
        <v>4429.33</v>
      </c>
      <c r="J1014">
        <v>-1578.93</v>
      </c>
      <c r="K1014" t="s">
        <v>55</v>
      </c>
      <c r="L1014" t="s">
        <v>51</v>
      </c>
      <c r="M1014">
        <v>2023</v>
      </c>
      <c r="N1014" t="s">
        <v>44</v>
      </c>
    </row>
    <row r="1015" spans="1:14" x14ac:dyDescent="0.3">
      <c r="A1015" s="1">
        <v>45012</v>
      </c>
      <c r="B1015" t="s">
        <v>9</v>
      </c>
      <c r="C1015" t="s">
        <v>16</v>
      </c>
      <c r="D1015" t="s">
        <v>27</v>
      </c>
      <c r="E1015">
        <v>20</v>
      </c>
      <c r="F1015">
        <v>531.72</v>
      </c>
      <c r="G1015" t="s">
        <v>12</v>
      </c>
      <c r="H1015">
        <v>4</v>
      </c>
      <c r="I1015">
        <v>911.58</v>
      </c>
      <c r="J1015">
        <v>-379.86</v>
      </c>
      <c r="K1015" t="s">
        <v>52</v>
      </c>
      <c r="L1015" t="s">
        <v>53</v>
      </c>
      <c r="M1015">
        <v>2023</v>
      </c>
      <c r="N1015" t="s">
        <v>44</v>
      </c>
    </row>
    <row r="1016" spans="1:14" x14ac:dyDescent="0.3">
      <c r="A1016" s="1">
        <v>45106</v>
      </c>
      <c r="B1016" t="s">
        <v>31</v>
      </c>
      <c r="C1016" t="s">
        <v>13</v>
      </c>
      <c r="D1016" t="s">
        <v>29</v>
      </c>
      <c r="E1016">
        <v>3</v>
      </c>
      <c r="F1016">
        <v>1032.76</v>
      </c>
      <c r="G1016" t="s">
        <v>20</v>
      </c>
      <c r="H1016">
        <v>4</v>
      </c>
      <c r="I1016">
        <v>182.71</v>
      </c>
      <c r="J1016">
        <v>850.05</v>
      </c>
      <c r="K1016" t="s">
        <v>50</v>
      </c>
      <c r="L1016" t="s">
        <v>51</v>
      </c>
      <c r="M1016">
        <v>2023</v>
      </c>
      <c r="N1016" t="s">
        <v>44</v>
      </c>
    </row>
    <row r="1017" spans="1:14" x14ac:dyDescent="0.3">
      <c r="A1017" s="1">
        <v>44650</v>
      </c>
      <c r="B1017" t="s">
        <v>23</v>
      </c>
      <c r="C1017" t="s">
        <v>16</v>
      </c>
      <c r="D1017" t="s">
        <v>24</v>
      </c>
      <c r="E1017">
        <v>32</v>
      </c>
      <c r="F1017">
        <v>11367.02</v>
      </c>
      <c r="G1017" t="s">
        <v>12</v>
      </c>
      <c r="H1017">
        <v>5</v>
      </c>
      <c r="I1017">
        <v>7586.18</v>
      </c>
      <c r="J1017">
        <v>3780.84</v>
      </c>
      <c r="K1017" t="s">
        <v>52</v>
      </c>
      <c r="L1017" t="s">
        <v>53</v>
      </c>
      <c r="M1017">
        <v>2022</v>
      </c>
      <c r="N1017" t="s">
        <v>44</v>
      </c>
    </row>
    <row r="1018" spans="1:14" x14ac:dyDescent="0.3">
      <c r="A1018" s="1">
        <v>44737</v>
      </c>
      <c r="B1018" t="s">
        <v>9</v>
      </c>
      <c r="C1018" t="s">
        <v>13</v>
      </c>
      <c r="D1018" t="s">
        <v>29</v>
      </c>
      <c r="E1018">
        <v>40</v>
      </c>
      <c r="F1018">
        <v>11784.26</v>
      </c>
      <c r="G1018" t="s">
        <v>12</v>
      </c>
      <c r="H1018">
        <v>1</v>
      </c>
      <c r="I1018">
        <v>7292.79</v>
      </c>
      <c r="J1018">
        <v>4491.47</v>
      </c>
      <c r="K1018" t="s">
        <v>50</v>
      </c>
      <c r="L1018" t="s">
        <v>51</v>
      </c>
      <c r="M1018">
        <v>2022</v>
      </c>
      <c r="N1018" t="s">
        <v>45</v>
      </c>
    </row>
    <row r="1019" spans="1:14" x14ac:dyDescent="0.3">
      <c r="A1019" s="1">
        <v>44969</v>
      </c>
      <c r="B1019" t="s">
        <v>31</v>
      </c>
      <c r="C1019" t="s">
        <v>16</v>
      </c>
      <c r="D1019" t="s">
        <v>37</v>
      </c>
      <c r="E1019">
        <v>21</v>
      </c>
      <c r="F1019">
        <v>5966.9</v>
      </c>
      <c r="G1019" t="s">
        <v>12</v>
      </c>
      <c r="H1019">
        <v>4</v>
      </c>
      <c r="I1019">
        <v>3965.33</v>
      </c>
      <c r="J1019">
        <v>2001.57</v>
      </c>
      <c r="K1019" t="s">
        <v>54</v>
      </c>
      <c r="L1019" t="s">
        <v>53</v>
      </c>
      <c r="M1019">
        <v>2023</v>
      </c>
      <c r="N1019" t="s">
        <v>44</v>
      </c>
    </row>
    <row r="1020" spans="1:14" x14ac:dyDescent="0.3">
      <c r="A1020" s="1">
        <v>45264</v>
      </c>
      <c r="B1020" t="s">
        <v>23</v>
      </c>
      <c r="C1020" t="s">
        <v>21</v>
      </c>
      <c r="D1020" t="s">
        <v>36</v>
      </c>
      <c r="E1020">
        <v>15</v>
      </c>
      <c r="F1020">
        <v>2410.52</v>
      </c>
      <c r="G1020" t="s">
        <v>20</v>
      </c>
      <c r="H1020">
        <v>4</v>
      </c>
      <c r="I1020">
        <v>1688.78</v>
      </c>
      <c r="J1020">
        <v>721.74</v>
      </c>
      <c r="K1020" t="s">
        <v>58</v>
      </c>
      <c r="L1020" t="s">
        <v>59</v>
      </c>
      <c r="M1020">
        <v>2023</v>
      </c>
      <c r="N1020" t="s">
        <v>44</v>
      </c>
    </row>
    <row r="1021" spans="1:14" x14ac:dyDescent="0.3">
      <c r="A1021" s="1">
        <v>44824</v>
      </c>
      <c r="B1021" t="s">
        <v>18</v>
      </c>
      <c r="C1021" t="s">
        <v>25</v>
      </c>
      <c r="D1021" t="s">
        <v>26</v>
      </c>
      <c r="E1021">
        <v>19</v>
      </c>
      <c r="F1021">
        <v>8774.7199999999993</v>
      </c>
      <c r="G1021" t="s">
        <v>12</v>
      </c>
      <c r="H1021">
        <v>3</v>
      </c>
      <c r="I1021">
        <v>4106.05</v>
      </c>
      <c r="J1021">
        <v>4668.67</v>
      </c>
      <c r="K1021" t="s">
        <v>60</v>
      </c>
      <c r="L1021" t="s">
        <v>61</v>
      </c>
      <c r="M1021">
        <v>2022</v>
      </c>
      <c r="N1021" t="s">
        <v>44</v>
      </c>
    </row>
    <row r="1022" spans="1:14" x14ac:dyDescent="0.3">
      <c r="A1022" s="1">
        <v>44986</v>
      </c>
      <c r="B1022" t="s">
        <v>23</v>
      </c>
      <c r="C1022" t="s">
        <v>13</v>
      </c>
      <c r="D1022" t="s">
        <v>40</v>
      </c>
      <c r="E1022">
        <v>32</v>
      </c>
      <c r="F1022">
        <v>12943.02</v>
      </c>
      <c r="G1022" t="s">
        <v>12</v>
      </c>
      <c r="H1022">
        <v>1</v>
      </c>
      <c r="I1022">
        <v>7525.28</v>
      </c>
      <c r="J1022">
        <v>5417.74</v>
      </c>
      <c r="K1022" t="s">
        <v>52</v>
      </c>
      <c r="L1022" t="s">
        <v>53</v>
      </c>
      <c r="M1022">
        <v>2023</v>
      </c>
      <c r="N1022" t="s">
        <v>43</v>
      </c>
    </row>
    <row r="1023" spans="1:14" x14ac:dyDescent="0.3">
      <c r="A1023" s="1">
        <v>44875</v>
      </c>
      <c r="B1023" t="s">
        <v>23</v>
      </c>
      <c r="C1023" t="s">
        <v>25</v>
      </c>
      <c r="D1023" t="s">
        <v>38</v>
      </c>
      <c r="E1023">
        <v>48</v>
      </c>
      <c r="F1023">
        <v>23632.07</v>
      </c>
      <c r="G1023" t="s">
        <v>20</v>
      </c>
      <c r="H1023">
        <v>2</v>
      </c>
      <c r="I1023">
        <v>6568.97</v>
      </c>
      <c r="J1023">
        <v>17063.099999999999</v>
      </c>
      <c r="K1023" t="s">
        <v>65</v>
      </c>
      <c r="L1023" t="s">
        <v>59</v>
      </c>
      <c r="M1023">
        <v>2022</v>
      </c>
      <c r="N1023" t="s">
        <v>43</v>
      </c>
    </row>
    <row r="1024" spans="1:14" x14ac:dyDescent="0.3">
      <c r="A1024" s="1">
        <v>44658</v>
      </c>
      <c r="B1024" t="s">
        <v>18</v>
      </c>
      <c r="C1024" t="s">
        <v>16</v>
      </c>
      <c r="D1024" t="s">
        <v>27</v>
      </c>
      <c r="E1024">
        <v>2</v>
      </c>
      <c r="F1024">
        <v>358.99</v>
      </c>
      <c r="G1024" t="s">
        <v>12</v>
      </c>
      <c r="H1024">
        <v>5</v>
      </c>
      <c r="I1024">
        <v>354.5</v>
      </c>
      <c r="J1024">
        <v>4.49</v>
      </c>
      <c r="K1024" t="s">
        <v>55</v>
      </c>
      <c r="L1024" t="s">
        <v>51</v>
      </c>
      <c r="M1024">
        <v>2022</v>
      </c>
      <c r="N1024" t="s">
        <v>43</v>
      </c>
    </row>
    <row r="1025" spans="1:14" x14ac:dyDescent="0.3">
      <c r="A1025" s="1">
        <v>44964</v>
      </c>
      <c r="B1025" t="s">
        <v>9</v>
      </c>
      <c r="C1025" t="s">
        <v>10</v>
      </c>
      <c r="D1025" t="s">
        <v>11</v>
      </c>
      <c r="E1025">
        <v>28</v>
      </c>
      <c r="F1025">
        <v>13776.56</v>
      </c>
      <c r="G1025" t="s">
        <v>12</v>
      </c>
      <c r="H1025">
        <v>4</v>
      </c>
      <c r="I1025">
        <v>1737.64</v>
      </c>
      <c r="J1025">
        <v>12038.92</v>
      </c>
      <c r="K1025" t="s">
        <v>54</v>
      </c>
      <c r="L1025" t="s">
        <v>53</v>
      </c>
      <c r="M1025">
        <v>2023</v>
      </c>
      <c r="N1025" t="s">
        <v>46</v>
      </c>
    </row>
    <row r="1026" spans="1:14" x14ac:dyDescent="0.3">
      <c r="A1026" s="1">
        <v>45287</v>
      </c>
      <c r="B1026" t="s">
        <v>15</v>
      </c>
      <c r="C1026" t="s">
        <v>25</v>
      </c>
      <c r="D1026" t="s">
        <v>30</v>
      </c>
      <c r="E1026">
        <v>41</v>
      </c>
      <c r="F1026">
        <v>8695.9500000000007</v>
      </c>
      <c r="G1026" t="s">
        <v>12</v>
      </c>
      <c r="H1026">
        <v>1</v>
      </c>
      <c r="I1026">
        <v>3253.67</v>
      </c>
      <c r="J1026">
        <v>5442.28</v>
      </c>
      <c r="K1026" t="s">
        <v>58</v>
      </c>
      <c r="L1026" t="s">
        <v>59</v>
      </c>
      <c r="M1026">
        <v>2023</v>
      </c>
      <c r="N1026" t="s">
        <v>46</v>
      </c>
    </row>
    <row r="1027" spans="1:14" x14ac:dyDescent="0.3">
      <c r="A1027" s="1">
        <v>44633</v>
      </c>
      <c r="B1027" t="s">
        <v>31</v>
      </c>
      <c r="C1027" t="s">
        <v>16</v>
      </c>
      <c r="D1027" t="s">
        <v>24</v>
      </c>
      <c r="E1027">
        <v>21</v>
      </c>
      <c r="F1027">
        <v>8545.09</v>
      </c>
      <c r="G1027" t="s">
        <v>20</v>
      </c>
      <c r="H1027">
        <v>5</v>
      </c>
      <c r="I1027">
        <v>2839.67</v>
      </c>
      <c r="J1027">
        <v>5705.42</v>
      </c>
      <c r="K1027" t="s">
        <v>52</v>
      </c>
      <c r="L1027" t="s">
        <v>53</v>
      </c>
      <c r="M1027">
        <v>2022</v>
      </c>
      <c r="N1027" t="s">
        <v>46</v>
      </c>
    </row>
    <row r="1028" spans="1:14" x14ac:dyDescent="0.3">
      <c r="A1028" s="1">
        <v>44644</v>
      </c>
      <c r="B1028" t="s">
        <v>18</v>
      </c>
      <c r="C1028" t="s">
        <v>10</v>
      </c>
      <c r="D1028" t="s">
        <v>34</v>
      </c>
      <c r="E1028">
        <v>15</v>
      </c>
      <c r="F1028">
        <v>5853.05</v>
      </c>
      <c r="G1028" t="s">
        <v>12</v>
      </c>
      <c r="H1028">
        <v>2</v>
      </c>
      <c r="I1028">
        <v>1504.72</v>
      </c>
      <c r="J1028">
        <v>4348.33</v>
      </c>
      <c r="K1028" t="s">
        <v>52</v>
      </c>
      <c r="L1028" t="s">
        <v>53</v>
      </c>
      <c r="M1028">
        <v>2022</v>
      </c>
      <c r="N1028" t="s">
        <v>44</v>
      </c>
    </row>
    <row r="1029" spans="1:14" x14ac:dyDescent="0.3">
      <c r="A1029" s="1">
        <v>44826</v>
      </c>
      <c r="B1029" t="s">
        <v>23</v>
      </c>
      <c r="C1029" t="s">
        <v>16</v>
      </c>
      <c r="D1029" t="s">
        <v>24</v>
      </c>
      <c r="E1029">
        <v>14</v>
      </c>
      <c r="F1029">
        <v>1663.47</v>
      </c>
      <c r="G1029" t="s">
        <v>12</v>
      </c>
      <c r="H1029">
        <v>2</v>
      </c>
      <c r="I1029">
        <v>2838.89</v>
      </c>
      <c r="J1029">
        <v>-1175.42</v>
      </c>
      <c r="K1029" t="s">
        <v>60</v>
      </c>
      <c r="L1029" t="s">
        <v>61</v>
      </c>
      <c r="M1029">
        <v>2022</v>
      </c>
      <c r="N1029" t="s">
        <v>44</v>
      </c>
    </row>
    <row r="1030" spans="1:14" x14ac:dyDescent="0.3">
      <c r="A1030" s="1">
        <v>45120</v>
      </c>
      <c r="B1030" t="s">
        <v>18</v>
      </c>
      <c r="C1030" t="s">
        <v>13</v>
      </c>
      <c r="D1030" t="s">
        <v>29</v>
      </c>
      <c r="E1030">
        <v>5</v>
      </c>
      <c r="F1030">
        <v>1611.85</v>
      </c>
      <c r="G1030" t="s">
        <v>12</v>
      </c>
      <c r="H1030">
        <v>1</v>
      </c>
      <c r="I1030">
        <v>618.09</v>
      </c>
      <c r="J1030">
        <v>993.76</v>
      </c>
      <c r="K1030" t="s">
        <v>63</v>
      </c>
      <c r="L1030" t="s">
        <v>61</v>
      </c>
      <c r="M1030">
        <v>2023</v>
      </c>
      <c r="N1030" t="s">
        <v>44</v>
      </c>
    </row>
    <row r="1031" spans="1:14" x14ac:dyDescent="0.3">
      <c r="A1031" s="1">
        <v>45165</v>
      </c>
      <c r="B1031" t="s">
        <v>18</v>
      </c>
      <c r="C1031" t="s">
        <v>21</v>
      </c>
      <c r="D1031" t="s">
        <v>22</v>
      </c>
      <c r="E1031">
        <v>3</v>
      </c>
      <c r="F1031">
        <v>1265.42</v>
      </c>
      <c r="G1031" t="s">
        <v>20</v>
      </c>
      <c r="H1031">
        <v>3</v>
      </c>
      <c r="I1031">
        <v>262.62</v>
      </c>
      <c r="J1031">
        <v>1002.8</v>
      </c>
      <c r="K1031" t="s">
        <v>64</v>
      </c>
      <c r="L1031" t="s">
        <v>61</v>
      </c>
      <c r="M1031">
        <v>2023</v>
      </c>
      <c r="N1031" t="s">
        <v>44</v>
      </c>
    </row>
    <row r="1032" spans="1:14" x14ac:dyDescent="0.3">
      <c r="A1032" s="1">
        <v>44858</v>
      </c>
      <c r="B1032" t="s">
        <v>23</v>
      </c>
      <c r="C1032" t="s">
        <v>21</v>
      </c>
      <c r="D1032" t="s">
        <v>33</v>
      </c>
      <c r="E1032">
        <v>19</v>
      </c>
      <c r="F1032">
        <v>4571.01</v>
      </c>
      <c r="G1032" t="s">
        <v>20</v>
      </c>
      <c r="H1032">
        <v>4</v>
      </c>
      <c r="I1032">
        <v>867.14</v>
      </c>
      <c r="J1032">
        <v>3703.87</v>
      </c>
      <c r="K1032" t="s">
        <v>62</v>
      </c>
      <c r="L1032" t="s">
        <v>59</v>
      </c>
      <c r="M1032">
        <v>2022</v>
      </c>
      <c r="N1032" t="s">
        <v>44</v>
      </c>
    </row>
    <row r="1033" spans="1:14" x14ac:dyDescent="0.3">
      <c r="A1033" s="1">
        <v>44562</v>
      </c>
      <c r="B1033" t="s">
        <v>23</v>
      </c>
      <c r="C1033" t="s">
        <v>21</v>
      </c>
      <c r="D1033" t="s">
        <v>22</v>
      </c>
      <c r="E1033">
        <v>39</v>
      </c>
      <c r="F1033">
        <v>16799.560000000001</v>
      </c>
      <c r="G1033" t="s">
        <v>12</v>
      </c>
      <c r="H1033">
        <v>1</v>
      </c>
      <c r="I1033">
        <v>5654.36</v>
      </c>
      <c r="J1033">
        <v>11145.2</v>
      </c>
      <c r="K1033" t="s">
        <v>57</v>
      </c>
      <c r="L1033" t="s">
        <v>53</v>
      </c>
      <c r="M1033">
        <v>2022</v>
      </c>
      <c r="N1033" t="s">
        <v>44</v>
      </c>
    </row>
    <row r="1034" spans="1:14" x14ac:dyDescent="0.3">
      <c r="A1034" s="1">
        <v>44655</v>
      </c>
      <c r="B1034" t="s">
        <v>18</v>
      </c>
      <c r="C1034" t="s">
        <v>25</v>
      </c>
      <c r="D1034" t="s">
        <v>30</v>
      </c>
      <c r="E1034">
        <v>5</v>
      </c>
      <c r="F1034">
        <v>2276.17</v>
      </c>
      <c r="G1034" t="s">
        <v>20</v>
      </c>
      <c r="H1034">
        <v>1</v>
      </c>
      <c r="I1034">
        <v>954.9</v>
      </c>
      <c r="J1034">
        <v>1321.27</v>
      </c>
      <c r="K1034" t="s">
        <v>55</v>
      </c>
      <c r="L1034" t="s">
        <v>51</v>
      </c>
      <c r="M1034">
        <v>2022</v>
      </c>
      <c r="N1034" t="s">
        <v>46</v>
      </c>
    </row>
    <row r="1035" spans="1:14" x14ac:dyDescent="0.3">
      <c r="A1035" s="1">
        <v>44606</v>
      </c>
      <c r="B1035" t="s">
        <v>15</v>
      </c>
      <c r="C1035" t="s">
        <v>16</v>
      </c>
      <c r="D1035" t="s">
        <v>37</v>
      </c>
      <c r="E1035">
        <v>17</v>
      </c>
      <c r="F1035">
        <v>6605.61</v>
      </c>
      <c r="G1035" t="s">
        <v>12</v>
      </c>
      <c r="H1035">
        <v>4</v>
      </c>
      <c r="I1035">
        <v>905.45</v>
      </c>
      <c r="J1035">
        <v>5700.16</v>
      </c>
      <c r="K1035" t="s">
        <v>54</v>
      </c>
      <c r="L1035" t="s">
        <v>53</v>
      </c>
      <c r="M1035">
        <v>2022</v>
      </c>
      <c r="N1035" t="s">
        <v>46</v>
      </c>
    </row>
    <row r="1036" spans="1:14" x14ac:dyDescent="0.3">
      <c r="A1036" s="1">
        <v>45065</v>
      </c>
      <c r="B1036" t="s">
        <v>9</v>
      </c>
      <c r="C1036" t="s">
        <v>25</v>
      </c>
      <c r="D1036" t="s">
        <v>39</v>
      </c>
      <c r="E1036">
        <v>40</v>
      </c>
      <c r="F1036">
        <v>13180.49</v>
      </c>
      <c r="G1036" t="s">
        <v>12</v>
      </c>
      <c r="H1036">
        <v>4</v>
      </c>
      <c r="I1036">
        <v>1661.44</v>
      </c>
      <c r="J1036">
        <v>11519.05</v>
      </c>
      <c r="K1036" t="s">
        <v>56</v>
      </c>
      <c r="L1036" t="s">
        <v>51</v>
      </c>
      <c r="M1036">
        <v>2023</v>
      </c>
      <c r="N1036" t="s">
        <v>46</v>
      </c>
    </row>
    <row r="1037" spans="1:14" x14ac:dyDescent="0.3">
      <c r="A1037" s="1">
        <v>44990</v>
      </c>
      <c r="B1037" t="s">
        <v>9</v>
      </c>
      <c r="C1037" t="s">
        <v>21</v>
      </c>
      <c r="D1037" t="s">
        <v>32</v>
      </c>
      <c r="E1037">
        <v>46</v>
      </c>
      <c r="F1037">
        <v>20641.73</v>
      </c>
      <c r="G1037" t="s">
        <v>20</v>
      </c>
      <c r="H1037">
        <v>5</v>
      </c>
      <c r="I1037">
        <v>10354.959999999999</v>
      </c>
      <c r="J1037">
        <v>10286.77</v>
      </c>
      <c r="K1037" t="s">
        <v>52</v>
      </c>
      <c r="L1037" t="s">
        <v>53</v>
      </c>
      <c r="M1037">
        <v>2023</v>
      </c>
      <c r="N1037" t="s">
        <v>44</v>
      </c>
    </row>
    <row r="1038" spans="1:14" x14ac:dyDescent="0.3">
      <c r="A1038" s="1">
        <v>44618</v>
      </c>
      <c r="B1038" t="s">
        <v>23</v>
      </c>
      <c r="C1038" t="s">
        <v>21</v>
      </c>
      <c r="D1038" t="s">
        <v>36</v>
      </c>
      <c r="E1038">
        <v>8</v>
      </c>
      <c r="F1038">
        <v>1414.24</v>
      </c>
      <c r="G1038" t="s">
        <v>20</v>
      </c>
      <c r="H1038">
        <v>2</v>
      </c>
      <c r="I1038">
        <v>780.04</v>
      </c>
      <c r="J1038">
        <v>634.20000000000005</v>
      </c>
      <c r="K1038" t="s">
        <v>54</v>
      </c>
      <c r="L1038" t="s">
        <v>53</v>
      </c>
      <c r="M1038">
        <v>2022</v>
      </c>
      <c r="N1038" t="s">
        <v>46</v>
      </c>
    </row>
    <row r="1039" spans="1:14" x14ac:dyDescent="0.3">
      <c r="A1039" s="1">
        <v>44990</v>
      </c>
      <c r="B1039" t="s">
        <v>18</v>
      </c>
      <c r="C1039" t="s">
        <v>16</v>
      </c>
      <c r="D1039" t="s">
        <v>37</v>
      </c>
      <c r="E1039">
        <v>45</v>
      </c>
      <c r="F1039">
        <v>17441.099999999999</v>
      </c>
      <c r="G1039" t="s">
        <v>12</v>
      </c>
      <c r="H1039">
        <v>1</v>
      </c>
      <c r="I1039">
        <v>3149.94</v>
      </c>
      <c r="J1039">
        <v>14291.16</v>
      </c>
      <c r="K1039" t="s">
        <v>52</v>
      </c>
      <c r="L1039" t="s">
        <v>53</v>
      </c>
      <c r="M1039">
        <v>2023</v>
      </c>
      <c r="N1039" t="s">
        <v>44</v>
      </c>
    </row>
    <row r="1040" spans="1:14" x14ac:dyDescent="0.3">
      <c r="A1040" s="1">
        <v>45151</v>
      </c>
      <c r="B1040" t="s">
        <v>18</v>
      </c>
      <c r="C1040" t="s">
        <v>25</v>
      </c>
      <c r="D1040" t="s">
        <v>39</v>
      </c>
      <c r="E1040">
        <v>15</v>
      </c>
      <c r="F1040">
        <v>2848.03</v>
      </c>
      <c r="G1040" t="s">
        <v>12</v>
      </c>
      <c r="H1040">
        <v>5</v>
      </c>
      <c r="I1040">
        <v>1832.47</v>
      </c>
      <c r="J1040">
        <v>1015.56</v>
      </c>
      <c r="K1040" t="s">
        <v>64</v>
      </c>
      <c r="L1040" t="s">
        <v>61</v>
      </c>
      <c r="M1040">
        <v>2023</v>
      </c>
      <c r="N1040" t="s">
        <v>44</v>
      </c>
    </row>
    <row r="1041" spans="1:14" x14ac:dyDescent="0.3">
      <c r="A1041" s="1">
        <v>44755</v>
      </c>
      <c r="B1041" t="s">
        <v>23</v>
      </c>
      <c r="C1041" t="s">
        <v>25</v>
      </c>
      <c r="D1041" t="s">
        <v>26</v>
      </c>
      <c r="E1041">
        <v>14</v>
      </c>
      <c r="F1041">
        <v>5464.82</v>
      </c>
      <c r="G1041" t="s">
        <v>12</v>
      </c>
      <c r="H1041">
        <v>1</v>
      </c>
      <c r="I1041">
        <v>1665.62</v>
      </c>
      <c r="J1041">
        <v>3799.2</v>
      </c>
      <c r="K1041" t="s">
        <v>63</v>
      </c>
      <c r="L1041" t="s">
        <v>61</v>
      </c>
      <c r="M1041">
        <v>2022</v>
      </c>
      <c r="N1041" t="s">
        <v>45</v>
      </c>
    </row>
    <row r="1042" spans="1:14" x14ac:dyDescent="0.3">
      <c r="A1042" s="1">
        <v>44663</v>
      </c>
      <c r="B1042" t="s">
        <v>31</v>
      </c>
      <c r="C1042" t="s">
        <v>13</v>
      </c>
      <c r="D1042" t="s">
        <v>29</v>
      </c>
      <c r="E1042">
        <v>30</v>
      </c>
      <c r="F1042">
        <v>13184.63</v>
      </c>
      <c r="G1042" t="s">
        <v>12</v>
      </c>
      <c r="H1042">
        <v>1</v>
      </c>
      <c r="I1042">
        <v>4568.04</v>
      </c>
      <c r="J1042">
        <v>8616.59</v>
      </c>
      <c r="K1042" t="s">
        <v>55</v>
      </c>
      <c r="L1042" t="s">
        <v>51</v>
      </c>
      <c r="M1042">
        <v>2022</v>
      </c>
      <c r="N1042" t="s">
        <v>43</v>
      </c>
    </row>
    <row r="1043" spans="1:14" x14ac:dyDescent="0.3">
      <c r="A1043" s="1">
        <v>45141</v>
      </c>
      <c r="B1043" t="s">
        <v>15</v>
      </c>
      <c r="C1043" t="s">
        <v>21</v>
      </c>
      <c r="D1043" t="s">
        <v>32</v>
      </c>
      <c r="E1043">
        <v>18</v>
      </c>
      <c r="F1043">
        <v>4005.76</v>
      </c>
      <c r="G1043" t="s">
        <v>20</v>
      </c>
      <c r="H1043">
        <v>1</v>
      </c>
      <c r="I1043">
        <v>3064.66</v>
      </c>
      <c r="J1043">
        <v>941.1</v>
      </c>
      <c r="K1043" t="s">
        <v>64</v>
      </c>
      <c r="L1043" t="s">
        <v>61</v>
      </c>
      <c r="M1043">
        <v>2023</v>
      </c>
      <c r="N1043" t="s">
        <v>44</v>
      </c>
    </row>
    <row r="1044" spans="1:14" x14ac:dyDescent="0.3">
      <c r="A1044" s="1">
        <v>45103</v>
      </c>
      <c r="B1044" t="s">
        <v>18</v>
      </c>
      <c r="C1044" t="s">
        <v>21</v>
      </c>
      <c r="D1044" t="s">
        <v>22</v>
      </c>
      <c r="E1044">
        <v>48</v>
      </c>
      <c r="F1044">
        <v>933.79</v>
      </c>
      <c r="G1044" t="s">
        <v>20</v>
      </c>
      <c r="H1044">
        <v>2</v>
      </c>
      <c r="I1044">
        <v>1245.8900000000001</v>
      </c>
      <c r="J1044">
        <v>-312.10000000000002</v>
      </c>
      <c r="K1044" t="s">
        <v>50</v>
      </c>
      <c r="L1044" t="s">
        <v>51</v>
      </c>
      <c r="M1044">
        <v>2023</v>
      </c>
      <c r="N1044" t="s">
        <v>44</v>
      </c>
    </row>
    <row r="1045" spans="1:14" x14ac:dyDescent="0.3">
      <c r="A1045" s="1">
        <v>44997</v>
      </c>
      <c r="B1045" t="s">
        <v>23</v>
      </c>
      <c r="C1045" t="s">
        <v>10</v>
      </c>
      <c r="D1045" t="s">
        <v>35</v>
      </c>
      <c r="E1045">
        <v>36</v>
      </c>
      <c r="F1045">
        <v>3427.33</v>
      </c>
      <c r="G1045" t="s">
        <v>20</v>
      </c>
      <c r="H1045">
        <v>1</v>
      </c>
      <c r="I1045">
        <v>7811.09</v>
      </c>
      <c r="J1045">
        <v>-4383.76</v>
      </c>
      <c r="K1045" t="s">
        <v>52</v>
      </c>
      <c r="L1045" t="s">
        <v>53</v>
      </c>
      <c r="M1045">
        <v>2023</v>
      </c>
      <c r="N1045" t="s">
        <v>44</v>
      </c>
    </row>
    <row r="1046" spans="1:14" x14ac:dyDescent="0.3">
      <c r="A1046" s="1">
        <v>45279</v>
      </c>
      <c r="B1046" t="s">
        <v>18</v>
      </c>
      <c r="C1046" t="s">
        <v>13</v>
      </c>
      <c r="D1046" t="s">
        <v>29</v>
      </c>
      <c r="E1046">
        <v>26</v>
      </c>
      <c r="F1046">
        <v>4982.3500000000004</v>
      </c>
      <c r="G1046" t="s">
        <v>12</v>
      </c>
      <c r="H1046">
        <v>4</v>
      </c>
      <c r="I1046">
        <v>1170.18</v>
      </c>
      <c r="J1046">
        <v>3812.17</v>
      </c>
      <c r="K1046" t="s">
        <v>58</v>
      </c>
      <c r="L1046" t="s">
        <v>59</v>
      </c>
      <c r="M1046">
        <v>2023</v>
      </c>
      <c r="N1046" t="s">
        <v>44</v>
      </c>
    </row>
    <row r="1047" spans="1:14" x14ac:dyDescent="0.3">
      <c r="A1047" s="1">
        <v>44687</v>
      </c>
      <c r="B1047" t="s">
        <v>9</v>
      </c>
      <c r="C1047" t="s">
        <v>25</v>
      </c>
      <c r="D1047" t="s">
        <v>30</v>
      </c>
      <c r="E1047">
        <v>22</v>
      </c>
      <c r="F1047">
        <v>2061.34</v>
      </c>
      <c r="G1047" t="s">
        <v>12</v>
      </c>
      <c r="H1047">
        <v>1</v>
      </c>
      <c r="I1047">
        <v>3391.68</v>
      </c>
      <c r="J1047">
        <v>-1330.34</v>
      </c>
      <c r="K1047" t="s">
        <v>56</v>
      </c>
      <c r="L1047" t="s">
        <v>51</v>
      </c>
      <c r="M1047">
        <v>2022</v>
      </c>
      <c r="N1047" t="s">
        <v>44</v>
      </c>
    </row>
    <row r="1048" spans="1:14" x14ac:dyDescent="0.3">
      <c r="A1048" s="1">
        <v>45075</v>
      </c>
      <c r="B1048" t="s">
        <v>18</v>
      </c>
      <c r="C1048" t="s">
        <v>13</v>
      </c>
      <c r="D1048" t="s">
        <v>40</v>
      </c>
      <c r="E1048">
        <v>16</v>
      </c>
      <c r="F1048">
        <v>6691.56</v>
      </c>
      <c r="G1048" t="s">
        <v>12</v>
      </c>
      <c r="H1048">
        <v>2</v>
      </c>
      <c r="I1048">
        <v>3770.46</v>
      </c>
      <c r="J1048">
        <v>2921.1</v>
      </c>
      <c r="K1048" t="s">
        <v>56</v>
      </c>
      <c r="L1048" t="s">
        <v>51</v>
      </c>
      <c r="M1048">
        <v>2023</v>
      </c>
      <c r="N1048" t="s">
        <v>44</v>
      </c>
    </row>
    <row r="1049" spans="1:14" x14ac:dyDescent="0.3">
      <c r="A1049" s="1">
        <v>44808</v>
      </c>
      <c r="B1049" t="s">
        <v>31</v>
      </c>
      <c r="C1049" t="s">
        <v>21</v>
      </c>
      <c r="D1049" t="s">
        <v>36</v>
      </c>
      <c r="E1049">
        <v>8</v>
      </c>
      <c r="F1049">
        <v>2000.91</v>
      </c>
      <c r="G1049" t="s">
        <v>12</v>
      </c>
      <c r="H1049">
        <v>1</v>
      </c>
      <c r="I1049">
        <v>460.82</v>
      </c>
      <c r="J1049">
        <v>1540.09</v>
      </c>
      <c r="K1049" t="s">
        <v>60</v>
      </c>
      <c r="L1049" t="s">
        <v>61</v>
      </c>
      <c r="M1049">
        <v>2022</v>
      </c>
      <c r="N1049" t="s">
        <v>44</v>
      </c>
    </row>
    <row r="1050" spans="1:14" x14ac:dyDescent="0.3">
      <c r="A1050" s="1">
        <v>44720</v>
      </c>
      <c r="B1050" t="s">
        <v>15</v>
      </c>
      <c r="C1050" t="s">
        <v>13</v>
      </c>
      <c r="D1050" t="s">
        <v>14</v>
      </c>
      <c r="E1050">
        <v>7</v>
      </c>
      <c r="F1050">
        <v>2655.51</v>
      </c>
      <c r="G1050" t="s">
        <v>12</v>
      </c>
      <c r="H1050">
        <v>5</v>
      </c>
      <c r="I1050">
        <v>1070.6400000000001</v>
      </c>
      <c r="J1050">
        <v>1584.87</v>
      </c>
      <c r="K1050" t="s">
        <v>50</v>
      </c>
      <c r="L1050" t="s">
        <v>51</v>
      </c>
      <c r="M1050">
        <v>2022</v>
      </c>
      <c r="N1050" t="s">
        <v>44</v>
      </c>
    </row>
    <row r="1051" spans="1:14" x14ac:dyDescent="0.3">
      <c r="A1051" s="1">
        <v>45273</v>
      </c>
      <c r="B1051" t="s">
        <v>31</v>
      </c>
      <c r="C1051" t="s">
        <v>13</v>
      </c>
      <c r="D1051" t="s">
        <v>29</v>
      </c>
      <c r="E1051">
        <v>14</v>
      </c>
      <c r="F1051">
        <v>2802.45</v>
      </c>
      <c r="G1051" t="s">
        <v>12</v>
      </c>
      <c r="H1051">
        <v>4</v>
      </c>
      <c r="I1051">
        <v>618.48</v>
      </c>
      <c r="J1051">
        <v>2183.9699999999998</v>
      </c>
      <c r="K1051" t="s">
        <v>58</v>
      </c>
      <c r="L1051" t="s">
        <v>59</v>
      </c>
      <c r="M1051">
        <v>2023</v>
      </c>
      <c r="N1051"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9B0F8-A2F8-4C8D-856E-0697A158CBD0}">
  <dimension ref="A3:J49"/>
  <sheetViews>
    <sheetView tabSelected="1" workbookViewId="0">
      <selection activeCell="J18" sqref="J18"/>
    </sheetView>
  </sheetViews>
  <sheetFormatPr defaultRowHeight="14.4" x14ac:dyDescent="0.3"/>
  <cols>
    <col min="1" max="1" width="19.6640625" bestFit="1" customWidth="1"/>
    <col min="2" max="2" width="12.109375" bestFit="1" customWidth="1"/>
    <col min="3" max="3" width="11.6640625" bestFit="1" customWidth="1"/>
    <col min="4" max="4" width="18.44140625" bestFit="1" customWidth="1"/>
    <col min="5" max="5" width="16" bestFit="1" customWidth="1"/>
  </cols>
  <sheetData>
    <row r="3" spans="1:5" x14ac:dyDescent="0.3">
      <c r="A3" s="3" t="s">
        <v>66</v>
      </c>
      <c r="B3" t="s">
        <v>73</v>
      </c>
      <c r="C3" t="s">
        <v>71</v>
      </c>
      <c r="D3" t="s">
        <v>75</v>
      </c>
      <c r="E3" t="s">
        <v>74</v>
      </c>
    </row>
    <row r="4" spans="1:5" x14ac:dyDescent="0.3">
      <c r="A4" s="4" t="s">
        <v>23</v>
      </c>
      <c r="B4" s="11">
        <v>98924.919999999984</v>
      </c>
      <c r="C4" s="11">
        <v>195342.90000000002</v>
      </c>
      <c r="D4" s="11">
        <v>96417.98000000001</v>
      </c>
      <c r="E4" s="11">
        <v>639</v>
      </c>
    </row>
    <row r="5" spans="1:5" x14ac:dyDescent="0.3">
      <c r="A5" s="5" t="s">
        <v>50</v>
      </c>
      <c r="B5" s="11">
        <v>98924.919999999984</v>
      </c>
      <c r="C5" s="11">
        <v>195342.90000000002</v>
      </c>
      <c r="D5" s="11">
        <v>96417.98000000001</v>
      </c>
      <c r="E5" s="11">
        <v>639</v>
      </c>
    </row>
    <row r="6" spans="1:5" x14ac:dyDescent="0.3">
      <c r="A6" s="6" t="s">
        <v>16</v>
      </c>
      <c r="B6" s="11">
        <v>34279.120000000003</v>
      </c>
      <c r="C6" s="11">
        <v>52534.9</v>
      </c>
      <c r="D6" s="11">
        <v>18255.78</v>
      </c>
      <c r="E6" s="11">
        <v>153</v>
      </c>
    </row>
    <row r="7" spans="1:5" x14ac:dyDescent="0.3">
      <c r="A7" s="7" t="s">
        <v>37</v>
      </c>
      <c r="B7" s="11">
        <v>9011.19</v>
      </c>
      <c r="C7" s="11">
        <v>13953.83</v>
      </c>
      <c r="D7" s="11">
        <v>4942.6400000000003</v>
      </c>
      <c r="E7" s="11">
        <v>28</v>
      </c>
    </row>
    <row r="8" spans="1:5" x14ac:dyDescent="0.3">
      <c r="A8" s="8" t="s">
        <v>68</v>
      </c>
      <c r="B8" s="11">
        <v>9011.19</v>
      </c>
      <c r="C8" s="11">
        <v>13953.83</v>
      </c>
      <c r="D8" s="11">
        <v>4942.6400000000003</v>
      </c>
      <c r="E8" s="11">
        <v>28</v>
      </c>
    </row>
    <row r="9" spans="1:5" x14ac:dyDescent="0.3">
      <c r="A9" s="7" t="s">
        <v>24</v>
      </c>
      <c r="B9" s="11">
        <v>7258.01</v>
      </c>
      <c r="C9" s="11">
        <v>17962.78</v>
      </c>
      <c r="D9" s="11">
        <v>10704.77</v>
      </c>
      <c r="E9" s="11">
        <v>76</v>
      </c>
    </row>
    <row r="10" spans="1:5" x14ac:dyDescent="0.3">
      <c r="A10" s="8" t="s">
        <v>68</v>
      </c>
      <c r="B10" s="11">
        <v>1054.54</v>
      </c>
      <c r="C10" s="11">
        <v>8234.39</v>
      </c>
      <c r="D10" s="11">
        <v>7179.85</v>
      </c>
      <c r="E10" s="11">
        <v>32</v>
      </c>
    </row>
    <row r="11" spans="1:5" x14ac:dyDescent="0.3">
      <c r="A11" s="8" t="s">
        <v>69</v>
      </c>
      <c r="B11" s="11">
        <v>6203.47</v>
      </c>
      <c r="C11" s="11">
        <v>9728.39</v>
      </c>
      <c r="D11" s="11">
        <v>3524.92</v>
      </c>
      <c r="E11" s="11">
        <v>44</v>
      </c>
    </row>
    <row r="12" spans="1:5" x14ac:dyDescent="0.3">
      <c r="A12" s="7" t="s">
        <v>17</v>
      </c>
      <c r="B12" s="11">
        <v>18009.919999999998</v>
      </c>
      <c r="C12" s="11">
        <v>20618.29</v>
      </c>
      <c r="D12" s="11">
        <v>2608.37</v>
      </c>
      <c r="E12" s="11">
        <v>49</v>
      </c>
    </row>
    <row r="13" spans="1:5" x14ac:dyDescent="0.3">
      <c r="A13" s="8" t="s">
        <v>68</v>
      </c>
      <c r="B13" s="11">
        <v>3268.45</v>
      </c>
      <c r="C13" s="11">
        <v>4137.54</v>
      </c>
      <c r="D13" s="11">
        <v>869.09</v>
      </c>
      <c r="E13" s="11">
        <v>11</v>
      </c>
    </row>
    <row r="14" spans="1:5" x14ac:dyDescent="0.3">
      <c r="A14" s="8" t="s">
        <v>69</v>
      </c>
      <c r="B14" s="11">
        <v>14741.47</v>
      </c>
      <c r="C14" s="11">
        <v>16480.75</v>
      </c>
      <c r="D14" s="11">
        <v>1739.28</v>
      </c>
      <c r="E14" s="11">
        <v>38</v>
      </c>
    </row>
    <row r="15" spans="1:5" x14ac:dyDescent="0.3">
      <c r="A15" s="6" t="s">
        <v>13</v>
      </c>
      <c r="B15" s="11">
        <v>13892.939999999999</v>
      </c>
      <c r="C15" s="11">
        <v>36974.259999999995</v>
      </c>
      <c r="D15" s="11">
        <v>23081.32</v>
      </c>
      <c r="E15" s="11">
        <v>122</v>
      </c>
    </row>
    <row r="16" spans="1:5" x14ac:dyDescent="0.3">
      <c r="A16" s="7" t="s">
        <v>19</v>
      </c>
      <c r="B16" s="11">
        <v>1164.9100000000001</v>
      </c>
      <c r="C16" s="11">
        <v>12174.62</v>
      </c>
      <c r="D16" s="11">
        <v>11009.71</v>
      </c>
      <c r="E16" s="11">
        <v>48</v>
      </c>
    </row>
    <row r="17" spans="1:10" x14ac:dyDescent="0.3">
      <c r="A17" s="8" t="s">
        <v>69</v>
      </c>
      <c r="B17" s="11">
        <v>1164.9100000000001</v>
      </c>
      <c r="C17" s="11">
        <v>12174.62</v>
      </c>
      <c r="D17" s="11">
        <v>11009.71</v>
      </c>
      <c r="E17" s="11">
        <v>48</v>
      </c>
    </row>
    <row r="18" spans="1:10" x14ac:dyDescent="0.3">
      <c r="A18" s="7" t="s">
        <v>29</v>
      </c>
      <c r="B18" s="11">
        <v>3028.91</v>
      </c>
      <c r="C18" s="11">
        <v>9707.85</v>
      </c>
      <c r="D18" s="11">
        <v>6678.9400000000005</v>
      </c>
      <c r="E18" s="11">
        <v>33</v>
      </c>
      <c r="J18">
        <f>+'Sales_Data_Analysis '!E19</f>
        <v>40</v>
      </c>
    </row>
    <row r="19" spans="1:10" x14ac:dyDescent="0.3">
      <c r="A19" s="8" t="s">
        <v>68</v>
      </c>
      <c r="B19" s="11">
        <v>2386.63</v>
      </c>
      <c r="C19" s="11">
        <v>6268.52</v>
      </c>
      <c r="D19" s="11">
        <v>3881.89</v>
      </c>
      <c r="E19" s="11">
        <v>17</v>
      </c>
    </row>
    <row r="20" spans="1:10" x14ac:dyDescent="0.3">
      <c r="A20" s="8" t="s">
        <v>69</v>
      </c>
      <c r="B20" s="11">
        <v>642.28</v>
      </c>
      <c r="C20" s="11">
        <v>3439.33</v>
      </c>
      <c r="D20" s="11">
        <v>2797.05</v>
      </c>
      <c r="E20" s="11">
        <v>16</v>
      </c>
    </row>
    <row r="21" spans="1:10" x14ac:dyDescent="0.3">
      <c r="A21" s="7" t="s">
        <v>14</v>
      </c>
      <c r="B21" s="11">
        <v>2495.4</v>
      </c>
      <c r="C21" s="11">
        <v>5765.24</v>
      </c>
      <c r="D21" s="11">
        <v>3269.84</v>
      </c>
      <c r="E21" s="11">
        <v>18</v>
      </c>
    </row>
    <row r="22" spans="1:10" x14ac:dyDescent="0.3">
      <c r="A22" s="8" t="s">
        <v>68</v>
      </c>
      <c r="B22" s="11">
        <v>2495.4</v>
      </c>
      <c r="C22" s="11">
        <v>5765.24</v>
      </c>
      <c r="D22" s="11">
        <v>3269.84</v>
      </c>
      <c r="E22" s="11">
        <v>18</v>
      </c>
    </row>
    <row r="23" spans="1:10" x14ac:dyDescent="0.3">
      <c r="A23" s="7" t="s">
        <v>40</v>
      </c>
      <c r="B23" s="11">
        <v>7203.72</v>
      </c>
      <c r="C23" s="11">
        <v>9326.5499999999993</v>
      </c>
      <c r="D23" s="11">
        <v>2122.83</v>
      </c>
      <c r="E23" s="11">
        <v>23</v>
      </c>
    </row>
    <row r="24" spans="1:10" x14ac:dyDescent="0.3">
      <c r="A24" s="8" t="s">
        <v>69</v>
      </c>
      <c r="B24" s="11">
        <v>7203.72</v>
      </c>
      <c r="C24" s="11">
        <v>9326.5499999999993</v>
      </c>
      <c r="D24" s="11">
        <v>2122.83</v>
      </c>
      <c r="E24" s="11">
        <v>23</v>
      </c>
    </row>
    <row r="25" spans="1:10" x14ac:dyDescent="0.3">
      <c r="A25" s="6" t="s">
        <v>10</v>
      </c>
      <c r="B25" s="11">
        <v>16978.66</v>
      </c>
      <c r="C25" s="11">
        <v>32253.5</v>
      </c>
      <c r="D25" s="11">
        <v>15274.84</v>
      </c>
      <c r="E25" s="11">
        <v>96</v>
      </c>
    </row>
    <row r="26" spans="1:10" x14ac:dyDescent="0.3">
      <c r="A26" s="7" t="s">
        <v>11</v>
      </c>
      <c r="B26" s="11">
        <v>7915.74</v>
      </c>
      <c r="C26" s="11">
        <v>9535.0499999999993</v>
      </c>
      <c r="D26" s="11">
        <v>1619.31</v>
      </c>
      <c r="E26" s="11">
        <v>20</v>
      </c>
    </row>
    <row r="27" spans="1:10" x14ac:dyDescent="0.3">
      <c r="A27" s="8" t="s">
        <v>68</v>
      </c>
      <c r="B27" s="11">
        <v>7915.74</v>
      </c>
      <c r="C27" s="11">
        <v>9535.0499999999993</v>
      </c>
      <c r="D27" s="11">
        <v>1619.31</v>
      </c>
      <c r="E27" s="11">
        <v>20</v>
      </c>
    </row>
    <row r="28" spans="1:10" x14ac:dyDescent="0.3">
      <c r="A28" s="7" t="s">
        <v>28</v>
      </c>
      <c r="B28" s="11">
        <v>4272.1500000000005</v>
      </c>
      <c r="C28" s="11">
        <v>15427.8</v>
      </c>
      <c r="D28" s="11">
        <v>11155.65</v>
      </c>
      <c r="E28" s="11">
        <v>61</v>
      </c>
    </row>
    <row r="29" spans="1:10" x14ac:dyDescent="0.3">
      <c r="A29" s="8" t="s">
        <v>68</v>
      </c>
      <c r="B29" s="11">
        <v>4589.5200000000004</v>
      </c>
      <c r="C29" s="11">
        <v>10397.34</v>
      </c>
      <c r="D29" s="11">
        <v>5807.82</v>
      </c>
      <c r="E29" s="11">
        <v>28</v>
      </c>
    </row>
    <row r="30" spans="1:10" x14ac:dyDescent="0.3">
      <c r="A30" s="8" t="s">
        <v>69</v>
      </c>
      <c r="B30" s="11">
        <v>-317.37</v>
      </c>
      <c r="C30" s="11">
        <v>5030.46</v>
      </c>
      <c r="D30" s="11">
        <v>5347.83</v>
      </c>
      <c r="E30" s="11">
        <v>33</v>
      </c>
    </row>
    <row r="31" spans="1:10" x14ac:dyDescent="0.3">
      <c r="A31" s="7" t="s">
        <v>34</v>
      </c>
      <c r="B31" s="11">
        <v>4790.7700000000004</v>
      </c>
      <c r="C31" s="11">
        <v>7290.65</v>
      </c>
      <c r="D31" s="11">
        <v>2499.88</v>
      </c>
      <c r="E31" s="11">
        <v>15</v>
      </c>
    </row>
    <row r="32" spans="1:10" x14ac:dyDescent="0.3">
      <c r="A32" s="8" t="s">
        <v>69</v>
      </c>
      <c r="B32" s="11">
        <v>4790.7700000000004</v>
      </c>
      <c r="C32" s="11">
        <v>7290.65</v>
      </c>
      <c r="D32" s="11">
        <v>2499.88</v>
      </c>
      <c r="E32" s="11">
        <v>15</v>
      </c>
    </row>
    <row r="33" spans="1:5" x14ac:dyDescent="0.3">
      <c r="A33" s="6" t="s">
        <v>25</v>
      </c>
      <c r="B33" s="11">
        <v>19214.23</v>
      </c>
      <c r="C33" s="11">
        <v>35254.120000000003</v>
      </c>
      <c r="D33" s="11">
        <v>16039.890000000001</v>
      </c>
      <c r="E33" s="11">
        <v>143</v>
      </c>
    </row>
    <row r="34" spans="1:5" x14ac:dyDescent="0.3">
      <c r="A34" s="7" t="s">
        <v>26</v>
      </c>
      <c r="B34" s="11">
        <v>3005.43</v>
      </c>
      <c r="C34" s="11">
        <v>4898.58</v>
      </c>
      <c r="D34" s="11">
        <v>1893.15</v>
      </c>
      <c r="E34" s="11">
        <v>13</v>
      </c>
    </row>
    <row r="35" spans="1:5" x14ac:dyDescent="0.3">
      <c r="A35" s="8" t="s">
        <v>68</v>
      </c>
      <c r="B35" s="11">
        <v>965.93</v>
      </c>
      <c r="C35" s="11">
        <v>1569.33</v>
      </c>
      <c r="D35" s="11">
        <v>603.4</v>
      </c>
      <c r="E35" s="11">
        <v>4</v>
      </c>
    </row>
    <row r="36" spans="1:5" x14ac:dyDescent="0.3">
      <c r="A36" s="8" t="s">
        <v>69</v>
      </c>
      <c r="B36" s="11">
        <v>2039.5</v>
      </c>
      <c r="C36" s="11">
        <v>3329.25</v>
      </c>
      <c r="D36" s="11">
        <v>1289.75</v>
      </c>
      <c r="E36" s="11">
        <v>9</v>
      </c>
    </row>
    <row r="37" spans="1:5" x14ac:dyDescent="0.3">
      <c r="A37" s="7" t="s">
        <v>30</v>
      </c>
      <c r="B37" s="11">
        <v>14808.05</v>
      </c>
      <c r="C37" s="11">
        <v>25303.21</v>
      </c>
      <c r="D37" s="11">
        <v>10495.16</v>
      </c>
      <c r="E37" s="11">
        <v>97</v>
      </c>
    </row>
    <row r="38" spans="1:5" x14ac:dyDescent="0.3">
      <c r="A38" s="8" t="s">
        <v>68</v>
      </c>
      <c r="B38" s="11">
        <v>7464.18</v>
      </c>
      <c r="C38" s="11">
        <v>11388.57</v>
      </c>
      <c r="D38" s="11">
        <v>3924.39</v>
      </c>
      <c r="E38" s="11">
        <v>36</v>
      </c>
    </row>
    <row r="39" spans="1:5" x14ac:dyDescent="0.3">
      <c r="A39" s="8" t="s">
        <v>69</v>
      </c>
      <c r="B39" s="11">
        <v>7343.87</v>
      </c>
      <c r="C39" s="11">
        <v>13914.64</v>
      </c>
      <c r="D39" s="11">
        <v>6570.77</v>
      </c>
      <c r="E39" s="11">
        <v>61</v>
      </c>
    </row>
    <row r="40" spans="1:5" x14ac:dyDescent="0.3">
      <c r="A40" s="7" t="s">
        <v>39</v>
      </c>
      <c r="B40" s="11">
        <v>1400.75</v>
      </c>
      <c r="C40" s="11">
        <v>5052.33</v>
      </c>
      <c r="D40" s="11">
        <v>3651.58</v>
      </c>
      <c r="E40" s="11">
        <v>33</v>
      </c>
    </row>
    <row r="41" spans="1:5" x14ac:dyDescent="0.3">
      <c r="A41" s="8" t="s">
        <v>68</v>
      </c>
      <c r="B41" s="11">
        <v>1400.75</v>
      </c>
      <c r="C41" s="11">
        <v>5052.33</v>
      </c>
      <c r="D41" s="11">
        <v>3651.58</v>
      </c>
      <c r="E41" s="11">
        <v>33</v>
      </c>
    </row>
    <row r="42" spans="1:5" x14ac:dyDescent="0.3">
      <c r="A42" s="6" t="s">
        <v>21</v>
      </c>
      <c r="B42" s="11">
        <v>14559.97</v>
      </c>
      <c r="C42" s="11">
        <v>38326.120000000003</v>
      </c>
      <c r="D42" s="11">
        <v>23766.15</v>
      </c>
      <c r="E42" s="11">
        <v>125</v>
      </c>
    </row>
    <row r="43" spans="1:5" x14ac:dyDescent="0.3">
      <c r="A43" s="7" t="s">
        <v>36</v>
      </c>
      <c r="B43" s="11">
        <v>5324.98</v>
      </c>
      <c r="C43" s="11">
        <v>12468.59</v>
      </c>
      <c r="D43" s="11">
        <v>7143.61</v>
      </c>
      <c r="E43" s="11">
        <v>36</v>
      </c>
    </row>
    <row r="44" spans="1:5" x14ac:dyDescent="0.3">
      <c r="A44" s="8" t="s">
        <v>68</v>
      </c>
      <c r="B44" s="11">
        <v>5324.98</v>
      </c>
      <c r="C44" s="11">
        <v>12468.59</v>
      </c>
      <c r="D44" s="11">
        <v>7143.61</v>
      </c>
      <c r="E44" s="11">
        <v>36</v>
      </c>
    </row>
    <row r="45" spans="1:5" x14ac:dyDescent="0.3">
      <c r="A45" s="7" t="s">
        <v>22</v>
      </c>
      <c r="B45" s="11">
        <v>10757.21</v>
      </c>
      <c r="C45" s="11">
        <v>15639.17</v>
      </c>
      <c r="D45" s="11">
        <v>4881.96</v>
      </c>
      <c r="E45" s="11">
        <v>42</v>
      </c>
    </row>
    <row r="46" spans="1:5" x14ac:dyDescent="0.3">
      <c r="A46" s="8" t="s">
        <v>68</v>
      </c>
      <c r="B46" s="11">
        <v>10757.21</v>
      </c>
      <c r="C46" s="11">
        <v>15639.17</v>
      </c>
      <c r="D46" s="11">
        <v>4881.96</v>
      </c>
      <c r="E46" s="11">
        <v>42</v>
      </c>
    </row>
    <row r="47" spans="1:5" x14ac:dyDescent="0.3">
      <c r="A47" s="7" t="s">
        <v>33</v>
      </c>
      <c r="B47" s="11">
        <v>-1522.22</v>
      </c>
      <c r="C47" s="11">
        <v>10218.36</v>
      </c>
      <c r="D47" s="11">
        <v>11740.58</v>
      </c>
      <c r="E47" s="11">
        <v>47</v>
      </c>
    </row>
    <row r="48" spans="1:5" x14ac:dyDescent="0.3">
      <c r="A48" s="8" t="s">
        <v>69</v>
      </c>
      <c r="B48" s="11">
        <v>-1522.22</v>
      </c>
      <c r="C48" s="11">
        <v>10218.36</v>
      </c>
      <c r="D48" s="11">
        <v>11740.58</v>
      </c>
      <c r="E48" s="11">
        <v>47</v>
      </c>
    </row>
    <row r="49" spans="1:5" x14ac:dyDescent="0.3">
      <c r="A49" s="4" t="s">
        <v>67</v>
      </c>
      <c r="B49" s="11">
        <v>98924.919999999984</v>
      </c>
      <c r="C49" s="11">
        <v>195342.90000000002</v>
      </c>
      <c r="D49" s="11">
        <v>96417.98000000001</v>
      </c>
      <c r="E49" s="11">
        <v>639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C15F0-5FD5-4C8C-9701-DEEAEB622C2B}">
  <dimension ref="A3:B15"/>
  <sheetViews>
    <sheetView zoomScale="86" workbookViewId="0">
      <selection activeCell="C19" sqref="C19"/>
    </sheetView>
  </sheetViews>
  <sheetFormatPr defaultRowHeight="14.4" x14ac:dyDescent="0.3"/>
  <cols>
    <col min="1" max="1" width="9.88671875" bestFit="1" customWidth="1"/>
    <col min="2" max="2" width="11.21875" bestFit="1" customWidth="1"/>
  </cols>
  <sheetData>
    <row r="3" spans="1:2" x14ac:dyDescent="0.3">
      <c r="A3" s="3" t="s">
        <v>48</v>
      </c>
      <c r="B3" t="s">
        <v>71</v>
      </c>
    </row>
    <row r="4" spans="1:2" x14ac:dyDescent="0.3">
      <c r="A4" t="s">
        <v>57</v>
      </c>
      <c r="B4">
        <v>585013.77</v>
      </c>
    </row>
    <row r="5" spans="1:2" x14ac:dyDescent="0.3">
      <c r="A5" t="s">
        <v>54</v>
      </c>
      <c r="B5">
        <v>578041.71999999986</v>
      </c>
    </row>
    <row r="6" spans="1:2" x14ac:dyDescent="0.3">
      <c r="A6" t="s">
        <v>52</v>
      </c>
      <c r="B6">
        <v>612037.6599999998</v>
      </c>
    </row>
    <row r="7" spans="1:2" x14ac:dyDescent="0.3">
      <c r="A7" t="s">
        <v>55</v>
      </c>
      <c r="B7">
        <v>573713.81999999983</v>
      </c>
    </row>
    <row r="8" spans="1:2" x14ac:dyDescent="0.3">
      <c r="A8" t="s">
        <v>56</v>
      </c>
      <c r="B8">
        <v>535050.13000000012</v>
      </c>
    </row>
    <row r="9" spans="1:2" x14ac:dyDescent="0.3">
      <c r="A9" t="s">
        <v>50</v>
      </c>
      <c r="B9">
        <v>736587.87</v>
      </c>
    </row>
    <row r="10" spans="1:2" x14ac:dyDescent="0.3">
      <c r="A10" t="s">
        <v>63</v>
      </c>
      <c r="B10">
        <v>533611.84</v>
      </c>
    </row>
    <row r="11" spans="1:2" x14ac:dyDescent="0.3">
      <c r="A11" t="s">
        <v>64</v>
      </c>
      <c r="B11">
        <v>566669.27000000025</v>
      </c>
    </row>
    <row r="12" spans="1:2" x14ac:dyDescent="0.3">
      <c r="A12" t="s">
        <v>60</v>
      </c>
      <c r="B12">
        <v>656172.1100000001</v>
      </c>
    </row>
    <row r="13" spans="1:2" x14ac:dyDescent="0.3">
      <c r="A13" t="s">
        <v>62</v>
      </c>
      <c r="B13">
        <v>692095.52</v>
      </c>
    </row>
    <row r="14" spans="1:2" x14ac:dyDescent="0.3">
      <c r="A14" t="s">
        <v>65</v>
      </c>
      <c r="B14">
        <v>658799.74999999988</v>
      </c>
    </row>
    <row r="15" spans="1:2" x14ac:dyDescent="0.3">
      <c r="A15" t="s">
        <v>58</v>
      </c>
      <c r="B15">
        <v>531963.80999999994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C7047-5EFC-4688-91A1-795CB09C7D78}">
  <dimension ref="A4:B34"/>
  <sheetViews>
    <sheetView topLeftCell="A24" zoomScale="109" workbookViewId="0">
      <selection activeCell="H49" sqref="H49"/>
    </sheetView>
  </sheetViews>
  <sheetFormatPr defaultRowHeight="14.4" x14ac:dyDescent="0.3"/>
  <cols>
    <col min="1" max="1" width="12.33203125" bestFit="1" customWidth="1"/>
    <col min="2" max="2" width="11.21875" bestFit="1" customWidth="1"/>
  </cols>
  <sheetData>
    <row r="4" spans="1:2" x14ac:dyDescent="0.3">
      <c r="A4" s="3" t="s">
        <v>66</v>
      </c>
      <c r="B4" t="s">
        <v>71</v>
      </c>
    </row>
    <row r="5" spans="1:2" x14ac:dyDescent="0.3">
      <c r="A5" s="9" t="s">
        <v>25</v>
      </c>
      <c r="B5" s="10">
        <v>1628076.56</v>
      </c>
    </row>
    <row r="6" spans="1:2" x14ac:dyDescent="0.3">
      <c r="A6" s="4" t="s">
        <v>13</v>
      </c>
      <c r="B6">
        <v>1537294.2700000012</v>
      </c>
    </row>
    <row r="7" spans="1:2" x14ac:dyDescent="0.3">
      <c r="A7" s="4" t="s">
        <v>16</v>
      </c>
      <c r="B7">
        <v>1445762.2899999996</v>
      </c>
    </row>
    <row r="8" spans="1:2" x14ac:dyDescent="0.3">
      <c r="A8" s="4" t="s">
        <v>21</v>
      </c>
      <c r="B8">
        <v>1353938.5200000003</v>
      </c>
    </row>
    <row r="9" spans="1:2" x14ac:dyDescent="0.3">
      <c r="A9" s="4" t="s">
        <v>10</v>
      </c>
      <c r="B9">
        <v>1294685.6300000001</v>
      </c>
    </row>
    <row r="10" spans="1:2" x14ac:dyDescent="0.3">
      <c r="A10" s="4" t="s">
        <v>67</v>
      </c>
      <c r="B10">
        <v>7259757.2700000005</v>
      </c>
    </row>
    <row r="28" spans="1:2" x14ac:dyDescent="0.3">
      <c r="A28" s="3" t="s">
        <v>66</v>
      </c>
      <c r="B28" t="s">
        <v>71</v>
      </c>
    </row>
    <row r="29" spans="1:2" x14ac:dyDescent="0.3">
      <c r="A29" s="4" t="s">
        <v>18</v>
      </c>
      <c r="B29">
        <v>1490172.4300000004</v>
      </c>
    </row>
    <row r="30" spans="1:2" x14ac:dyDescent="0.3">
      <c r="A30" s="4" t="s">
        <v>15</v>
      </c>
      <c r="B30">
        <v>1306396.5699999996</v>
      </c>
    </row>
    <row r="31" spans="1:2" x14ac:dyDescent="0.3">
      <c r="A31" s="4" t="s">
        <v>23</v>
      </c>
      <c r="B31">
        <v>1760114.0500000014</v>
      </c>
    </row>
    <row r="32" spans="1:2" x14ac:dyDescent="0.3">
      <c r="A32" s="4" t="s">
        <v>31</v>
      </c>
      <c r="B32">
        <v>1277257.79</v>
      </c>
    </row>
    <row r="33" spans="1:2" x14ac:dyDescent="0.3">
      <c r="A33" s="4" t="s">
        <v>9</v>
      </c>
      <c r="B33">
        <v>1425816.4300000004</v>
      </c>
    </row>
    <row r="34" spans="1:2" x14ac:dyDescent="0.3">
      <c r="A34" s="4" t="s">
        <v>67</v>
      </c>
      <c r="B34">
        <v>7259757.2700000023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438C-DDEE-4861-A3C2-EFB0DE20A291}">
  <dimension ref="C2:E9"/>
  <sheetViews>
    <sheetView topLeftCell="B1" zoomScale="118" workbookViewId="0">
      <selection activeCell="G27" sqref="G27"/>
    </sheetView>
  </sheetViews>
  <sheetFormatPr defaultRowHeight="14.4" x14ac:dyDescent="0.3"/>
  <cols>
    <col min="1" max="1" width="12.33203125" bestFit="1" customWidth="1"/>
    <col min="2" max="2" width="11.77734375" bestFit="1" customWidth="1"/>
    <col min="3" max="3" width="12.33203125" bestFit="1" customWidth="1"/>
    <col min="4" max="4" width="11.21875" bestFit="1" customWidth="1"/>
    <col min="5" max="5" width="11.77734375" bestFit="1" customWidth="1"/>
    <col min="9" max="9" width="12.33203125" bestFit="1" customWidth="1"/>
    <col min="10" max="10" width="11.21875" bestFit="1" customWidth="1"/>
    <col min="11" max="11" width="11.77734375" bestFit="1" customWidth="1"/>
  </cols>
  <sheetData>
    <row r="2" spans="3:5" x14ac:dyDescent="0.3">
      <c r="C2" s="3" t="s">
        <v>66</v>
      </c>
      <c r="D2" t="s">
        <v>71</v>
      </c>
      <c r="E2" t="s">
        <v>73</v>
      </c>
    </row>
    <row r="3" spans="3:5" x14ac:dyDescent="0.3">
      <c r="C3" s="4" t="s">
        <v>16</v>
      </c>
      <c r="D3">
        <v>1445762.2899999996</v>
      </c>
      <c r="E3">
        <v>713323.3600000001</v>
      </c>
    </row>
    <row r="4" spans="3:5" x14ac:dyDescent="0.3">
      <c r="C4" s="4" t="s">
        <v>13</v>
      </c>
      <c r="D4">
        <v>1537294.2700000012</v>
      </c>
      <c r="E4">
        <v>774550.19999999972</v>
      </c>
    </row>
    <row r="5" spans="3:5" x14ac:dyDescent="0.3">
      <c r="C5" s="4" t="s">
        <v>10</v>
      </c>
      <c r="D5">
        <v>1294685.6300000001</v>
      </c>
      <c r="E5">
        <v>688932.92999999993</v>
      </c>
    </row>
    <row r="6" spans="3:5" x14ac:dyDescent="0.3">
      <c r="C6" s="4" t="s">
        <v>25</v>
      </c>
      <c r="D6">
        <v>1628076.56</v>
      </c>
      <c r="E6">
        <v>879784.41000000155</v>
      </c>
    </row>
    <row r="7" spans="3:5" x14ac:dyDescent="0.3">
      <c r="C7" s="4" t="s">
        <v>21</v>
      </c>
      <c r="D7">
        <v>1353938.5200000003</v>
      </c>
      <c r="E7">
        <v>678055.82999999961</v>
      </c>
    </row>
    <row r="8" spans="3:5" x14ac:dyDescent="0.3">
      <c r="C8" s="4" t="s">
        <v>72</v>
      </c>
    </row>
    <row r="9" spans="3:5" x14ac:dyDescent="0.3">
      <c r="C9" s="4" t="s">
        <v>67</v>
      </c>
      <c r="D9">
        <v>7259757.2700000005</v>
      </c>
      <c r="E9">
        <v>3734646.7300000009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19F47-21A5-4862-AA8C-F43578C2B6E6}">
  <dimension ref="A2:X21"/>
  <sheetViews>
    <sheetView zoomScale="80" workbookViewId="0">
      <selection activeCell="V28" sqref="V28"/>
    </sheetView>
  </sheetViews>
  <sheetFormatPr defaultRowHeight="14.4" x14ac:dyDescent="0.3"/>
  <cols>
    <col min="1" max="1" width="11.21875" bestFit="1" customWidth="1"/>
    <col min="12" max="12" width="11.77734375" bestFit="1" customWidth="1"/>
  </cols>
  <sheetData>
    <row r="2" spans="1:24" x14ac:dyDescent="0.3">
      <c r="D2" t="s">
        <v>71</v>
      </c>
      <c r="N2" t="s">
        <v>76</v>
      </c>
      <c r="X2" t="s">
        <v>77</v>
      </c>
    </row>
    <row r="4" spans="1:24" x14ac:dyDescent="0.3">
      <c r="L4" t="s">
        <v>73</v>
      </c>
    </row>
    <row r="5" spans="1:24" x14ac:dyDescent="0.3">
      <c r="A5" t="s">
        <v>71</v>
      </c>
      <c r="L5">
        <v>3734646.7300000032</v>
      </c>
    </row>
    <row r="6" spans="1:24" x14ac:dyDescent="0.3">
      <c r="A6">
        <v>7259757.269999993</v>
      </c>
    </row>
    <row r="21" spans="5:5" x14ac:dyDescent="0.3">
      <c r="E21" t="s">
        <v>78</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C5E86-C4ED-4F7F-8F16-8B501949071D}">
  <dimension ref="A1:B1051"/>
  <sheetViews>
    <sheetView workbookViewId="0">
      <selection activeCell="H30" sqref="H30"/>
    </sheetView>
  </sheetViews>
  <sheetFormatPr defaultRowHeight="14.4" x14ac:dyDescent="0.3"/>
  <cols>
    <col min="1" max="1" width="15.21875" bestFit="1" customWidth="1"/>
    <col min="2" max="2" width="10.21875" bestFit="1" customWidth="1"/>
    <col min="3" max="3" width="15.5546875" bestFit="1" customWidth="1"/>
  </cols>
  <sheetData>
    <row r="1" spans="1:2" x14ac:dyDescent="0.3">
      <c r="A1" t="s">
        <v>3</v>
      </c>
      <c r="B1" t="s">
        <v>70</v>
      </c>
    </row>
    <row r="2" spans="1:2" x14ac:dyDescent="0.3">
      <c r="A2" t="s">
        <v>33</v>
      </c>
      <c r="B2">
        <v>23697.95</v>
      </c>
    </row>
    <row r="3" spans="1:2" x14ac:dyDescent="0.3">
      <c r="A3" t="s">
        <v>38</v>
      </c>
      <c r="B3">
        <v>23633.39</v>
      </c>
    </row>
    <row r="4" spans="1:2" x14ac:dyDescent="0.3">
      <c r="A4" t="s">
        <v>38</v>
      </c>
      <c r="B4">
        <v>23632.07</v>
      </c>
    </row>
    <row r="5" spans="1:2" x14ac:dyDescent="0.3">
      <c r="A5" t="s">
        <v>38</v>
      </c>
      <c r="B5">
        <v>23388.31</v>
      </c>
    </row>
    <row r="6" spans="1:2" x14ac:dyDescent="0.3">
      <c r="A6" t="s">
        <v>37</v>
      </c>
      <c r="B6">
        <v>23130.78</v>
      </c>
    </row>
    <row r="7" spans="1:2" x14ac:dyDescent="0.3">
      <c r="A7" t="s">
        <v>26</v>
      </c>
      <c r="B7">
        <v>23032.400000000001</v>
      </c>
    </row>
    <row r="8" spans="1:2" x14ac:dyDescent="0.3">
      <c r="A8" t="s">
        <v>11</v>
      </c>
      <c r="B8">
        <v>22687.119999999999</v>
      </c>
    </row>
    <row r="9" spans="1:2" x14ac:dyDescent="0.3">
      <c r="A9" t="s">
        <v>26</v>
      </c>
      <c r="B9">
        <v>22622.79</v>
      </c>
    </row>
    <row r="10" spans="1:2" x14ac:dyDescent="0.3">
      <c r="A10" t="s">
        <v>37</v>
      </c>
      <c r="B10">
        <v>22291.82</v>
      </c>
    </row>
    <row r="11" spans="1:2" x14ac:dyDescent="0.3">
      <c r="A11" t="s">
        <v>17</v>
      </c>
      <c r="B11">
        <v>22271.31</v>
      </c>
    </row>
    <row r="12" spans="1:2" x14ac:dyDescent="0.3">
      <c r="A12" t="s">
        <v>22</v>
      </c>
      <c r="B12">
        <v>22208.65</v>
      </c>
    </row>
    <row r="13" spans="1:2" x14ac:dyDescent="0.3">
      <c r="A13" t="s">
        <v>32</v>
      </c>
      <c r="B13">
        <v>22188.7</v>
      </c>
    </row>
    <row r="14" spans="1:2" x14ac:dyDescent="0.3">
      <c r="A14" t="s">
        <v>38</v>
      </c>
      <c r="B14">
        <v>21935.279999999999</v>
      </c>
    </row>
    <row r="15" spans="1:2" x14ac:dyDescent="0.3">
      <c r="A15" t="s">
        <v>39</v>
      </c>
      <c r="B15">
        <v>21862.26</v>
      </c>
    </row>
    <row r="16" spans="1:2" x14ac:dyDescent="0.3">
      <c r="A16" t="s">
        <v>38</v>
      </c>
      <c r="B16">
        <v>21568.99</v>
      </c>
    </row>
    <row r="17" spans="1:2" x14ac:dyDescent="0.3">
      <c r="A17" t="s">
        <v>28</v>
      </c>
      <c r="B17">
        <v>21547.26</v>
      </c>
    </row>
    <row r="18" spans="1:2" x14ac:dyDescent="0.3">
      <c r="A18" t="s">
        <v>34</v>
      </c>
      <c r="B18">
        <v>21391.87</v>
      </c>
    </row>
    <row r="19" spans="1:2" x14ac:dyDescent="0.3">
      <c r="A19" t="s">
        <v>32</v>
      </c>
      <c r="B19">
        <v>21247.65</v>
      </c>
    </row>
    <row r="20" spans="1:2" x14ac:dyDescent="0.3">
      <c r="A20" t="s">
        <v>39</v>
      </c>
      <c r="B20">
        <v>21137.9</v>
      </c>
    </row>
    <row r="21" spans="1:2" x14ac:dyDescent="0.3">
      <c r="A21" t="s">
        <v>32</v>
      </c>
      <c r="B21">
        <v>21116.34</v>
      </c>
    </row>
    <row r="22" spans="1:2" x14ac:dyDescent="0.3">
      <c r="A22" t="s">
        <v>17</v>
      </c>
      <c r="B22">
        <v>21074.83</v>
      </c>
    </row>
    <row r="23" spans="1:2" x14ac:dyDescent="0.3">
      <c r="A23" t="s">
        <v>29</v>
      </c>
      <c r="B23">
        <v>21035.38</v>
      </c>
    </row>
    <row r="24" spans="1:2" x14ac:dyDescent="0.3">
      <c r="A24" t="s">
        <v>40</v>
      </c>
      <c r="B24">
        <v>20885.71</v>
      </c>
    </row>
    <row r="25" spans="1:2" x14ac:dyDescent="0.3">
      <c r="A25" t="s">
        <v>36</v>
      </c>
      <c r="B25">
        <v>20710.12</v>
      </c>
    </row>
    <row r="26" spans="1:2" x14ac:dyDescent="0.3">
      <c r="A26" t="s">
        <v>32</v>
      </c>
      <c r="B26">
        <v>20641.73</v>
      </c>
    </row>
    <row r="27" spans="1:2" x14ac:dyDescent="0.3">
      <c r="A27" t="s">
        <v>29</v>
      </c>
      <c r="B27">
        <v>20514.66</v>
      </c>
    </row>
    <row r="28" spans="1:2" x14ac:dyDescent="0.3">
      <c r="A28" t="s">
        <v>38</v>
      </c>
      <c r="B28">
        <v>20444.23</v>
      </c>
    </row>
    <row r="29" spans="1:2" x14ac:dyDescent="0.3">
      <c r="A29" t="s">
        <v>34</v>
      </c>
      <c r="B29">
        <v>20388.86</v>
      </c>
    </row>
    <row r="30" spans="1:2" x14ac:dyDescent="0.3">
      <c r="A30" t="s">
        <v>36</v>
      </c>
      <c r="B30">
        <v>20321.02</v>
      </c>
    </row>
    <row r="31" spans="1:2" x14ac:dyDescent="0.3">
      <c r="A31" t="s">
        <v>27</v>
      </c>
      <c r="B31">
        <v>20284.099999999999</v>
      </c>
    </row>
    <row r="32" spans="1:2" x14ac:dyDescent="0.3">
      <c r="A32" t="s">
        <v>14</v>
      </c>
      <c r="B32">
        <v>20220.849999999999</v>
      </c>
    </row>
    <row r="33" spans="1:2" x14ac:dyDescent="0.3">
      <c r="A33" t="s">
        <v>22</v>
      </c>
      <c r="B33">
        <v>19933.34</v>
      </c>
    </row>
    <row r="34" spans="1:2" x14ac:dyDescent="0.3">
      <c r="A34" t="s">
        <v>26</v>
      </c>
      <c r="B34">
        <v>19912.77</v>
      </c>
    </row>
    <row r="35" spans="1:2" x14ac:dyDescent="0.3">
      <c r="A35" t="s">
        <v>35</v>
      </c>
      <c r="B35">
        <v>19582.03</v>
      </c>
    </row>
    <row r="36" spans="1:2" x14ac:dyDescent="0.3">
      <c r="A36" t="s">
        <v>27</v>
      </c>
      <c r="B36">
        <v>19216</v>
      </c>
    </row>
    <row r="37" spans="1:2" x14ac:dyDescent="0.3">
      <c r="A37" t="s">
        <v>33</v>
      </c>
      <c r="B37">
        <v>19120.07</v>
      </c>
    </row>
    <row r="38" spans="1:2" x14ac:dyDescent="0.3">
      <c r="A38" t="s">
        <v>37</v>
      </c>
      <c r="B38">
        <v>19058.66</v>
      </c>
    </row>
    <row r="39" spans="1:2" x14ac:dyDescent="0.3">
      <c r="A39" t="s">
        <v>39</v>
      </c>
      <c r="B39">
        <v>19053.34</v>
      </c>
    </row>
    <row r="40" spans="1:2" x14ac:dyDescent="0.3">
      <c r="A40" t="s">
        <v>17</v>
      </c>
      <c r="B40">
        <v>18773.87</v>
      </c>
    </row>
    <row r="41" spans="1:2" x14ac:dyDescent="0.3">
      <c r="A41" t="s">
        <v>34</v>
      </c>
      <c r="B41">
        <v>18746.27</v>
      </c>
    </row>
    <row r="42" spans="1:2" x14ac:dyDescent="0.3">
      <c r="A42" t="s">
        <v>36</v>
      </c>
      <c r="B42">
        <v>18721.560000000001</v>
      </c>
    </row>
    <row r="43" spans="1:2" x14ac:dyDescent="0.3">
      <c r="A43" t="s">
        <v>38</v>
      </c>
      <c r="B43">
        <v>18716.36</v>
      </c>
    </row>
    <row r="44" spans="1:2" x14ac:dyDescent="0.3">
      <c r="A44" t="s">
        <v>22</v>
      </c>
      <c r="B44">
        <v>18697.21</v>
      </c>
    </row>
    <row r="45" spans="1:2" x14ac:dyDescent="0.3">
      <c r="A45" t="s">
        <v>40</v>
      </c>
      <c r="B45">
        <v>18616.48</v>
      </c>
    </row>
    <row r="46" spans="1:2" x14ac:dyDescent="0.3">
      <c r="A46" t="s">
        <v>36</v>
      </c>
      <c r="B46">
        <v>18531.939999999999</v>
      </c>
    </row>
    <row r="47" spans="1:2" x14ac:dyDescent="0.3">
      <c r="A47" t="s">
        <v>19</v>
      </c>
      <c r="B47">
        <v>18468.5</v>
      </c>
    </row>
    <row r="48" spans="1:2" x14ac:dyDescent="0.3">
      <c r="A48" t="s">
        <v>30</v>
      </c>
      <c r="B48">
        <v>18454.88</v>
      </c>
    </row>
    <row r="49" spans="1:2" x14ac:dyDescent="0.3">
      <c r="A49" t="s">
        <v>36</v>
      </c>
      <c r="B49">
        <v>18326.61</v>
      </c>
    </row>
    <row r="50" spans="1:2" x14ac:dyDescent="0.3">
      <c r="A50" t="s">
        <v>39</v>
      </c>
      <c r="B50">
        <v>18310.849999999999</v>
      </c>
    </row>
    <row r="51" spans="1:2" x14ac:dyDescent="0.3">
      <c r="A51" t="s">
        <v>14</v>
      </c>
      <c r="B51">
        <v>18261.68</v>
      </c>
    </row>
    <row r="52" spans="1:2" x14ac:dyDescent="0.3">
      <c r="A52" t="s">
        <v>40</v>
      </c>
      <c r="B52">
        <v>18134.490000000002</v>
      </c>
    </row>
    <row r="53" spans="1:2" x14ac:dyDescent="0.3">
      <c r="A53" t="s">
        <v>35</v>
      </c>
      <c r="B53">
        <v>18112.36</v>
      </c>
    </row>
    <row r="54" spans="1:2" x14ac:dyDescent="0.3">
      <c r="A54" t="s">
        <v>34</v>
      </c>
      <c r="B54">
        <v>18064.490000000002</v>
      </c>
    </row>
    <row r="55" spans="1:2" x14ac:dyDescent="0.3">
      <c r="A55" t="s">
        <v>19</v>
      </c>
      <c r="B55">
        <v>18009</v>
      </c>
    </row>
    <row r="56" spans="1:2" x14ac:dyDescent="0.3">
      <c r="A56" t="s">
        <v>17</v>
      </c>
      <c r="B56">
        <v>17920.830000000002</v>
      </c>
    </row>
    <row r="57" spans="1:2" x14ac:dyDescent="0.3">
      <c r="A57" t="s">
        <v>19</v>
      </c>
      <c r="B57">
        <v>17878.88</v>
      </c>
    </row>
    <row r="58" spans="1:2" x14ac:dyDescent="0.3">
      <c r="A58" t="s">
        <v>19</v>
      </c>
      <c r="B58">
        <v>17757.37</v>
      </c>
    </row>
    <row r="59" spans="1:2" x14ac:dyDescent="0.3">
      <c r="A59" t="s">
        <v>19</v>
      </c>
      <c r="B59">
        <v>17697.169999999998</v>
      </c>
    </row>
    <row r="60" spans="1:2" x14ac:dyDescent="0.3">
      <c r="A60" t="s">
        <v>11</v>
      </c>
      <c r="B60">
        <v>17583.650000000001</v>
      </c>
    </row>
    <row r="61" spans="1:2" x14ac:dyDescent="0.3">
      <c r="A61" t="s">
        <v>30</v>
      </c>
      <c r="B61">
        <v>17553.77</v>
      </c>
    </row>
    <row r="62" spans="1:2" x14ac:dyDescent="0.3">
      <c r="A62" t="s">
        <v>28</v>
      </c>
      <c r="B62">
        <v>17522.77</v>
      </c>
    </row>
    <row r="63" spans="1:2" x14ac:dyDescent="0.3">
      <c r="A63" t="s">
        <v>37</v>
      </c>
      <c r="B63">
        <v>17485.32</v>
      </c>
    </row>
    <row r="64" spans="1:2" x14ac:dyDescent="0.3">
      <c r="A64" t="s">
        <v>19</v>
      </c>
      <c r="B64">
        <v>17471.28</v>
      </c>
    </row>
    <row r="65" spans="1:2" x14ac:dyDescent="0.3">
      <c r="A65" t="s">
        <v>37</v>
      </c>
      <c r="B65">
        <v>17441.099999999999</v>
      </c>
    </row>
    <row r="66" spans="1:2" x14ac:dyDescent="0.3">
      <c r="A66" t="s">
        <v>33</v>
      </c>
      <c r="B66">
        <v>17439.509999999998</v>
      </c>
    </row>
    <row r="67" spans="1:2" x14ac:dyDescent="0.3">
      <c r="A67" t="s">
        <v>35</v>
      </c>
      <c r="B67">
        <v>17358.37</v>
      </c>
    </row>
    <row r="68" spans="1:2" x14ac:dyDescent="0.3">
      <c r="A68" t="s">
        <v>24</v>
      </c>
      <c r="B68">
        <v>17297.86</v>
      </c>
    </row>
    <row r="69" spans="1:2" x14ac:dyDescent="0.3">
      <c r="A69" t="s">
        <v>19</v>
      </c>
      <c r="B69">
        <v>17246.21</v>
      </c>
    </row>
    <row r="70" spans="1:2" x14ac:dyDescent="0.3">
      <c r="A70" t="s">
        <v>30</v>
      </c>
      <c r="B70">
        <v>17232.45</v>
      </c>
    </row>
    <row r="71" spans="1:2" x14ac:dyDescent="0.3">
      <c r="A71" t="s">
        <v>17</v>
      </c>
      <c r="B71">
        <v>17189.72</v>
      </c>
    </row>
    <row r="72" spans="1:2" x14ac:dyDescent="0.3">
      <c r="A72" t="s">
        <v>34</v>
      </c>
      <c r="B72">
        <v>17001.62</v>
      </c>
    </row>
    <row r="73" spans="1:2" x14ac:dyDescent="0.3">
      <c r="A73" t="s">
        <v>37</v>
      </c>
      <c r="B73">
        <v>16956.66</v>
      </c>
    </row>
    <row r="74" spans="1:2" x14ac:dyDescent="0.3">
      <c r="A74" t="s">
        <v>26</v>
      </c>
      <c r="B74">
        <v>16956.189999999999</v>
      </c>
    </row>
    <row r="75" spans="1:2" x14ac:dyDescent="0.3">
      <c r="A75" t="s">
        <v>40</v>
      </c>
      <c r="B75">
        <v>16896.38</v>
      </c>
    </row>
    <row r="76" spans="1:2" x14ac:dyDescent="0.3">
      <c r="A76" t="s">
        <v>19</v>
      </c>
      <c r="B76">
        <v>16892.509999999998</v>
      </c>
    </row>
    <row r="77" spans="1:2" x14ac:dyDescent="0.3">
      <c r="A77" t="s">
        <v>37</v>
      </c>
      <c r="B77">
        <v>16891.71</v>
      </c>
    </row>
    <row r="78" spans="1:2" x14ac:dyDescent="0.3">
      <c r="A78" t="s">
        <v>22</v>
      </c>
      <c r="B78">
        <v>16799.560000000001</v>
      </c>
    </row>
    <row r="79" spans="1:2" x14ac:dyDescent="0.3">
      <c r="A79" t="s">
        <v>14</v>
      </c>
      <c r="B79">
        <v>16697.86</v>
      </c>
    </row>
    <row r="80" spans="1:2" x14ac:dyDescent="0.3">
      <c r="A80" t="s">
        <v>22</v>
      </c>
      <c r="B80">
        <v>16696.03</v>
      </c>
    </row>
    <row r="81" spans="1:2" x14ac:dyDescent="0.3">
      <c r="A81" t="s">
        <v>34</v>
      </c>
      <c r="B81">
        <v>16676.78</v>
      </c>
    </row>
    <row r="82" spans="1:2" x14ac:dyDescent="0.3">
      <c r="A82" t="s">
        <v>38</v>
      </c>
      <c r="B82">
        <v>16648.830000000002</v>
      </c>
    </row>
    <row r="83" spans="1:2" x14ac:dyDescent="0.3">
      <c r="A83" t="s">
        <v>39</v>
      </c>
      <c r="B83">
        <v>16606.25</v>
      </c>
    </row>
    <row r="84" spans="1:2" x14ac:dyDescent="0.3">
      <c r="A84" t="s">
        <v>28</v>
      </c>
      <c r="B84">
        <v>16533.09</v>
      </c>
    </row>
    <row r="85" spans="1:2" x14ac:dyDescent="0.3">
      <c r="A85" t="s">
        <v>32</v>
      </c>
      <c r="B85">
        <v>16500.599999999999</v>
      </c>
    </row>
    <row r="86" spans="1:2" x14ac:dyDescent="0.3">
      <c r="A86" t="s">
        <v>22</v>
      </c>
      <c r="B86">
        <v>16492.46</v>
      </c>
    </row>
    <row r="87" spans="1:2" x14ac:dyDescent="0.3">
      <c r="A87" t="s">
        <v>17</v>
      </c>
      <c r="B87">
        <v>16480.75</v>
      </c>
    </row>
    <row r="88" spans="1:2" x14ac:dyDescent="0.3">
      <c r="A88" t="s">
        <v>29</v>
      </c>
      <c r="B88">
        <v>16296.06</v>
      </c>
    </row>
    <row r="89" spans="1:2" x14ac:dyDescent="0.3">
      <c r="A89" t="s">
        <v>38</v>
      </c>
      <c r="B89">
        <v>16227.88</v>
      </c>
    </row>
    <row r="90" spans="1:2" x14ac:dyDescent="0.3">
      <c r="A90" t="s">
        <v>26</v>
      </c>
      <c r="B90">
        <v>16212.42</v>
      </c>
    </row>
    <row r="91" spans="1:2" x14ac:dyDescent="0.3">
      <c r="A91" t="s">
        <v>38</v>
      </c>
      <c r="B91">
        <v>16144.75</v>
      </c>
    </row>
    <row r="92" spans="1:2" x14ac:dyDescent="0.3">
      <c r="A92" t="s">
        <v>30</v>
      </c>
      <c r="B92">
        <v>16038.24</v>
      </c>
    </row>
    <row r="93" spans="1:2" x14ac:dyDescent="0.3">
      <c r="A93" t="s">
        <v>24</v>
      </c>
      <c r="B93">
        <v>15984.63</v>
      </c>
    </row>
    <row r="94" spans="1:2" x14ac:dyDescent="0.3">
      <c r="A94" t="s">
        <v>40</v>
      </c>
      <c r="B94">
        <v>15878.38</v>
      </c>
    </row>
    <row r="95" spans="1:2" x14ac:dyDescent="0.3">
      <c r="A95" t="s">
        <v>26</v>
      </c>
      <c r="B95">
        <v>15855.99</v>
      </c>
    </row>
    <row r="96" spans="1:2" x14ac:dyDescent="0.3">
      <c r="A96" t="s">
        <v>34</v>
      </c>
      <c r="B96">
        <v>15792.22</v>
      </c>
    </row>
    <row r="97" spans="1:2" x14ac:dyDescent="0.3">
      <c r="A97" t="s">
        <v>28</v>
      </c>
      <c r="B97">
        <v>15782.09</v>
      </c>
    </row>
    <row r="98" spans="1:2" x14ac:dyDescent="0.3">
      <c r="A98" t="s">
        <v>14</v>
      </c>
      <c r="B98">
        <v>15779.46</v>
      </c>
    </row>
    <row r="99" spans="1:2" x14ac:dyDescent="0.3">
      <c r="A99" t="s">
        <v>28</v>
      </c>
      <c r="B99">
        <v>15766.43</v>
      </c>
    </row>
    <row r="100" spans="1:2" x14ac:dyDescent="0.3">
      <c r="A100" t="s">
        <v>19</v>
      </c>
      <c r="B100">
        <v>15766.06</v>
      </c>
    </row>
    <row r="101" spans="1:2" x14ac:dyDescent="0.3">
      <c r="A101" t="s">
        <v>27</v>
      </c>
      <c r="B101">
        <v>15698.68</v>
      </c>
    </row>
    <row r="102" spans="1:2" x14ac:dyDescent="0.3">
      <c r="A102" t="s">
        <v>34</v>
      </c>
      <c r="B102">
        <v>15697.03</v>
      </c>
    </row>
    <row r="103" spans="1:2" x14ac:dyDescent="0.3">
      <c r="A103" t="s">
        <v>30</v>
      </c>
      <c r="B103">
        <v>15609.57</v>
      </c>
    </row>
    <row r="104" spans="1:2" x14ac:dyDescent="0.3">
      <c r="A104" t="s">
        <v>35</v>
      </c>
      <c r="B104">
        <v>15587.57</v>
      </c>
    </row>
    <row r="105" spans="1:2" x14ac:dyDescent="0.3">
      <c r="A105" t="s">
        <v>26</v>
      </c>
      <c r="B105">
        <v>15585.86</v>
      </c>
    </row>
    <row r="106" spans="1:2" x14ac:dyDescent="0.3">
      <c r="A106" t="s">
        <v>35</v>
      </c>
      <c r="B106">
        <v>15402.72</v>
      </c>
    </row>
    <row r="107" spans="1:2" x14ac:dyDescent="0.3">
      <c r="A107" t="s">
        <v>36</v>
      </c>
      <c r="B107">
        <v>15245.3</v>
      </c>
    </row>
    <row r="108" spans="1:2" x14ac:dyDescent="0.3">
      <c r="A108" t="s">
        <v>24</v>
      </c>
      <c r="B108">
        <v>15209.62</v>
      </c>
    </row>
    <row r="109" spans="1:2" x14ac:dyDescent="0.3">
      <c r="A109" t="s">
        <v>27</v>
      </c>
      <c r="B109">
        <v>15182.68</v>
      </c>
    </row>
    <row r="110" spans="1:2" x14ac:dyDescent="0.3">
      <c r="A110" t="s">
        <v>26</v>
      </c>
      <c r="B110">
        <v>15158.99</v>
      </c>
    </row>
    <row r="111" spans="1:2" x14ac:dyDescent="0.3">
      <c r="A111" t="s">
        <v>29</v>
      </c>
      <c r="B111">
        <v>14974.48</v>
      </c>
    </row>
    <row r="112" spans="1:2" x14ac:dyDescent="0.3">
      <c r="A112" t="s">
        <v>26</v>
      </c>
      <c r="B112">
        <v>14957.83</v>
      </c>
    </row>
    <row r="113" spans="1:2" x14ac:dyDescent="0.3">
      <c r="A113" t="s">
        <v>30</v>
      </c>
      <c r="B113">
        <v>14916.13</v>
      </c>
    </row>
    <row r="114" spans="1:2" x14ac:dyDescent="0.3">
      <c r="A114" t="s">
        <v>22</v>
      </c>
      <c r="B114">
        <v>14911.37</v>
      </c>
    </row>
    <row r="115" spans="1:2" x14ac:dyDescent="0.3">
      <c r="A115" t="s">
        <v>27</v>
      </c>
      <c r="B115">
        <v>14895.16</v>
      </c>
    </row>
    <row r="116" spans="1:2" x14ac:dyDescent="0.3">
      <c r="A116" t="s">
        <v>27</v>
      </c>
      <c r="B116">
        <v>14894.34</v>
      </c>
    </row>
    <row r="117" spans="1:2" x14ac:dyDescent="0.3">
      <c r="A117" t="s">
        <v>19</v>
      </c>
      <c r="B117">
        <v>14841.19</v>
      </c>
    </row>
    <row r="118" spans="1:2" x14ac:dyDescent="0.3">
      <c r="A118" t="s">
        <v>14</v>
      </c>
      <c r="B118">
        <v>14840.77</v>
      </c>
    </row>
    <row r="119" spans="1:2" x14ac:dyDescent="0.3">
      <c r="A119" t="s">
        <v>14</v>
      </c>
      <c r="B119">
        <v>14806.1</v>
      </c>
    </row>
    <row r="120" spans="1:2" x14ac:dyDescent="0.3">
      <c r="A120" t="s">
        <v>39</v>
      </c>
      <c r="B120">
        <v>14800.23</v>
      </c>
    </row>
    <row r="121" spans="1:2" x14ac:dyDescent="0.3">
      <c r="A121" t="s">
        <v>22</v>
      </c>
      <c r="B121">
        <v>14788.91</v>
      </c>
    </row>
    <row r="122" spans="1:2" x14ac:dyDescent="0.3">
      <c r="A122" t="s">
        <v>36</v>
      </c>
      <c r="B122">
        <v>14753.36</v>
      </c>
    </row>
    <row r="123" spans="1:2" x14ac:dyDescent="0.3">
      <c r="A123" t="s">
        <v>35</v>
      </c>
      <c r="B123">
        <v>14749.72</v>
      </c>
    </row>
    <row r="124" spans="1:2" x14ac:dyDescent="0.3">
      <c r="A124" t="s">
        <v>28</v>
      </c>
      <c r="B124">
        <v>14714.79</v>
      </c>
    </row>
    <row r="125" spans="1:2" x14ac:dyDescent="0.3">
      <c r="A125" t="s">
        <v>32</v>
      </c>
      <c r="B125">
        <v>14710.25</v>
      </c>
    </row>
    <row r="126" spans="1:2" x14ac:dyDescent="0.3">
      <c r="A126" t="s">
        <v>29</v>
      </c>
      <c r="B126">
        <v>14703.62</v>
      </c>
    </row>
    <row r="127" spans="1:2" x14ac:dyDescent="0.3">
      <c r="A127" t="s">
        <v>38</v>
      </c>
      <c r="B127">
        <v>14643.54</v>
      </c>
    </row>
    <row r="128" spans="1:2" x14ac:dyDescent="0.3">
      <c r="A128" t="s">
        <v>28</v>
      </c>
      <c r="B128">
        <v>14640.5</v>
      </c>
    </row>
    <row r="129" spans="1:2" x14ac:dyDescent="0.3">
      <c r="A129" t="s">
        <v>36</v>
      </c>
      <c r="B129">
        <v>14630.71</v>
      </c>
    </row>
    <row r="130" spans="1:2" x14ac:dyDescent="0.3">
      <c r="A130" t="s">
        <v>27</v>
      </c>
      <c r="B130">
        <v>14582.35</v>
      </c>
    </row>
    <row r="131" spans="1:2" x14ac:dyDescent="0.3">
      <c r="A131" t="s">
        <v>22</v>
      </c>
      <c r="B131">
        <v>14525.44</v>
      </c>
    </row>
    <row r="132" spans="1:2" x14ac:dyDescent="0.3">
      <c r="A132" t="s">
        <v>38</v>
      </c>
      <c r="B132">
        <v>14453.64</v>
      </c>
    </row>
    <row r="133" spans="1:2" x14ac:dyDescent="0.3">
      <c r="A133" t="s">
        <v>26</v>
      </c>
      <c r="B133">
        <v>14360.52</v>
      </c>
    </row>
    <row r="134" spans="1:2" x14ac:dyDescent="0.3">
      <c r="A134" t="s">
        <v>19</v>
      </c>
      <c r="B134">
        <v>14356.85</v>
      </c>
    </row>
    <row r="135" spans="1:2" x14ac:dyDescent="0.3">
      <c r="A135" t="s">
        <v>28</v>
      </c>
      <c r="B135">
        <v>14350.41</v>
      </c>
    </row>
    <row r="136" spans="1:2" x14ac:dyDescent="0.3">
      <c r="A136" t="s">
        <v>19</v>
      </c>
      <c r="B136">
        <v>14277.75</v>
      </c>
    </row>
    <row r="137" spans="1:2" x14ac:dyDescent="0.3">
      <c r="A137" t="s">
        <v>29</v>
      </c>
      <c r="B137">
        <v>14255.9</v>
      </c>
    </row>
    <row r="138" spans="1:2" x14ac:dyDescent="0.3">
      <c r="A138" t="s">
        <v>40</v>
      </c>
      <c r="B138">
        <v>14222.06</v>
      </c>
    </row>
    <row r="139" spans="1:2" x14ac:dyDescent="0.3">
      <c r="A139" t="s">
        <v>30</v>
      </c>
      <c r="B139">
        <v>14183.1</v>
      </c>
    </row>
    <row r="140" spans="1:2" x14ac:dyDescent="0.3">
      <c r="A140" t="s">
        <v>36</v>
      </c>
      <c r="B140">
        <v>14155.02</v>
      </c>
    </row>
    <row r="141" spans="1:2" x14ac:dyDescent="0.3">
      <c r="A141" t="s">
        <v>14</v>
      </c>
      <c r="B141">
        <v>14152.35</v>
      </c>
    </row>
    <row r="142" spans="1:2" x14ac:dyDescent="0.3">
      <c r="A142" t="s">
        <v>22</v>
      </c>
      <c r="B142">
        <v>14151.28</v>
      </c>
    </row>
    <row r="143" spans="1:2" x14ac:dyDescent="0.3">
      <c r="A143" t="s">
        <v>39</v>
      </c>
      <c r="B143">
        <v>14105.36</v>
      </c>
    </row>
    <row r="144" spans="1:2" x14ac:dyDescent="0.3">
      <c r="A144" t="s">
        <v>35</v>
      </c>
      <c r="B144">
        <v>14038.37</v>
      </c>
    </row>
    <row r="145" spans="1:2" x14ac:dyDescent="0.3">
      <c r="A145" t="s">
        <v>17</v>
      </c>
      <c r="B145">
        <v>13967.14</v>
      </c>
    </row>
    <row r="146" spans="1:2" x14ac:dyDescent="0.3">
      <c r="A146" t="s">
        <v>37</v>
      </c>
      <c r="B146">
        <v>13953.83</v>
      </c>
    </row>
    <row r="147" spans="1:2" x14ac:dyDescent="0.3">
      <c r="A147" t="s">
        <v>19</v>
      </c>
      <c r="B147">
        <v>13936.06</v>
      </c>
    </row>
    <row r="148" spans="1:2" x14ac:dyDescent="0.3">
      <c r="A148" t="s">
        <v>35</v>
      </c>
      <c r="B148">
        <v>13907.65</v>
      </c>
    </row>
    <row r="149" spans="1:2" x14ac:dyDescent="0.3">
      <c r="A149" t="s">
        <v>33</v>
      </c>
      <c r="B149">
        <v>13901.74</v>
      </c>
    </row>
    <row r="150" spans="1:2" x14ac:dyDescent="0.3">
      <c r="A150" t="s">
        <v>29</v>
      </c>
      <c r="B150">
        <v>13850</v>
      </c>
    </row>
    <row r="151" spans="1:2" x14ac:dyDescent="0.3">
      <c r="A151" t="s">
        <v>34</v>
      </c>
      <c r="B151">
        <v>13807.58</v>
      </c>
    </row>
    <row r="152" spans="1:2" x14ac:dyDescent="0.3">
      <c r="A152" t="s">
        <v>11</v>
      </c>
      <c r="B152">
        <v>13776.56</v>
      </c>
    </row>
    <row r="153" spans="1:2" x14ac:dyDescent="0.3">
      <c r="A153" t="s">
        <v>39</v>
      </c>
      <c r="B153">
        <v>13766.18</v>
      </c>
    </row>
    <row r="154" spans="1:2" x14ac:dyDescent="0.3">
      <c r="A154" t="s">
        <v>17</v>
      </c>
      <c r="B154">
        <v>13718.2</v>
      </c>
    </row>
    <row r="155" spans="1:2" x14ac:dyDescent="0.3">
      <c r="A155" t="s">
        <v>34</v>
      </c>
      <c r="B155">
        <v>13717.5</v>
      </c>
    </row>
    <row r="156" spans="1:2" x14ac:dyDescent="0.3">
      <c r="A156" t="s">
        <v>27</v>
      </c>
      <c r="B156">
        <v>13702.55</v>
      </c>
    </row>
    <row r="157" spans="1:2" x14ac:dyDescent="0.3">
      <c r="A157" t="s">
        <v>26</v>
      </c>
      <c r="B157">
        <v>13641.95</v>
      </c>
    </row>
    <row r="158" spans="1:2" x14ac:dyDescent="0.3">
      <c r="A158" t="s">
        <v>40</v>
      </c>
      <c r="B158">
        <v>13636.54</v>
      </c>
    </row>
    <row r="159" spans="1:2" x14ac:dyDescent="0.3">
      <c r="A159" t="s">
        <v>37</v>
      </c>
      <c r="B159">
        <v>13597.97</v>
      </c>
    </row>
    <row r="160" spans="1:2" x14ac:dyDescent="0.3">
      <c r="A160" t="s">
        <v>11</v>
      </c>
      <c r="B160">
        <v>13564.36</v>
      </c>
    </row>
    <row r="161" spans="1:2" x14ac:dyDescent="0.3">
      <c r="A161" t="s">
        <v>34</v>
      </c>
      <c r="B161">
        <v>13548.86</v>
      </c>
    </row>
    <row r="162" spans="1:2" x14ac:dyDescent="0.3">
      <c r="A162" t="s">
        <v>11</v>
      </c>
      <c r="B162">
        <v>13493.16</v>
      </c>
    </row>
    <row r="163" spans="1:2" x14ac:dyDescent="0.3">
      <c r="A163" t="s">
        <v>35</v>
      </c>
      <c r="B163">
        <v>13465.91</v>
      </c>
    </row>
    <row r="164" spans="1:2" x14ac:dyDescent="0.3">
      <c r="A164" t="s">
        <v>36</v>
      </c>
      <c r="B164">
        <v>13462.43</v>
      </c>
    </row>
    <row r="165" spans="1:2" x14ac:dyDescent="0.3">
      <c r="A165" t="s">
        <v>24</v>
      </c>
      <c r="B165">
        <v>13375.67</v>
      </c>
    </row>
    <row r="166" spans="1:2" x14ac:dyDescent="0.3">
      <c r="A166" t="s">
        <v>37</v>
      </c>
      <c r="B166">
        <v>13374.57</v>
      </c>
    </row>
    <row r="167" spans="1:2" x14ac:dyDescent="0.3">
      <c r="A167" t="s">
        <v>14</v>
      </c>
      <c r="B167">
        <v>13350.77</v>
      </c>
    </row>
    <row r="168" spans="1:2" x14ac:dyDescent="0.3">
      <c r="A168" t="s">
        <v>14</v>
      </c>
      <c r="B168">
        <v>13332.51</v>
      </c>
    </row>
    <row r="169" spans="1:2" x14ac:dyDescent="0.3">
      <c r="A169" t="s">
        <v>22</v>
      </c>
      <c r="B169">
        <v>13323.15</v>
      </c>
    </row>
    <row r="170" spans="1:2" x14ac:dyDescent="0.3">
      <c r="A170" t="s">
        <v>30</v>
      </c>
      <c r="B170">
        <v>13312.4</v>
      </c>
    </row>
    <row r="171" spans="1:2" x14ac:dyDescent="0.3">
      <c r="A171" t="s">
        <v>24</v>
      </c>
      <c r="B171">
        <v>13263.6</v>
      </c>
    </row>
    <row r="172" spans="1:2" x14ac:dyDescent="0.3">
      <c r="A172" t="s">
        <v>40</v>
      </c>
      <c r="B172">
        <v>13260.85</v>
      </c>
    </row>
    <row r="173" spans="1:2" x14ac:dyDescent="0.3">
      <c r="A173" t="s">
        <v>39</v>
      </c>
      <c r="B173">
        <v>13226</v>
      </c>
    </row>
    <row r="174" spans="1:2" x14ac:dyDescent="0.3">
      <c r="A174" t="s">
        <v>24</v>
      </c>
      <c r="B174">
        <v>13219.18</v>
      </c>
    </row>
    <row r="175" spans="1:2" x14ac:dyDescent="0.3">
      <c r="A175" t="s">
        <v>17</v>
      </c>
      <c r="B175">
        <v>13193.63</v>
      </c>
    </row>
    <row r="176" spans="1:2" x14ac:dyDescent="0.3">
      <c r="A176" t="s">
        <v>29</v>
      </c>
      <c r="B176">
        <v>13184.63</v>
      </c>
    </row>
    <row r="177" spans="1:2" x14ac:dyDescent="0.3">
      <c r="A177" t="s">
        <v>39</v>
      </c>
      <c r="B177">
        <v>13180.49</v>
      </c>
    </row>
    <row r="178" spans="1:2" x14ac:dyDescent="0.3">
      <c r="A178" t="s">
        <v>33</v>
      </c>
      <c r="B178">
        <v>13098.96</v>
      </c>
    </row>
    <row r="179" spans="1:2" x14ac:dyDescent="0.3">
      <c r="A179" t="s">
        <v>30</v>
      </c>
      <c r="B179">
        <v>13086.66</v>
      </c>
    </row>
    <row r="180" spans="1:2" x14ac:dyDescent="0.3">
      <c r="A180" t="s">
        <v>22</v>
      </c>
      <c r="B180">
        <v>13085.25</v>
      </c>
    </row>
    <row r="181" spans="1:2" x14ac:dyDescent="0.3">
      <c r="A181" t="s">
        <v>39</v>
      </c>
      <c r="B181">
        <v>13083.23</v>
      </c>
    </row>
    <row r="182" spans="1:2" x14ac:dyDescent="0.3">
      <c r="A182" t="s">
        <v>19</v>
      </c>
      <c r="B182">
        <v>13079.72</v>
      </c>
    </row>
    <row r="183" spans="1:2" x14ac:dyDescent="0.3">
      <c r="A183" t="s">
        <v>22</v>
      </c>
      <c r="B183">
        <v>13046.77</v>
      </c>
    </row>
    <row r="184" spans="1:2" x14ac:dyDescent="0.3">
      <c r="A184" t="s">
        <v>22</v>
      </c>
      <c r="B184">
        <v>13023.01</v>
      </c>
    </row>
    <row r="185" spans="1:2" x14ac:dyDescent="0.3">
      <c r="A185" t="s">
        <v>29</v>
      </c>
      <c r="B185">
        <v>13018.9</v>
      </c>
    </row>
    <row r="186" spans="1:2" x14ac:dyDescent="0.3">
      <c r="A186" t="s">
        <v>14</v>
      </c>
      <c r="B186">
        <v>13017.37</v>
      </c>
    </row>
    <row r="187" spans="1:2" x14ac:dyDescent="0.3">
      <c r="A187" t="s">
        <v>32</v>
      </c>
      <c r="B187">
        <v>12987.09</v>
      </c>
    </row>
    <row r="188" spans="1:2" x14ac:dyDescent="0.3">
      <c r="A188" t="s">
        <v>11</v>
      </c>
      <c r="B188">
        <v>12957.12</v>
      </c>
    </row>
    <row r="189" spans="1:2" x14ac:dyDescent="0.3">
      <c r="A189" t="s">
        <v>22</v>
      </c>
      <c r="B189">
        <v>12956.18</v>
      </c>
    </row>
    <row r="190" spans="1:2" x14ac:dyDescent="0.3">
      <c r="A190" t="s">
        <v>40</v>
      </c>
      <c r="B190">
        <v>12943.02</v>
      </c>
    </row>
    <row r="191" spans="1:2" x14ac:dyDescent="0.3">
      <c r="A191" t="s">
        <v>11</v>
      </c>
      <c r="B191">
        <v>12938.7</v>
      </c>
    </row>
    <row r="192" spans="1:2" x14ac:dyDescent="0.3">
      <c r="A192" t="s">
        <v>14</v>
      </c>
      <c r="B192">
        <v>12910.8</v>
      </c>
    </row>
    <row r="193" spans="1:2" x14ac:dyDescent="0.3">
      <c r="A193" t="s">
        <v>29</v>
      </c>
      <c r="B193">
        <v>12880.26</v>
      </c>
    </row>
    <row r="194" spans="1:2" x14ac:dyDescent="0.3">
      <c r="A194" t="s">
        <v>36</v>
      </c>
      <c r="B194">
        <v>12805.84</v>
      </c>
    </row>
    <row r="195" spans="1:2" x14ac:dyDescent="0.3">
      <c r="A195" t="s">
        <v>39</v>
      </c>
      <c r="B195">
        <v>12805.76</v>
      </c>
    </row>
    <row r="196" spans="1:2" x14ac:dyDescent="0.3">
      <c r="A196" t="s">
        <v>40</v>
      </c>
      <c r="B196">
        <v>12804.71</v>
      </c>
    </row>
    <row r="197" spans="1:2" x14ac:dyDescent="0.3">
      <c r="A197" t="s">
        <v>35</v>
      </c>
      <c r="B197">
        <v>12799.01</v>
      </c>
    </row>
    <row r="198" spans="1:2" x14ac:dyDescent="0.3">
      <c r="A198" t="s">
        <v>22</v>
      </c>
      <c r="B198">
        <v>12722.38</v>
      </c>
    </row>
    <row r="199" spans="1:2" x14ac:dyDescent="0.3">
      <c r="A199" t="s">
        <v>27</v>
      </c>
      <c r="B199">
        <v>12716.96</v>
      </c>
    </row>
    <row r="200" spans="1:2" x14ac:dyDescent="0.3">
      <c r="A200" t="s">
        <v>19</v>
      </c>
      <c r="B200">
        <v>12711.29</v>
      </c>
    </row>
    <row r="201" spans="1:2" x14ac:dyDescent="0.3">
      <c r="A201" t="s">
        <v>29</v>
      </c>
      <c r="B201">
        <v>12688.15</v>
      </c>
    </row>
    <row r="202" spans="1:2" x14ac:dyDescent="0.3">
      <c r="A202" t="s">
        <v>11</v>
      </c>
      <c r="B202">
        <v>12598.33</v>
      </c>
    </row>
    <row r="203" spans="1:2" x14ac:dyDescent="0.3">
      <c r="A203" t="s">
        <v>34</v>
      </c>
      <c r="B203">
        <v>12558.43</v>
      </c>
    </row>
    <row r="204" spans="1:2" x14ac:dyDescent="0.3">
      <c r="A204" t="s">
        <v>17</v>
      </c>
      <c r="B204">
        <v>12517.51</v>
      </c>
    </row>
    <row r="205" spans="1:2" x14ac:dyDescent="0.3">
      <c r="A205" t="s">
        <v>36</v>
      </c>
      <c r="B205">
        <v>12468.59</v>
      </c>
    </row>
    <row r="206" spans="1:2" x14ac:dyDescent="0.3">
      <c r="A206" t="s">
        <v>39</v>
      </c>
      <c r="B206">
        <v>12404.55</v>
      </c>
    </row>
    <row r="207" spans="1:2" x14ac:dyDescent="0.3">
      <c r="A207" t="s">
        <v>24</v>
      </c>
      <c r="B207">
        <v>12396.69</v>
      </c>
    </row>
    <row r="208" spans="1:2" x14ac:dyDescent="0.3">
      <c r="A208" t="s">
        <v>34</v>
      </c>
      <c r="B208">
        <v>12382.87</v>
      </c>
    </row>
    <row r="209" spans="1:2" x14ac:dyDescent="0.3">
      <c r="A209" t="s">
        <v>40</v>
      </c>
      <c r="B209">
        <v>12296.44</v>
      </c>
    </row>
    <row r="210" spans="1:2" x14ac:dyDescent="0.3">
      <c r="A210" t="s">
        <v>22</v>
      </c>
      <c r="B210">
        <v>12255.57</v>
      </c>
    </row>
    <row r="211" spans="1:2" x14ac:dyDescent="0.3">
      <c r="A211" t="s">
        <v>27</v>
      </c>
      <c r="B211">
        <v>12238.16</v>
      </c>
    </row>
    <row r="212" spans="1:2" x14ac:dyDescent="0.3">
      <c r="A212" t="s">
        <v>24</v>
      </c>
      <c r="B212">
        <v>12225.24</v>
      </c>
    </row>
    <row r="213" spans="1:2" x14ac:dyDescent="0.3">
      <c r="A213" t="s">
        <v>38</v>
      </c>
      <c r="B213">
        <v>12207.23</v>
      </c>
    </row>
    <row r="214" spans="1:2" x14ac:dyDescent="0.3">
      <c r="A214" t="s">
        <v>19</v>
      </c>
      <c r="B214">
        <v>12174.62</v>
      </c>
    </row>
    <row r="215" spans="1:2" x14ac:dyDescent="0.3">
      <c r="A215" t="s">
        <v>37</v>
      </c>
      <c r="B215">
        <v>12151.36</v>
      </c>
    </row>
    <row r="216" spans="1:2" x14ac:dyDescent="0.3">
      <c r="A216" t="s">
        <v>14</v>
      </c>
      <c r="B216">
        <v>12143.34</v>
      </c>
    </row>
    <row r="217" spans="1:2" x14ac:dyDescent="0.3">
      <c r="A217" t="s">
        <v>11</v>
      </c>
      <c r="B217">
        <v>12100.39</v>
      </c>
    </row>
    <row r="218" spans="1:2" x14ac:dyDescent="0.3">
      <c r="A218" t="s">
        <v>38</v>
      </c>
      <c r="B218">
        <v>12095.54</v>
      </c>
    </row>
    <row r="219" spans="1:2" x14ac:dyDescent="0.3">
      <c r="A219" t="s">
        <v>26</v>
      </c>
      <c r="B219">
        <v>12086.68</v>
      </c>
    </row>
    <row r="220" spans="1:2" x14ac:dyDescent="0.3">
      <c r="A220" t="s">
        <v>38</v>
      </c>
      <c r="B220">
        <v>12014.19</v>
      </c>
    </row>
    <row r="221" spans="1:2" x14ac:dyDescent="0.3">
      <c r="A221" t="s">
        <v>33</v>
      </c>
      <c r="B221">
        <v>11992.06</v>
      </c>
    </row>
    <row r="222" spans="1:2" x14ac:dyDescent="0.3">
      <c r="A222" t="s">
        <v>33</v>
      </c>
      <c r="B222">
        <v>11958.58</v>
      </c>
    </row>
    <row r="223" spans="1:2" x14ac:dyDescent="0.3">
      <c r="A223" t="s">
        <v>27</v>
      </c>
      <c r="B223">
        <v>11929.28</v>
      </c>
    </row>
    <row r="224" spans="1:2" x14ac:dyDescent="0.3">
      <c r="A224" t="s">
        <v>35</v>
      </c>
      <c r="B224">
        <v>11870.68</v>
      </c>
    </row>
    <row r="225" spans="1:2" x14ac:dyDescent="0.3">
      <c r="A225" t="s">
        <v>27</v>
      </c>
      <c r="B225">
        <v>11861.21</v>
      </c>
    </row>
    <row r="226" spans="1:2" x14ac:dyDescent="0.3">
      <c r="A226" t="s">
        <v>19</v>
      </c>
      <c r="B226">
        <v>11852.59</v>
      </c>
    </row>
    <row r="227" spans="1:2" x14ac:dyDescent="0.3">
      <c r="A227" t="s">
        <v>39</v>
      </c>
      <c r="B227">
        <v>11838.27</v>
      </c>
    </row>
    <row r="228" spans="1:2" x14ac:dyDescent="0.3">
      <c r="A228" t="s">
        <v>11</v>
      </c>
      <c r="B228">
        <v>11830.81</v>
      </c>
    </row>
    <row r="229" spans="1:2" x14ac:dyDescent="0.3">
      <c r="A229" t="s">
        <v>29</v>
      </c>
      <c r="B229">
        <v>11811.55</v>
      </c>
    </row>
    <row r="230" spans="1:2" x14ac:dyDescent="0.3">
      <c r="A230" t="s">
        <v>24</v>
      </c>
      <c r="B230">
        <v>11796.11</v>
      </c>
    </row>
    <row r="231" spans="1:2" x14ac:dyDescent="0.3">
      <c r="A231" t="s">
        <v>32</v>
      </c>
      <c r="B231">
        <v>11784.37</v>
      </c>
    </row>
    <row r="232" spans="1:2" x14ac:dyDescent="0.3">
      <c r="A232" t="s">
        <v>29</v>
      </c>
      <c r="B232">
        <v>11784.26</v>
      </c>
    </row>
    <row r="233" spans="1:2" x14ac:dyDescent="0.3">
      <c r="A233" t="s">
        <v>35</v>
      </c>
      <c r="B233">
        <v>11721.75</v>
      </c>
    </row>
    <row r="234" spans="1:2" x14ac:dyDescent="0.3">
      <c r="A234" t="s">
        <v>22</v>
      </c>
      <c r="B234">
        <v>11717.47</v>
      </c>
    </row>
    <row r="235" spans="1:2" x14ac:dyDescent="0.3">
      <c r="A235" t="s">
        <v>34</v>
      </c>
      <c r="B235">
        <v>11714.86</v>
      </c>
    </row>
    <row r="236" spans="1:2" x14ac:dyDescent="0.3">
      <c r="A236" t="s">
        <v>17</v>
      </c>
      <c r="B236">
        <v>11689.44</v>
      </c>
    </row>
    <row r="237" spans="1:2" x14ac:dyDescent="0.3">
      <c r="A237" t="s">
        <v>24</v>
      </c>
      <c r="B237">
        <v>11682.36</v>
      </c>
    </row>
    <row r="238" spans="1:2" x14ac:dyDescent="0.3">
      <c r="A238" t="s">
        <v>40</v>
      </c>
      <c r="B238">
        <v>11662.84</v>
      </c>
    </row>
    <row r="239" spans="1:2" x14ac:dyDescent="0.3">
      <c r="A239" t="s">
        <v>29</v>
      </c>
      <c r="B239">
        <v>11598.03</v>
      </c>
    </row>
    <row r="240" spans="1:2" x14ac:dyDescent="0.3">
      <c r="A240" t="s">
        <v>26</v>
      </c>
      <c r="B240">
        <v>11596.06</v>
      </c>
    </row>
    <row r="241" spans="1:2" x14ac:dyDescent="0.3">
      <c r="A241" t="s">
        <v>38</v>
      </c>
      <c r="B241">
        <v>11575.7</v>
      </c>
    </row>
    <row r="242" spans="1:2" x14ac:dyDescent="0.3">
      <c r="A242" t="s">
        <v>29</v>
      </c>
      <c r="B242">
        <v>11441.83</v>
      </c>
    </row>
    <row r="243" spans="1:2" x14ac:dyDescent="0.3">
      <c r="A243" t="s">
        <v>26</v>
      </c>
      <c r="B243">
        <v>11394.72</v>
      </c>
    </row>
    <row r="244" spans="1:2" x14ac:dyDescent="0.3">
      <c r="A244" t="s">
        <v>24</v>
      </c>
      <c r="B244">
        <v>11367.02</v>
      </c>
    </row>
    <row r="245" spans="1:2" x14ac:dyDescent="0.3">
      <c r="A245" t="s">
        <v>39</v>
      </c>
      <c r="B245">
        <v>11349.27</v>
      </c>
    </row>
    <row r="246" spans="1:2" x14ac:dyDescent="0.3">
      <c r="A246" t="s">
        <v>27</v>
      </c>
      <c r="B246">
        <v>11280.76</v>
      </c>
    </row>
    <row r="247" spans="1:2" x14ac:dyDescent="0.3">
      <c r="A247" t="s">
        <v>32</v>
      </c>
      <c r="B247">
        <v>11267.92</v>
      </c>
    </row>
    <row r="248" spans="1:2" x14ac:dyDescent="0.3">
      <c r="A248" t="s">
        <v>26</v>
      </c>
      <c r="B248">
        <v>11263.52</v>
      </c>
    </row>
    <row r="249" spans="1:2" x14ac:dyDescent="0.3">
      <c r="A249" t="s">
        <v>29</v>
      </c>
      <c r="B249">
        <v>11259.88</v>
      </c>
    </row>
    <row r="250" spans="1:2" x14ac:dyDescent="0.3">
      <c r="A250" t="s">
        <v>14</v>
      </c>
      <c r="B250">
        <v>11219.24</v>
      </c>
    </row>
    <row r="251" spans="1:2" x14ac:dyDescent="0.3">
      <c r="A251" t="s">
        <v>28</v>
      </c>
      <c r="B251">
        <v>11188.18</v>
      </c>
    </row>
    <row r="252" spans="1:2" x14ac:dyDescent="0.3">
      <c r="A252" t="s">
        <v>14</v>
      </c>
      <c r="B252">
        <v>11185.72</v>
      </c>
    </row>
    <row r="253" spans="1:2" x14ac:dyDescent="0.3">
      <c r="A253" t="s">
        <v>17</v>
      </c>
      <c r="B253">
        <v>11180.46</v>
      </c>
    </row>
    <row r="254" spans="1:2" x14ac:dyDescent="0.3">
      <c r="A254" t="s">
        <v>27</v>
      </c>
      <c r="B254">
        <v>11061.31</v>
      </c>
    </row>
    <row r="255" spans="1:2" x14ac:dyDescent="0.3">
      <c r="A255" t="s">
        <v>27</v>
      </c>
      <c r="B255">
        <v>11007.55</v>
      </c>
    </row>
    <row r="256" spans="1:2" x14ac:dyDescent="0.3">
      <c r="A256" t="s">
        <v>34</v>
      </c>
      <c r="B256">
        <v>10984.7</v>
      </c>
    </row>
    <row r="257" spans="1:2" x14ac:dyDescent="0.3">
      <c r="A257" t="s">
        <v>37</v>
      </c>
      <c r="B257">
        <v>10981.95</v>
      </c>
    </row>
    <row r="258" spans="1:2" x14ac:dyDescent="0.3">
      <c r="A258" t="s">
        <v>38</v>
      </c>
      <c r="B258">
        <v>10966.05</v>
      </c>
    </row>
    <row r="259" spans="1:2" x14ac:dyDescent="0.3">
      <c r="A259" t="s">
        <v>40</v>
      </c>
      <c r="B259">
        <v>10964.35</v>
      </c>
    </row>
    <row r="260" spans="1:2" x14ac:dyDescent="0.3">
      <c r="A260" t="s">
        <v>35</v>
      </c>
      <c r="B260">
        <v>10946.02</v>
      </c>
    </row>
    <row r="261" spans="1:2" x14ac:dyDescent="0.3">
      <c r="A261" t="s">
        <v>28</v>
      </c>
      <c r="B261">
        <v>10902.31</v>
      </c>
    </row>
    <row r="262" spans="1:2" x14ac:dyDescent="0.3">
      <c r="A262" t="s">
        <v>37</v>
      </c>
      <c r="B262">
        <v>10889.27</v>
      </c>
    </row>
    <row r="263" spans="1:2" x14ac:dyDescent="0.3">
      <c r="A263" t="s">
        <v>40</v>
      </c>
      <c r="B263">
        <v>10885.92</v>
      </c>
    </row>
    <row r="264" spans="1:2" x14ac:dyDescent="0.3">
      <c r="A264" t="s">
        <v>30</v>
      </c>
      <c r="B264">
        <v>10878.06</v>
      </c>
    </row>
    <row r="265" spans="1:2" x14ac:dyDescent="0.3">
      <c r="A265" t="s">
        <v>33</v>
      </c>
      <c r="B265">
        <v>10853.44</v>
      </c>
    </row>
    <row r="266" spans="1:2" x14ac:dyDescent="0.3">
      <c r="A266" t="s">
        <v>14</v>
      </c>
      <c r="B266">
        <v>10852.34</v>
      </c>
    </row>
    <row r="267" spans="1:2" x14ac:dyDescent="0.3">
      <c r="A267" t="s">
        <v>37</v>
      </c>
      <c r="B267">
        <v>10838.8</v>
      </c>
    </row>
    <row r="268" spans="1:2" x14ac:dyDescent="0.3">
      <c r="A268" t="s">
        <v>30</v>
      </c>
      <c r="B268">
        <v>10796.88</v>
      </c>
    </row>
    <row r="269" spans="1:2" x14ac:dyDescent="0.3">
      <c r="A269" t="s">
        <v>17</v>
      </c>
      <c r="B269">
        <v>10746.96</v>
      </c>
    </row>
    <row r="270" spans="1:2" x14ac:dyDescent="0.3">
      <c r="A270" t="s">
        <v>29</v>
      </c>
      <c r="B270">
        <v>10726.19</v>
      </c>
    </row>
    <row r="271" spans="1:2" x14ac:dyDescent="0.3">
      <c r="A271" t="s">
        <v>30</v>
      </c>
      <c r="B271">
        <v>10706.53</v>
      </c>
    </row>
    <row r="272" spans="1:2" x14ac:dyDescent="0.3">
      <c r="A272" t="s">
        <v>28</v>
      </c>
      <c r="B272">
        <v>10685.43</v>
      </c>
    </row>
    <row r="273" spans="1:2" x14ac:dyDescent="0.3">
      <c r="A273" t="s">
        <v>30</v>
      </c>
      <c r="B273">
        <v>10663.3</v>
      </c>
    </row>
    <row r="274" spans="1:2" x14ac:dyDescent="0.3">
      <c r="A274" t="s">
        <v>35</v>
      </c>
      <c r="B274">
        <v>10630.78</v>
      </c>
    </row>
    <row r="275" spans="1:2" x14ac:dyDescent="0.3">
      <c r="A275" t="s">
        <v>39</v>
      </c>
      <c r="B275">
        <v>10605.65</v>
      </c>
    </row>
    <row r="276" spans="1:2" x14ac:dyDescent="0.3">
      <c r="A276" t="s">
        <v>22</v>
      </c>
      <c r="B276">
        <v>10604.72</v>
      </c>
    </row>
    <row r="277" spans="1:2" x14ac:dyDescent="0.3">
      <c r="A277" t="s">
        <v>19</v>
      </c>
      <c r="B277">
        <v>10568.85</v>
      </c>
    </row>
    <row r="278" spans="1:2" x14ac:dyDescent="0.3">
      <c r="A278" t="s">
        <v>22</v>
      </c>
      <c r="B278">
        <v>10409.33</v>
      </c>
    </row>
    <row r="279" spans="1:2" x14ac:dyDescent="0.3">
      <c r="A279" t="s">
        <v>28</v>
      </c>
      <c r="B279">
        <v>10397.34</v>
      </c>
    </row>
    <row r="280" spans="1:2" x14ac:dyDescent="0.3">
      <c r="A280" t="s">
        <v>22</v>
      </c>
      <c r="B280">
        <v>10391.02</v>
      </c>
    </row>
    <row r="281" spans="1:2" x14ac:dyDescent="0.3">
      <c r="A281" t="s">
        <v>35</v>
      </c>
      <c r="B281">
        <v>10356.08</v>
      </c>
    </row>
    <row r="282" spans="1:2" x14ac:dyDescent="0.3">
      <c r="A282" t="s">
        <v>38</v>
      </c>
      <c r="B282">
        <v>10342.56</v>
      </c>
    </row>
    <row r="283" spans="1:2" x14ac:dyDescent="0.3">
      <c r="A283" t="s">
        <v>33</v>
      </c>
      <c r="B283">
        <v>10218.36</v>
      </c>
    </row>
    <row r="284" spans="1:2" x14ac:dyDescent="0.3">
      <c r="A284" t="s">
        <v>29</v>
      </c>
      <c r="B284">
        <v>10203.01</v>
      </c>
    </row>
    <row r="285" spans="1:2" x14ac:dyDescent="0.3">
      <c r="A285" t="s">
        <v>37</v>
      </c>
      <c r="B285">
        <v>10196.1</v>
      </c>
    </row>
    <row r="286" spans="1:2" x14ac:dyDescent="0.3">
      <c r="A286" t="s">
        <v>29</v>
      </c>
      <c r="B286">
        <v>10172.02</v>
      </c>
    </row>
    <row r="287" spans="1:2" x14ac:dyDescent="0.3">
      <c r="A287" t="s">
        <v>34</v>
      </c>
      <c r="B287">
        <v>10163.61</v>
      </c>
    </row>
    <row r="288" spans="1:2" x14ac:dyDescent="0.3">
      <c r="A288" t="s">
        <v>39</v>
      </c>
      <c r="B288">
        <v>10133.14</v>
      </c>
    </row>
    <row r="289" spans="1:2" x14ac:dyDescent="0.3">
      <c r="A289" t="s">
        <v>36</v>
      </c>
      <c r="B289">
        <v>10085.26</v>
      </c>
    </row>
    <row r="290" spans="1:2" x14ac:dyDescent="0.3">
      <c r="A290" t="s">
        <v>29</v>
      </c>
      <c r="B290">
        <v>10043.77</v>
      </c>
    </row>
    <row r="291" spans="1:2" x14ac:dyDescent="0.3">
      <c r="A291" t="s">
        <v>22</v>
      </c>
      <c r="B291">
        <v>10033.91</v>
      </c>
    </row>
    <row r="292" spans="1:2" x14ac:dyDescent="0.3">
      <c r="A292" t="s">
        <v>39</v>
      </c>
      <c r="B292">
        <v>10022.74</v>
      </c>
    </row>
    <row r="293" spans="1:2" x14ac:dyDescent="0.3">
      <c r="A293" t="s">
        <v>37</v>
      </c>
      <c r="B293">
        <v>10018.43</v>
      </c>
    </row>
    <row r="294" spans="1:2" x14ac:dyDescent="0.3">
      <c r="A294" t="s">
        <v>24</v>
      </c>
      <c r="B294">
        <v>9964.4599999999991</v>
      </c>
    </row>
    <row r="295" spans="1:2" x14ac:dyDescent="0.3">
      <c r="A295" t="s">
        <v>26</v>
      </c>
      <c r="B295">
        <v>9886.06</v>
      </c>
    </row>
    <row r="296" spans="1:2" x14ac:dyDescent="0.3">
      <c r="A296" t="s">
        <v>26</v>
      </c>
      <c r="B296">
        <v>9881.43</v>
      </c>
    </row>
    <row r="297" spans="1:2" x14ac:dyDescent="0.3">
      <c r="A297" t="s">
        <v>27</v>
      </c>
      <c r="B297">
        <v>9868.15</v>
      </c>
    </row>
    <row r="298" spans="1:2" x14ac:dyDescent="0.3">
      <c r="A298" t="s">
        <v>19</v>
      </c>
      <c r="B298">
        <v>9836.4699999999993</v>
      </c>
    </row>
    <row r="299" spans="1:2" x14ac:dyDescent="0.3">
      <c r="A299" t="s">
        <v>24</v>
      </c>
      <c r="B299">
        <v>9805.51</v>
      </c>
    </row>
    <row r="300" spans="1:2" x14ac:dyDescent="0.3">
      <c r="A300" t="s">
        <v>30</v>
      </c>
      <c r="B300">
        <v>9791.25</v>
      </c>
    </row>
    <row r="301" spans="1:2" x14ac:dyDescent="0.3">
      <c r="A301" t="s">
        <v>19</v>
      </c>
      <c r="B301">
        <v>9781.9599999999991</v>
      </c>
    </row>
    <row r="302" spans="1:2" x14ac:dyDescent="0.3">
      <c r="A302" t="s">
        <v>32</v>
      </c>
      <c r="B302">
        <v>9780.7000000000007</v>
      </c>
    </row>
    <row r="303" spans="1:2" x14ac:dyDescent="0.3">
      <c r="A303" t="s">
        <v>27</v>
      </c>
      <c r="B303">
        <v>9768.7199999999993</v>
      </c>
    </row>
    <row r="304" spans="1:2" x14ac:dyDescent="0.3">
      <c r="A304" t="s">
        <v>34</v>
      </c>
      <c r="B304">
        <v>9765.86</v>
      </c>
    </row>
    <row r="305" spans="1:2" x14ac:dyDescent="0.3">
      <c r="A305" t="s">
        <v>35</v>
      </c>
      <c r="B305">
        <v>9730.5400000000009</v>
      </c>
    </row>
    <row r="306" spans="1:2" x14ac:dyDescent="0.3">
      <c r="A306" t="s">
        <v>24</v>
      </c>
      <c r="B306">
        <v>9728.39</v>
      </c>
    </row>
    <row r="307" spans="1:2" x14ac:dyDescent="0.3">
      <c r="A307" t="s">
        <v>17</v>
      </c>
      <c r="B307">
        <v>9687.4</v>
      </c>
    </row>
    <row r="308" spans="1:2" x14ac:dyDescent="0.3">
      <c r="A308" t="s">
        <v>29</v>
      </c>
      <c r="B308">
        <v>9608.2999999999993</v>
      </c>
    </row>
    <row r="309" spans="1:2" x14ac:dyDescent="0.3">
      <c r="A309" t="s">
        <v>32</v>
      </c>
      <c r="B309">
        <v>9598.61</v>
      </c>
    </row>
    <row r="310" spans="1:2" x14ac:dyDescent="0.3">
      <c r="A310" t="s">
        <v>11</v>
      </c>
      <c r="B310">
        <v>9535.0499999999993</v>
      </c>
    </row>
    <row r="311" spans="1:2" x14ac:dyDescent="0.3">
      <c r="A311" t="s">
        <v>36</v>
      </c>
      <c r="B311">
        <v>9531.73</v>
      </c>
    </row>
    <row r="312" spans="1:2" x14ac:dyDescent="0.3">
      <c r="A312" t="s">
        <v>30</v>
      </c>
      <c r="B312">
        <v>9528.52</v>
      </c>
    </row>
    <row r="313" spans="1:2" x14ac:dyDescent="0.3">
      <c r="A313" t="s">
        <v>36</v>
      </c>
      <c r="B313">
        <v>9472.16</v>
      </c>
    </row>
    <row r="314" spans="1:2" x14ac:dyDescent="0.3">
      <c r="A314" t="s">
        <v>40</v>
      </c>
      <c r="B314">
        <v>9457.94</v>
      </c>
    </row>
    <row r="315" spans="1:2" x14ac:dyDescent="0.3">
      <c r="A315" t="s">
        <v>35</v>
      </c>
      <c r="B315">
        <v>9383.07</v>
      </c>
    </row>
    <row r="316" spans="1:2" x14ac:dyDescent="0.3">
      <c r="A316" t="s">
        <v>28</v>
      </c>
      <c r="B316">
        <v>9381.77</v>
      </c>
    </row>
    <row r="317" spans="1:2" x14ac:dyDescent="0.3">
      <c r="A317" t="s">
        <v>36</v>
      </c>
      <c r="B317">
        <v>9359.94</v>
      </c>
    </row>
    <row r="318" spans="1:2" x14ac:dyDescent="0.3">
      <c r="A318" t="s">
        <v>33</v>
      </c>
      <c r="B318">
        <v>9334.93</v>
      </c>
    </row>
    <row r="319" spans="1:2" x14ac:dyDescent="0.3">
      <c r="A319" t="s">
        <v>40</v>
      </c>
      <c r="B319">
        <v>9326.5499999999993</v>
      </c>
    </row>
    <row r="320" spans="1:2" x14ac:dyDescent="0.3">
      <c r="A320" t="s">
        <v>22</v>
      </c>
      <c r="B320">
        <v>9310.02</v>
      </c>
    </row>
    <row r="321" spans="1:2" x14ac:dyDescent="0.3">
      <c r="A321" t="s">
        <v>24</v>
      </c>
      <c r="B321">
        <v>9307.27</v>
      </c>
    </row>
    <row r="322" spans="1:2" x14ac:dyDescent="0.3">
      <c r="A322" t="s">
        <v>11</v>
      </c>
      <c r="B322">
        <v>9292.0499999999993</v>
      </c>
    </row>
    <row r="323" spans="1:2" x14ac:dyDescent="0.3">
      <c r="A323" t="s">
        <v>26</v>
      </c>
      <c r="B323">
        <v>9266.41</v>
      </c>
    </row>
    <row r="324" spans="1:2" x14ac:dyDescent="0.3">
      <c r="A324" t="s">
        <v>19</v>
      </c>
      <c r="B324">
        <v>9215.7199999999993</v>
      </c>
    </row>
    <row r="325" spans="1:2" x14ac:dyDescent="0.3">
      <c r="A325" t="s">
        <v>14</v>
      </c>
      <c r="B325">
        <v>9189.91</v>
      </c>
    </row>
    <row r="326" spans="1:2" x14ac:dyDescent="0.3">
      <c r="A326" t="s">
        <v>22</v>
      </c>
      <c r="B326">
        <v>9168.01</v>
      </c>
    </row>
    <row r="327" spans="1:2" x14ac:dyDescent="0.3">
      <c r="A327" t="s">
        <v>11</v>
      </c>
      <c r="B327">
        <v>9075.7900000000009</v>
      </c>
    </row>
    <row r="328" spans="1:2" x14ac:dyDescent="0.3">
      <c r="A328" t="s">
        <v>24</v>
      </c>
      <c r="B328">
        <v>8979.24</v>
      </c>
    </row>
    <row r="329" spans="1:2" x14ac:dyDescent="0.3">
      <c r="A329" t="s">
        <v>33</v>
      </c>
      <c r="B329">
        <v>8911.2999999999993</v>
      </c>
    </row>
    <row r="330" spans="1:2" x14ac:dyDescent="0.3">
      <c r="A330" t="s">
        <v>34</v>
      </c>
      <c r="B330">
        <v>8886.74</v>
      </c>
    </row>
    <row r="331" spans="1:2" x14ac:dyDescent="0.3">
      <c r="A331" t="s">
        <v>14</v>
      </c>
      <c r="B331">
        <v>8885.34</v>
      </c>
    </row>
    <row r="332" spans="1:2" x14ac:dyDescent="0.3">
      <c r="A332" t="s">
        <v>30</v>
      </c>
      <c r="B332">
        <v>8870.85</v>
      </c>
    </row>
    <row r="333" spans="1:2" x14ac:dyDescent="0.3">
      <c r="A333" t="s">
        <v>39</v>
      </c>
      <c r="B333">
        <v>8862.4599999999991</v>
      </c>
    </row>
    <row r="334" spans="1:2" x14ac:dyDescent="0.3">
      <c r="A334" t="s">
        <v>24</v>
      </c>
      <c r="B334">
        <v>8853.9</v>
      </c>
    </row>
    <row r="335" spans="1:2" x14ac:dyDescent="0.3">
      <c r="A335" t="s">
        <v>37</v>
      </c>
      <c r="B335">
        <v>8827.44</v>
      </c>
    </row>
    <row r="336" spans="1:2" x14ac:dyDescent="0.3">
      <c r="A336" t="s">
        <v>26</v>
      </c>
      <c r="B336">
        <v>8774.7199999999993</v>
      </c>
    </row>
    <row r="337" spans="1:2" x14ac:dyDescent="0.3">
      <c r="A337" t="s">
        <v>29</v>
      </c>
      <c r="B337">
        <v>8756.34</v>
      </c>
    </row>
    <row r="338" spans="1:2" x14ac:dyDescent="0.3">
      <c r="A338" t="s">
        <v>11</v>
      </c>
      <c r="B338">
        <v>8745.2199999999993</v>
      </c>
    </row>
    <row r="339" spans="1:2" x14ac:dyDescent="0.3">
      <c r="A339" t="s">
        <v>28</v>
      </c>
      <c r="B339">
        <v>8737.6299999999992</v>
      </c>
    </row>
    <row r="340" spans="1:2" x14ac:dyDescent="0.3">
      <c r="A340" t="s">
        <v>24</v>
      </c>
      <c r="B340">
        <v>8712.65</v>
      </c>
    </row>
    <row r="341" spans="1:2" x14ac:dyDescent="0.3">
      <c r="A341" t="s">
        <v>30</v>
      </c>
      <c r="B341">
        <v>8695.9500000000007</v>
      </c>
    </row>
    <row r="342" spans="1:2" x14ac:dyDescent="0.3">
      <c r="A342" t="s">
        <v>17</v>
      </c>
      <c r="B342">
        <v>8690.7099999999991</v>
      </c>
    </row>
    <row r="343" spans="1:2" x14ac:dyDescent="0.3">
      <c r="A343" t="s">
        <v>33</v>
      </c>
      <c r="B343">
        <v>8658.7900000000009</v>
      </c>
    </row>
    <row r="344" spans="1:2" x14ac:dyDescent="0.3">
      <c r="A344" t="s">
        <v>27</v>
      </c>
      <c r="B344">
        <v>8647.3799999999992</v>
      </c>
    </row>
    <row r="345" spans="1:2" x14ac:dyDescent="0.3">
      <c r="A345" t="s">
        <v>17</v>
      </c>
      <c r="B345">
        <v>8645.9</v>
      </c>
    </row>
    <row r="346" spans="1:2" x14ac:dyDescent="0.3">
      <c r="A346" t="s">
        <v>17</v>
      </c>
      <c r="B346">
        <v>8635.42</v>
      </c>
    </row>
    <row r="347" spans="1:2" x14ac:dyDescent="0.3">
      <c r="A347" t="s">
        <v>38</v>
      </c>
      <c r="B347">
        <v>8629.34</v>
      </c>
    </row>
    <row r="348" spans="1:2" x14ac:dyDescent="0.3">
      <c r="A348" t="s">
        <v>30</v>
      </c>
      <c r="B348">
        <v>8623.44</v>
      </c>
    </row>
    <row r="349" spans="1:2" x14ac:dyDescent="0.3">
      <c r="A349" t="s">
        <v>19</v>
      </c>
      <c r="B349">
        <v>8585.89</v>
      </c>
    </row>
    <row r="350" spans="1:2" x14ac:dyDescent="0.3">
      <c r="A350" t="s">
        <v>32</v>
      </c>
      <c r="B350">
        <v>8583.2800000000007</v>
      </c>
    </row>
    <row r="351" spans="1:2" x14ac:dyDescent="0.3">
      <c r="A351" t="s">
        <v>29</v>
      </c>
      <c r="B351">
        <v>8568.5</v>
      </c>
    </row>
    <row r="352" spans="1:2" x14ac:dyDescent="0.3">
      <c r="A352" t="s">
        <v>30</v>
      </c>
      <c r="B352">
        <v>8568.1</v>
      </c>
    </row>
    <row r="353" spans="1:2" x14ac:dyDescent="0.3">
      <c r="A353" t="s">
        <v>24</v>
      </c>
      <c r="B353">
        <v>8545.09</v>
      </c>
    </row>
    <row r="354" spans="1:2" x14ac:dyDescent="0.3">
      <c r="A354" t="s">
        <v>38</v>
      </c>
      <c r="B354">
        <v>8491.59</v>
      </c>
    </row>
    <row r="355" spans="1:2" x14ac:dyDescent="0.3">
      <c r="A355" t="s">
        <v>26</v>
      </c>
      <c r="B355">
        <v>8468.09</v>
      </c>
    </row>
    <row r="356" spans="1:2" x14ac:dyDescent="0.3">
      <c r="A356" t="s">
        <v>26</v>
      </c>
      <c r="B356">
        <v>8455.3700000000008</v>
      </c>
    </row>
    <row r="357" spans="1:2" x14ac:dyDescent="0.3">
      <c r="A357" t="s">
        <v>22</v>
      </c>
      <c r="B357">
        <v>8435.67</v>
      </c>
    </row>
    <row r="358" spans="1:2" x14ac:dyDescent="0.3">
      <c r="A358" t="s">
        <v>29</v>
      </c>
      <c r="B358">
        <v>8424.09</v>
      </c>
    </row>
    <row r="359" spans="1:2" x14ac:dyDescent="0.3">
      <c r="A359" t="s">
        <v>26</v>
      </c>
      <c r="B359">
        <v>8416.1</v>
      </c>
    </row>
    <row r="360" spans="1:2" x14ac:dyDescent="0.3">
      <c r="A360" t="s">
        <v>38</v>
      </c>
      <c r="B360">
        <v>8416.02</v>
      </c>
    </row>
    <row r="361" spans="1:2" x14ac:dyDescent="0.3">
      <c r="A361" t="s">
        <v>37</v>
      </c>
      <c r="B361">
        <v>8413.65</v>
      </c>
    </row>
    <row r="362" spans="1:2" x14ac:dyDescent="0.3">
      <c r="A362" t="s">
        <v>39</v>
      </c>
      <c r="B362">
        <v>8406.23</v>
      </c>
    </row>
    <row r="363" spans="1:2" x14ac:dyDescent="0.3">
      <c r="A363" t="s">
        <v>17</v>
      </c>
      <c r="B363">
        <v>8377.2099999999991</v>
      </c>
    </row>
    <row r="364" spans="1:2" x14ac:dyDescent="0.3">
      <c r="A364" t="s">
        <v>28</v>
      </c>
      <c r="B364">
        <v>8375.6</v>
      </c>
    </row>
    <row r="365" spans="1:2" x14ac:dyDescent="0.3">
      <c r="A365" t="s">
        <v>27</v>
      </c>
      <c r="B365">
        <v>8359.64</v>
      </c>
    </row>
    <row r="366" spans="1:2" x14ac:dyDescent="0.3">
      <c r="A366" t="s">
        <v>26</v>
      </c>
      <c r="B366">
        <v>8357.02</v>
      </c>
    </row>
    <row r="367" spans="1:2" x14ac:dyDescent="0.3">
      <c r="A367" t="s">
        <v>26</v>
      </c>
      <c r="B367">
        <v>8346.75</v>
      </c>
    </row>
    <row r="368" spans="1:2" x14ac:dyDescent="0.3">
      <c r="A368" t="s">
        <v>19</v>
      </c>
      <c r="B368">
        <v>8322.41</v>
      </c>
    </row>
    <row r="369" spans="1:2" x14ac:dyDescent="0.3">
      <c r="A369" t="s">
        <v>14</v>
      </c>
      <c r="B369">
        <v>8301.52</v>
      </c>
    </row>
    <row r="370" spans="1:2" x14ac:dyDescent="0.3">
      <c r="A370" t="s">
        <v>11</v>
      </c>
      <c r="B370">
        <v>8247.2999999999993</v>
      </c>
    </row>
    <row r="371" spans="1:2" x14ac:dyDescent="0.3">
      <c r="A371" t="s">
        <v>24</v>
      </c>
      <c r="B371">
        <v>8234.39</v>
      </c>
    </row>
    <row r="372" spans="1:2" x14ac:dyDescent="0.3">
      <c r="A372" t="s">
        <v>36</v>
      </c>
      <c r="B372">
        <v>8227.52</v>
      </c>
    </row>
    <row r="373" spans="1:2" x14ac:dyDescent="0.3">
      <c r="A373" t="s">
        <v>14</v>
      </c>
      <c r="B373">
        <v>8185.88</v>
      </c>
    </row>
    <row r="374" spans="1:2" x14ac:dyDescent="0.3">
      <c r="A374" t="s">
        <v>32</v>
      </c>
      <c r="B374">
        <v>8169.97</v>
      </c>
    </row>
    <row r="375" spans="1:2" x14ac:dyDescent="0.3">
      <c r="A375" t="s">
        <v>40</v>
      </c>
      <c r="B375">
        <v>8149.93</v>
      </c>
    </row>
    <row r="376" spans="1:2" x14ac:dyDescent="0.3">
      <c r="A376" t="s">
        <v>37</v>
      </c>
      <c r="B376">
        <v>8149.81</v>
      </c>
    </row>
    <row r="377" spans="1:2" x14ac:dyDescent="0.3">
      <c r="A377" t="s">
        <v>28</v>
      </c>
      <c r="B377">
        <v>8140.37</v>
      </c>
    </row>
    <row r="378" spans="1:2" x14ac:dyDescent="0.3">
      <c r="A378" t="s">
        <v>32</v>
      </c>
      <c r="B378">
        <v>8110.77</v>
      </c>
    </row>
    <row r="379" spans="1:2" x14ac:dyDescent="0.3">
      <c r="A379" t="s">
        <v>14</v>
      </c>
      <c r="B379">
        <v>8062.7</v>
      </c>
    </row>
    <row r="380" spans="1:2" x14ac:dyDescent="0.3">
      <c r="A380" t="s">
        <v>28</v>
      </c>
      <c r="B380">
        <v>8031.07</v>
      </c>
    </row>
    <row r="381" spans="1:2" x14ac:dyDescent="0.3">
      <c r="A381" t="s">
        <v>24</v>
      </c>
      <c r="B381">
        <v>8023.19</v>
      </c>
    </row>
    <row r="382" spans="1:2" x14ac:dyDescent="0.3">
      <c r="A382" t="s">
        <v>24</v>
      </c>
      <c r="B382">
        <v>8007.5</v>
      </c>
    </row>
    <row r="383" spans="1:2" x14ac:dyDescent="0.3">
      <c r="A383" t="s">
        <v>33</v>
      </c>
      <c r="B383">
        <v>7974.36</v>
      </c>
    </row>
    <row r="384" spans="1:2" x14ac:dyDescent="0.3">
      <c r="A384" t="s">
        <v>39</v>
      </c>
      <c r="B384">
        <v>7911.73</v>
      </c>
    </row>
    <row r="385" spans="1:2" x14ac:dyDescent="0.3">
      <c r="A385" t="s">
        <v>11</v>
      </c>
      <c r="B385">
        <v>7868.81</v>
      </c>
    </row>
    <row r="386" spans="1:2" x14ac:dyDescent="0.3">
      <c r="A386" t="s">
        <v>40</v>
      </c>
      <c r="B386">
        <v>7863.48</v>
      </c>
    </row>
    <row r="387" spans="1:2" x14ac:dyDescent="0.3">
      <c r="A387" t="s">
        <v>34</v>
      </c>
      <c r="B387">
        <v>7856.15</v>
      </c>
    </row>
    <row r="388" spans="1:2" x14ac:dyDescent="0.3">
      <c r="A388" t="s">
        <v>39</v>
      </c>
      <c r="B388">
        <v>7823.09</v>
      </c>
    </row>
    <row r="389" spans="1:2" x14ac:dyDescent="0.3">
      <c r="A389" t="s">
        <v>39</v>
      </c>
      <c r="B389">
        <v>7786.8</v>
      </c>
    </row>
    <row r="390" spans="1:2" x14ac:dyDescent="0.3">
      <c r="A390" t="s">
        <v>36</v>
      </c>
      <c r="B390">
        <v>7772.9</v>
      </c>
    </row>
    <row r="391" spans="1:2" x14ac:dyDescent="0.3">
      <c r="A391" t="s">
        <v>34</v>
      </c>
      <c r="B391">
        <v>7729.4</v>
      </c>
    </row>
    <row r="392" spans="1:2" x14ac:dyDescent="0.3">
      <c r="A392" t="s">
        <v>39</v>
      </c>
      <c r="B392">
        <v>7702.07</v>
      </c>
    </row>
    <row r="393" spans="1:2" x14ac:dyDescent="0.3">
      <c r="A393" t="s">
        <v>29</v>
      </c>
      <c r="B393">
        <v>7663.47</v>
      </c>
    </row>
    <row r="394" spans="1:2" x14ac:dyDescent="0.3">
      <c r="A394" t="s">
        <v>34</v>
      </c>
      <c r="B394">
        <v>7548.04</v>
      </c>
    </row>
    <row r="395" spans="1:2" x14ac:dyDescent="0.3">
      <c r="A395" t="s">
        <v>37</v>
      </c>
      <c r="B395">
        <v>7516.37</v>
      </c>
    </row>
    <row r="396" spans="1:2" x14ac:dyDescent="0.3">
      <c r="A396" t="s">
        <v>33</v>
      </c>
      <c r="B396">
        <v>7509.05</v>
      </c>
    </row>
    <row r="397" spans="1:2" x14ac:dyDescent="0.3">
      <c r="A397" t="s">
        <v>37</v>
      </c>
      <c r="B397">
        <v>7501.52</v>
      </c>
    </row>
    <row r="398" spans="1:2" x14ac:dyDescent="0.3">
      <c r="A398" t="s">
        <v>35</v>
      </c>
      <c r="B398">
        <v>7465.54</v>
      </c>
    </row>
    <row r="399" spans="1:2" x14ac:dyDescent="0.3">
      <c r="A399" t="s">
        <v>14</v>
      </c>
      <c r="B399">
        <v>7384.05</v>
      </c>
    </row>
    <row r="400" spans="1:2" x14ac:dyDescent="0.3">
      <c r="A400" t="s">
        <v>14</v>
      </c>
      <c r="B400">
        <v>7372.62</v>
      </c>
    </row>
    <row r="401" spans="1:2" x14ac:dyDescent="0.3">
      <c r="A401" t="s">
        <v>34</v>
      </c>
      <c r="B401">
        <v>7358.74</v>
      </c>
    </row>
    <row r="402" spans="1:2" x14ac:dyDescent="0.3">
      <c r="A402" t="s">
        <v>29</v>
      </c>
      <c r="B402">
        <v>7339.99</v>
      </c>
    </row>
    <row r="403" spans="1:2" x14ac:dyDescent="0.3">
      <c r="A403" t="s">
        <v>27</v>
      </c>
      <c r="B403">
        <v>7308.82</v>
      </c>
    </row>
    <row r="404" spans="1:2" x14ac:dyDescent="0.3">
      <c r="A404" t="s">
        <v>34</v>
      </c>
      <c r="B404">
        <v>7290.65</v>
      </c>
    </row>
    <row r="405" spans="1:2" x14ac:dyDescent="0.3">
      <c r="A405" t="s">
        <v>39</v>
      </c>
      <c r="B405">
        <v>7290.26</v>
      </c>
    </row>
    <row r="406" spans="1:2" x14ac:dyDescent="0.3">
      <c r="A406" t="s">
        <v>19</v>
      </c>
      <c r="B406">
        <v>7274.42</v>
      </c>
    </row>
    <row r="407" spans="1:2" x14ac:dyDescent="0.3">
      <c r="A407" t="s">
        <v>34</v>
      </c>
      <c r="B407">
        <v>7265.78</v>
      </c>
    </row>
    <row r="408" spans="1:2" x14ac:dyDescent="0.3">
      <c r="A408" t="s">
        <v>11</v>
      </c>
      <c r="B408">
        <v>7240.05</v>
      </c>
    </row>
    <row r="409" spans="1:2" x14ac:dyDescent="0.3">
      <c r="A409" t="s">
        <v>19</v>
      </c>
      <c r="B409">
        <v>7225.27</v>
      </c>
    </row>
    <row r="410" spans="1:2" x14ac:dyDescent="0.3">
      <c r="A410" t="s">
        <v>33</v>
      </c>
      <c r="B410">
        <v>7222.84</v>
      </c>
    </row>
    <row r="411" spans="1:2" x14ac:dyDescent="0.3">
      <c r="A411" t="s">
        <v>30</v>
      </c>
      <c r="B411">
        <v>7218.59</v>
      </c>
    </row>
    <row r="412" spans="1:2" x14ac:dyDescent="0.3">
      <c r="A412" t="s">
        <v>24</v>
      </c>
      <c r="B412">
        <v>7208.78</v>
      </c>
    </row>
    <row r="413" spans="1:2" x14ac:dyDescent="0.3">
      <c r="A413" t="s">
        <v>36</v>
      </c>
      <c r="B413">
        <v>7199.97</v>
      </c>
    </row>
    <row r="414" spans="1:2" x14ac:dyDescent="0.3">
      <c r="A414" t="s">
        <v>22</v>
      </c>
      <c r="B414">
        <v>7182.93</v>
      </c>
    </row>
    <row r="415" spans="1:2" x14ac:dyDescent="0.3">
      <c r="A415" t="s">
        <v>38</v>
      </c>
      <c r="B415">
        <v>7175.33</v>
      </c>
    </row>
    <row r="416" spans="1:2" x14ac:dyDescent="0.3">
      <c r="A416" t="s">
        <v>38</v>
      </c>
      <c r="B416">
        <v>7173.66</v>
      </c>
    </row>
    <row r="417" spans="1:2" x14ac:dyDescent="0.3">
      <c r="A417" t="s">
        <v>17</v>
      </c>
      <c r="B417">
        <v>7163.09</v>
      </c>
    </row>
    <row r="418" spans="1:2" x14ac:dyDescent="0.3">
      <c r="A418" t="s">
        <v>37</v>
      </c>
      <c r="B418">
        <v>7159.67</v>
      </c>
    </row>
    <row r="419" spans="1:2" x14ac:dyDescent="0.3">
      <c r="A419" t="s">
        <v>29</v>
      </c>
      <c r="B419">
        <v>7153.84</v>
      </c>
    </row>
    <row r="420" spans="1:2" x14ac:dyDescent="0.3">
      <c r="A420" t="s">
        <v>39</v>
      </c>
      <c r="B420">
        <v>7145.59</v>
      </c>
    </row>
    <row r="421" spans="1:2" x14ac:dyDescent="0.3">
      <c r="A421" t="s">
        <v>11</v>
      </c>
      <c r="B421">
        <v>7097.62</v>
      </c>
    </row>
    <row r="422" spans="1:2" x14ac:dyDescent="0.3">
      <c r="A422" t="s">
        <v>22</v>
      </c>
      <c r="B422">
        <v>7071.32</v>
      </c>
    </row>
    <row r="423" spans="1:2" x14ac:dyDescent="0.3">
      <c r="A423" t="s">
        <v>28</v>
      </c>
      <c r="B423">
        <v>7062.28</v>
      </c>
    </row>
    <row r="424" spans="1:2" x14ac:dyDescent="0.3">
      <c r="A424" t="s">
        <v>28</v>
      </c>
      <c r="B424">
        <v>7045.2</v>
      </c>
    </row>
    <row r="425" spans="1:2" x14ac:dyDescent="0.3">
      <c r="A425" t="s">
        <v>40</v>
      </c>
      <c r="B425">
        <v>7040.83</v>
      </c>
    </row>
    <row r="426" spans="1:2" x14ac:dyDescent="0.3">
      <c r="A426" t="s">
        <v>30</v>
      </c>
      <c r="B426">
        <v>7038.29</v>
      </c>
    </row>
    <row r="427" spans="1:2" x14ac:dyDescent="0.3">
      <c r="A427" t="s">
        <v>19</v>
      </c>
      <c r="B427">
        <v>7018.52</v>
      </c>
    </row>
    <row r="428" spans="1:2" x14ac:dyDescent="0.3">
      <c r="A428" t="s">
        <v>22</v>
      </c>
      <c r="B428">
        <v>7006.51</v>
      </c>
    </row>
    <row r="429" spans="1:2" x14ac:dyDescent="0.3">
      <c r="A429" t="s">
        <v>37</v>
      </c>
      <c r="B429">
        <v>6988.41</v>
      </c>
    </row>
    <row r="430" spans="1:2" x14ac:dyDescent="0.3">
      <c r="A430" t="s">
        <v>38</v>
      </c>
      <c r="B430">
        <v>6963.89</v>
      </c>
    </row>
    <row r="431" spans="1:2" x14ac:dyDescent="0.3">
      <c r="A431" t="s">
        <v>29</v>
      </c>
      <c r="B431">
        <v>6960.25</v>
      </c>
    </row>
    <row r="432" spans="1:2" x14ac:dyDescent="0.3">
      <c r="A432" t="s">
        <v>37</v>
      </c>
      <c r="B432">
        <v>6951.06</v>
      </c>
    </row>
    <row r="433" spans="1:2" x14ac:dyDescent="0.3">
      <c r="A433" t="s">
        <v>39</v>
      </c>
      <c r="B433">
        <v>6946.85</v>
      </c>
    </row>
    <row r="434" spans="1:2" x14ac:dyDescent="0.3">
      <c r="A434" t="s">
        <v>36</v>
      </c>
      <c r="B434">
        <v>6936.27</v>
      </c>
    </row>
    <row r="435" spans="1:2" x14ac:dyDescent="0.3">
      <c r="A435" t="s">
        <v>24</v>
      </c>
      <c r="B435">
        <v>6922.87</v>
      </c>
    </row>
    <row r="436" spans="1:2" x14ac:dyDescent="0.3">
      <c r="A436" t="s">
        <v>35</v>
      </c>
      <c r="B436">
        <v>6883.35</v>
      </c>
    </row>
    <row r="437" spans="1:2" x14ac:dyDescent="0.3">
      <c r="A437" t="s">
        <v>30</v>
      </c>
      <c r="B437">
        <v>6876.35</v>
      </c>
    </row>
    <row r="438" spans="1:2" x14ac:dyDescent="0.3">
      <c r="A438" t="s">
        <v>11</v>
      </c>
      <c r="B438">
        <v>6864.39</v>
      </c>
    </row>
    <row r="439" spans="1:2" x14ac:dyDescent="0.3">
      <c r="A439" t="s">
        <v>17</v>
      </c>
      <c r="B439">
        <v>6835.99</v>
      </c>
    </row>
    <row r="440" spans="1:2" x14ac:dyDescent="0.3">
      <c r="A440" t="s">
        <v>22</v>
      </c>
      <c r="B440">
        <v>6805.98</v>
      </c>
    </row>
    <row r="441" spans="1:2" x14ac:dyDescent="0.3">
      <c r="A441" t="s">
        <v>22</v>
      </c>
      <c r="B441">
        <v>6784.15</v>
      </c>
    </row>
    <row r="442" spans="1:2" x14ac:dyDescent="0.3">
      <c r="A442" t="s">
        <v>30</v>
      </c>
      <c r="B442">
        <v>6709.83</v>
      </c>
    </row>
    <row r="443" spans="1:2" x14ac:dyDescent="0.3">
      <c r="A443" t="s">
        <v>24</v>
      </c>
      <c r="B443">
        <v>6697.08</v>
      </c>
    </row>
    <row r="444" spans="1:2" x14ac:dyDescent="0.3">
      <c r="A444" t="s">
        <v>40</v>
      </c>
      <c r="B444">
        <v>6691.56</v>
      </c>
    </row>
    <row r="445" spans="1:2" x14ac:dyDescent="0.3">
      <c r="A445" t="s">
        <v>22</v>
      </c>
      <c r="B445">
        <v>6690.67</v>
      </c>
    </row>
    <row r="446" spans="1:2" x14ac:dyDescent="0.3">
      <c r="A446" t="s">
        <v>37</v>
      </c>
      <c r="B446">
        <v>6674.26</v>
      </c>
    </row>
    <row r="447" spans="1:2" x14ac:dyDescent="0.3">
      <c r="A447" t="s">
        <v>14</v>
      </c>
      <c r="B447">
        <v>6649.41</v>
      </c>
    </row>
    <row r="448" spans="1:2" x14ac:dyDescent="0.3">
      <c r="A448" t="s">
        <v>17</v>
      </c>
      <c r="B448">
        <v>6624.07</v>
      </c>
    </row>
    <row r="449" spans="1:2" x14ac:dyDescent="0.3">
      <c r="A449" t="s">
        <v>33</v>
      </c>
      <c r="B449">
        <v>6614.07</v>
      </c>
    </row>
    <row r="450" spans="1:2" x14ac:dyDescent="0.3">
      <c r="A450" t="s">
        <v>19</v>
      </c>
      <c r="B450">
        <v>6611.75</v>
      </c>
    </row>
    <row r="451" spans="1:2" x14ac:dyDescent="0.3">
      <c r="A451" t="s">
        <v>37</v>
      </c>
      <c r="B451">
        <v>6605.61</v>
      </c>
    </row>
    <row r="452" spans="1:2" x14ac:dyDescent="0.3">
      <c r="A452" t="s">
        <v>39</v>
      </c>
      <c r="B452">
        <v>6601.03</v>
      </c>
    </row>
    <row r="453" spans="1:2" x14ac:dyDescent="0.3">
      <c r="A453" t="s">
        <v>30</v>
      </c>
      <c r="B453">
        <v>6592</v>
      </c>
    </row>
    <row r="454" spans="1:2" x14ac:dyDescent="0.3">
      <c r="A454" t="s">
        <v>33</v>
      </c>
      <c r="B454">
        <v>6554.41</v>
      </c>
    </row>
    <row r="455" spans="1:2" x14ac:dyDescent="0.3">
      <c r="A455" t="s">
        <v>39</v>
      </c>
      <c r="B455">
        <v>6549.89</v>
      </c>
    </row>
    <row r="456" spans="1:2" x14ac:dyDescent="0.3">
      <c r="A456" t="s">
        <v>11</v>
      </c>
      <c r="B456">
        <v>6545.6</v>
      </c>
    </row>
    <row r="457" spans="1:2" x14ac:dyDescent="0.3">
      <c r="A457" t="s">
        <v>24</v>
      </c>
      <c r="B457">
        <v>6481.44</v>
      </c>
    </row>
    <row r="458" spans="1:2" x14ac:dyDescent="0.3">
      <c r="A458" t="s">
        <v>33</v>
      </c>
      <c r="B458">
        <v>6475.4</v>
      </c>
    </row>
    <row r="459" spans="1:2" x14ac:dyDescent="0.3">
      <c r="A459" t="s">
        <v>22</v>
      </c>
      <c r="B459">
        <v>6372.66</v>
      </c>
    </row>
    <row r="460" spans="1:2" x14ac:dyDescent="0.3">
      <c r="A460" t="s">
        <v>14</v>
      </c>
      <c r="B460">
        <v>6341.06</v>
      </c>
    </row>
    <row r="461" spans="1:2" x14ac:dyDescent="0.3">
      <c r="A461" t="s">
        <v>35</v>
      </c>
      <c r="B461">
        <v>6338.53</v>
      </c>
    </row>
    <row r="462" spans="1:2" x14ac:dyDescent="0.3">
      <c r="A462" t="s">
        <v>17</v>
      </c>
      <c r="B462">
        <v>6336.95</v>
      </c>
    </row>
    <row r="463" spans="1:2" x14ac:dyDescent="0.3">
      <c r="A463" t="s">
        <v>29</v>
      </c>
      <c r="B463">
        <v>6268.52</v>
      </c>
    </row>
    <row r="464" spans="1:2" x14ac:dyDescent="0.3">
      <c r="A464" t="s">
        <v>22</v>
      </c>
      <c r="B464">
        <v>6257.77</v>
      </c>
    </row>
    <row r="465" spans="1:2" x14ac:dyDescent="0.3">
      <c r="A465" t="s">
        <v>36</v>
      </c>
      <c r="B465">
        <v>6254.53</v>
      </c>
    </row>
    <row r="466" spans="1:2" x14ac:dyDescent="0.3">
      <c r="A466" t="s">
        <v>30</v>
      </c>
      <c r="B466">
        <v>6245.45</v>
      </c>
    </row>
    <row r="467" spans="1:2" x14ac:dyDescent="0.3">
      <c r="A467" t="s">
        <v>35</v>
      </c>
      <c r="B467">
        <v>6234.72</v>
      </c>
    </row>
    <row r="468" spans="1:2" x14ac:dyDescent="0.3">
      <c r="A468" t="s">
        <v>27</v>
      </c>
      <c r="B468">
        <v>6188.69</v>
      </c>
    </row>
    <row r="469" spans="1:2" x14ac:dyDescent="0.3">
      <c r="A469" t="s">
        <v>17</v>
      </c>
      <c r="B469">
        <v>6167.03</v>
      </c>
    </row>
    <row r="470" spans="1:2" x14ac:dyDescent="0.3">
      <c r="A470" t="s">
        <v>37</v>
      </c>
      <c r="B470">
        <v>6154.39</v>
      </c>
    </row>
    <row r="471" spans="1:2" x14ac:dyDescent="0.3">
      <c r="A471" t="s">
        <v>34</v>
      </c>
      <c r="B471">
        <v>6120.62</v>
      </c>
    </row>
    <row r="472" spans="1:2" x14ac:dyDescent="0.3">
      <c r="A472" t="s">
        <v>19</v>
      </c>
      <c r="B472">
        <v>6117.88</v>
      </c>
    </row>
    <row r="473" spans="1:2" x14ac:dyDescent="0.3">
      <c r="A473" t="s">
        <v>24</v>
      </c>
      <c r="B473">
        <v>6110.42</v>
      </c>
    </row>
    <row r="474" spans="1:2" x14ac:dyDescent="0.3">
      <c r="A474" t="s">
        <v>26</v>
      </c>
      <c r="B474">
        <v>6104.09</v>
      </c>
    </row>
    <row r="475" spans="1:2" x14ac:dyDescent="0.3">
      <c r="A475" t="s">
        <v>14</v>
      </c>
      <c r="B475">
        <v>6103.41</v>
      </c>
    </row>
    <row r="476" spans="1:2" x14ac:dyDescent="0.3">
      <c r="A476" t="s">
        <v>29</v>
      </c>
      <c r="B476">
        <v>6083.9</v>
      </c>
    </row>
    <row r="477" spans="1:2" x14ac:dyDescent="0.3">
      <c r="A477" t="s">
        <v>36</v>
      </c>
      <c r="B477">
        <v>6064.36</v>
      </c>
    </row>
    <row r="478" spans="1:2" x14ac:dyDescent="0.3">
      <c r="A478" t="s">
        <v>11</v>
      </c>
      <c r="B478">
        <v>6037.45</v>
      </c>
    </row>
    <row r="479" spans="1:2" x14ac:dyDescent="0.3">
      <c r="A479" t="s">
        <v>34</v>
      </c>
      <c r="B479">
        <v>6035.57</v>
      </c>
    </row>
    <row r="480" spans="1:2" x14ac:dyDescent="0.3">
      <c r="A480" t="s">
        <v>26</v>
      </c>
      <c r="B480">
        <v>6024.93</v>
      </c>
    </row>
    <row r="481" spans="1:2" x14ac:dyDescent="0.3">
      <c r="A481" t="s">
        <v>14</v>
      </c>
      <c r="B481">
        <v>6013.09</v>
      </c>
    </row>
    <row r="482" spans="1:2" x14ac:dyDescent="0.3">
      <c r="A482" t="s">
        <v>38</v>
      </c>
      <c r="B482">
        <v>5997.51</v>
      </c>
    </row>
    <row r="483" spans="1:2" x14ac:dyDescent="0.3">
      <c r="A483" t="s">
        <v>19</v>
      </c>
      <c r="B483">
        <v>5996.68</v>
      </c>
    </row>
    <row r="484" spans="1:2" x14ac:dyDescent="0.3">
      <c r="A484" t="s">
        <v>33</v>
      </c>
      <c r="B484">
        <v>5972.55</v>
      </c>
    </row>
    <row r="485" spans="1:2" x14ac:dyDescent="0.3">
      <c r="A485" t="s">
        <v>24</v>
      </c>
      <c r="B485">
        <v>5971.38</v>
      </c>
    </row>
    <row r="486" spans="1:2" x14ac:dyDescent="0.3">
      <c r="A486" t="s">
        <v>37</v>
      </c>
      <c r="B486">
        <v>5966.9</v>
      </c>
    </row>
    <row r="487" spans="1:2" x14ac:dyDescent="0.3">
      <c r="A487" t="s">
        <v>24</v>
      </c>
      <c r="B487">
        <v>5965.05</v>
      </c>
    </row>
    <row r="488" spans="1:2" x14ac:dyDescent="0.3">
      <c r="A488" t="s">
        <v>39</v>
      </c>
      <c r="B488">
        <v>5963.14</v>
      </c>
    </row>
    <row r="489" spans="1:2" x14ac:dyDescent="0.3">
      <c r="A489" t="s">
        <v>27</v>
      </c>
      <c r="B489">
        <v>5955.63</v>
      </c>
    </row>
    <row r="490" spans="1:2" x14ac:dyDescent="0.3">
      <c r="A490" t="s">
        <v>29</v>
      </c>
      <c r="B490">
        <v>5913.59</v>
      </c>
    </row>
    <row r="491" spans="1:2" x14ac:dyDescent="0.3">
      <c r="A491" t="s">
        <v>14</v>
      </c>
      <c r="B491">
        <v>5878.76</v>
      </c>
    </row>
    <row r="492" spans="1:2" x14ac:dyDescent="0.3">
      <c r="A492" t="s">
        <v>34</v>
      </c>
      <c r="B492">
        <v>5853.05</v>
      </c>
    </row>
    <row r="493" spans="1:2" x14ac:dyDescent="0.3">
      <c r="A493" t="s">
        <v>30</v>
      </c>
      <c r="B493">
        <v>5839.13</v>
      </c>
    </row>
    <row r="494" spans="1:2" x14ac:dyDescent="0.3">
      <c r="A494" t="s">
        <v>35</v>
      </c>
      <c r="B494">
        <v>5838.88</v>
      </c>
    </row>
    <row r="495" spans="1:2" x14ac:dyDescent="0.3">
      <c r="A495" t="s">
        <v>38</v>
      </c>
      <c r="B495">
        <v>5793.04</v>
      </c>
    </row>
    <row r="496" spans="1:2" x14ac:dyDescent="0.3">
      <c r="A496" t="s">
        <v>14</v>
      </c>
      <c r="B496">
        <v>5765.24</v>
      </c>
    </row>
    <row r="497" spans="1:2" x14ac:dyDescent="0.3">
      <c r="A497" t="s">
        <v>11</v>
      </c>
      <c r="B497">
        <v>5752.08</v>
      </c>
    </row>
    <row r="498" spans="1:2" x14ac:dyDescent="0.3">
      <c r="A498" t="s">
        <v>32</v>
      </c>
      <c r="B498">
        <v>5724.09</v>
      </c>
    </row>
    <row r="499" spans="1:2" x14ac:dyDescent="0.3">
      <c r="A499" t="s">
        <v>38</v>
      </c>
      <c r="B499">
        <v>5716.47</v>
      </c>
    </row>
    <row r="500" spans="1:2" x14ac:dyDescent="0.3">
      <c r="A500" t="s">
        <v>26</v>
      </c>
      <c r="B500">
        <v>5707.46</v>
      </c>
    </row>
    <row r="501" spans="1:2" x14ac:dyDescent="0.3">
      <c r="A501" t="s">
        <v>24</v>
      </c>
      <c r="B501">
        <v>5704.6</v>
      </c>
    </row>
    <row r="502" spans="1:2" x14ac:dyDescent="0.3">
      <c r="A502" t="s">
        <v>32</v>
      </c>
      <c r="B502">
        <v>5694.37</v>
      </c>
    </row>
    <row r="503" spans="1:2" x14ac:dyDescent="0.3">
      <c r="A503" t="s">
        <v>24</v>
      </c>
      <c r="B503">
        <v>5683.65</v>
      </c>
    </row>
    <row r="504" spans="1:2" x14ac:dyDescent="0.3">
      <c r="A504" t="s">
        <v>40</v>
      </c>
      <c r="B504">
        <v>5674.09</v>
      </c>
    </row>
    <row r="505" spans="1:2" x14ac:dyDescent="0.3">
      <c r="A505" t="s">
        <v>34</v>
      </c>
      <c r="B505">
        <v>5658.07</v>
      </c>
    </row>
    <row r="506" spans="1:2" x14ac:dyDescent="0.3">
      <c r="A506" t="s">
        <v>19</v>
      </c>
      <c r="B506">
        <v>5627.53</v>
      </c>
    </row>
    <row r="507" spans="1:2" x14ac:dyDescent="0.3">
      <c r="A507" t="s">
        <v>14</v>
      </c>
      <c r="B507">
        <v>5605.58</v>
      </c>
    </row>
    <row r="508" spans="1:2" x14ac:dyDescent="0.3">
      <c r="A508" t="s">
        <v>26</v>
      </c>
      <c r="B508">
        <v>5602.64</v>
      </c>
    </row>
    <row r="509" spans="1:2" x14ac:dyDescent="0.3">
      <c r="A509" t="s">
        <v>40</v>
      </c>
      <c r="B509">
        <v>5584.11</v>
      </c>
    </row>
    <row r="510" spans="1:2" x14ac:dyDescent="0.3">
      <c r="A510" t="s">
        <v>30</v>
      </c>
      <c r="B510">
        <v>5562.07</v>
      </c>
    </row>
    <row r="511" spans="1:2" x14ac:dyDescent="0.3">
      <c r="A511" t="s">
        <v>19</v>
      </c>
      <c r="B511">
        <v>5539.81</v>
      </c>
    </row>
    <row r="512" spans="1:2" x14ac:dyDescent="0.3">
      <c r="A512" t="s">
        <v>28</v>
      </c>
      <c r="B512">
        <v>5526.46</v>
      </c>
    </row>
    <row r="513" spans="1:2" x14ac:dyDescent="0.3">
      <c r="A513" t="s">
        <v>30</v>
      </c>
      <c r="B513">
        <v>5503.13</v>
      </c>
    </row>
    <row r="514" spans="1:2" x14ac:dyDescent="0.3">
      <c r="A514" t="s">
        <v>28</v>
      </c>
      <c r="B514">
        <v>5477.62</v>
      </c>
    </row>
    <row r="515" spans="1:2" x14ac:dyDescent="0.3">
      <c r="A515" t="s">
        <v>11</v>
      </c>
      <c r="B515">
        <v>5474.4</v>
      </c>
    </row>
    <row r="516" spans="1:2" x14ac:dyDescent="0.3">
      <c r="A516" t="s">
        <v>29</v>
      </c>
      <c r="B516">
        <v>5473.25</v>
      </c>
    </row>
    <row r="517" spans="1:2" x14ac:dyDescent="0.3">
      <c r="A517" t="s">
        <v>38</v>
      </c>
      <c r="B517">
        <v>5467.02</v>
      </c>
    </row>
    <row r="518" spans="1:2" x14ac:dyDescent="0.3">
      <c r="A518" t="s">
        <v>26</v>
      </c>
      <c r="B518">
        <v>5464.82</v>
      </c>
    </row>
    <row r="519" spans="1:2" x14ac:dyDescent="0.3">
      <c r="A519" t="s">
        <v>37</v>
      </c>
      <c r="B519">
        <v>5458.09</v>
      </c>
    </row>
    <row r="520" spans="1:2" x14ac:dyDescent="0.3">
      <c r="A520" t="s">
        <v>35</v>
      </c>
      <c r="B520">
        <v>5426.86</v>
      </c>
    </row>
    <row r="521" spans="1:2" x14ac:dyDescent="0.3">
      <c r="A521" t="s">
        <v>36</v>
      </c>
      <c r="B521">
        <v>5410.28</v>
      </c>
    </row>
    <row r="522" spans="1:2" x14ac:dyDescent="0.3">
      <c r="A522" t="s">
        <v>38</v>
      </c>
      <c r="B522">
        <v>5395.07</v>
      </c>
    </row>
    <row r="523" spans="1:2" x14ac:dyDescent="0.3">
      <c r="A523" t="s">
        <v>40</v>
      </c>
      <c r="B523">
        <v>5387.8</v>
      </c>
    </row>
    <row r="524" spans="1:2" x14ac:dyDescent="0.3">
      <c r="A524" t="s">
        <v>30</v>
      </c>
      <c r="B524">
        <v>5383.81</v>
      </c>
    </row>
    <row r="525" spans="1:2" x14ac:dyDescent="0.3">
      <c r="A525" t="s">
        <v>38</v>
      </c>
      <c r="B525">
        <v>5371.71</v>
      </c>
    </row>
    <row r="526" spans="1:2" x14ac:dyDescent="0.3">
      <c r="A526" t="s">
        <v>35</v>
      </c>
      <c r="B526">
        <v>5370.02</v>
      </c>
    </row>
    <row r="527" spans="1:2" x14ac:dyDescent="0.3">
      <c r="A527" t="s">
        <v>22</v>
      </c>
      <c r="B527">
        <v>5358.84</v>
      </c>
    </row>
    <row r="528" spans="1:2" x14ac:dyDescent="0.3">
      <c r="A528" t="s">
        <v>22</v>
      </c>
      <c r="B528">
        <v>5334.75</v>
      </c>
    </row>
    <row r="529" spans="1:2" x14ac:dyDescent="0.3">
      <c r="A529" t="s">
        <v>17</v>
      </c>
      <c r="B529">
        <v>5325.46</v>
      </c>
    </row>
    <row r="530" spans="1:2" x14ac:dyDescent="0.3">
      <c r="A530" t="s">
        <v>26</v>
      </c>
      <c r="B530">
        <v>5315.32</v>
      </c>
    </row>
    <row r="531" spans="1:2" x14ac:dyDescent="0.3">
      <c r="A531" t="s">
        <v>37</v>
      </c>
      <c r="B531">
        <v>5309.43</v>
      </c>
    </row>
    <row r="532" spans="1:2" x14ac:dyDescent="0.3">
      <c r="A532" t="s">
        <v>36</v>
      </c>
      <c r="B532">
        <v>5288.36</v>
      </c>
    </row>
    <row r="533" spans="1:2" x14ac:dyDescent="0.3">
      <c r="A533" t="s">
        <v>32</v>
      </c>
      <c r="B533">
        <v>5280.12</v>
      </c>
    </row>
    <row r="534" spans="1:2" x14ac:dyDescent="0.3">
      <c r="A534" t="s">
        <v>30</v>
      </c>
      <c r="B534">
        <v>5278.83</v>
      </c>
    </row>
    <row r="535" spans="1:2" x14ac:dyDescent="0.3">
      <c r="A535" t="s">
        <v>29</v>
      </c>
      <c r="B535">
        <v>5257.08</v>
      </c>
    </row>
    <row r="536" spans="1:2" x14ac:dyDescent="0.3">
      <c r="A536" t="s">
        <v>11</v>
      </c>
      <c r="B536">
        <v>5236.74</v>
      </c>
    </row>
    <row r="537" spans="1:2" x14ac:dyDescent="0.3">
      <c r="A537" t="s">
        <v>34</v>
      </c>
      <c r="B537">
        <v>5228.1899999999996</v>
      </c>
    </row>
    <row r="538" spans="1:2" x14ac:dyDescent="0.3">
      <c r="A538" t="s">
        <v>33</v>
      </c>
      <c r="B538">
        <v>5224</v>
      </c>
    </row>
    <row r="539" spans="1:2" x14ac:dyDescent="0.3">
      <c r="A539" t="s">
        <v>14</v>
      </c>
      <c r="B539">
        <v>5208.91</v>
      </c>
    </row>
    <row r="540" spans="1:2" x14ac:dyDescent="0.3">
      <c r="A540" t="s">
        <v>35</v>
      </c>
      <c r="B540">
        <v>5192.7299999999996</v>
      </c>
    </row>
    <row r="541" spans="1:2" x14ac:dyDescent="0.3">
      <c r="A541" t="s">
        <v>27</v>
      </c>
      <c r="B541">
        <v>5179.43</v>
      </c>
    </row>
    <row r="542" spans="1:2" x14ac:dyDescent="0.3">
      <c r="A542" t="s">
        <v>36</v>
      </c>
      <c r="B542">
        <v>5152.55</v>
      </c>
    </row>
    <row r="543" spans="1:2" x14ac:dyDescent="0.3">
      <c r="A543" t="s">
        <v>11</v>
      </c>
      <c r="B543">
        <v>5125.6400000000003</v>
      </c>
    </row>
    <row r="544" spans="1:2" x14ac:dyDescent="0.3">
      <c r="A544" t="s">
        <v>39</v>
      </c>
      <c r="B544">
        <v>5123.91</v>
      </c>
    </row>
    <row r="545" spans="1:2" x14ac:dyDescent="0.3">
      <c r="A545" t="s">
        <v>29</v>
      </c>
      <c r="B545">
        <v>5122.82</v>
      </c>
    </row>
    <row r="546" spans="1:2" x14ac:dyDescent="0.3">
      <c r="A546" t="s">
        <v>40</v>
      </c>
      <c r="B546">
        <v>5118.13</v>
      </c>
    </row>
    <row r="547" spans="1:2" x14ac:dyDescent="0.3">
      <c r="A547" t="s">
        <v>28</v>
      </c>
      <c r="B547">
        <v>5094.12</v>
      </c>
    </row>
    <row r="548" spans="1:2" x14ac:dyDescent="0.3">
      <c r="A548" t="s">
        <v>22</v>
      </c>
      <c r="B548">
        <v>5093.3100000000004</v>
      </c>
    </row>
    <row r="549" spans="1:2" x14ac:dyDescent="0.3">
      <c r="A549" t="s">
        <v>32</v>
      </c>
      <c r="B549">
        <v>5087.3999999999996</v>
      </c>
    </row>
    <row r="550" spans="1:2" x14ac:dyDescent="0.3">
      <c r="A550" t="s">
        <v>19</v>
      </c>
      <c r="B550">
        <v>5070.9399999999996</v>
      </c>
    </row>
    <row r="551" spans="1:2" x14ac:dyDescent="0.3">
      <c r="A551" t="s">
        <v>38</v>
      </c>
      <c r="B551">
        <v>5056.49</v>
      </c>
    </row>
    <row r="552" spans="1:2" x14ac:dyDescent="0.3">
      <c r="A552" t="s">
        <v>37</v>
      </c>
      <c r="B552">
        <v>5054.42</v>
      </c>
    </row>
    <row r="553" spans="1:2" x14ac:dyDescent="0.3">
      <c r="A553" t="s">
        <v>39</v>
      </c>
      <c r="B553">
        <v>5052.33</v>
      </c>
    </row>
    <row r="554" spans="1:2" x14ac:dyDescent="0.3">
      <c r="A554" t="s">
        <v>32</v>
      </c>
      <c r="B554">
        <v>5042.28</v>
      </c>
    </row>
    <row r="555" spans="1:2" x14ac:dyDescent="0.3">
      <c r="A555" t="s">
        <v>17</v>
      </c>
      <c r="B555">
        <v>5038.96</v>
      </c>
    </row>
    <row r="556" spans="1:2" x14ac:dyDescent="0.3">
      <c r="A556" t="s">
        <v>28</v>
      </c>
      <c r="B556">
        <v>5030.46</v>
      </c>
    </row>
    <row r="557" spans="1:2" x14ac:dyDescent="0.3">
      <c r="A557" t="s">
        <v>24</v>
      </c>
      <c r="B557">
        <v>5020.7299999999996</v>
      </c>
    </row>
    <row r="558" spans="1:2" x14ac:dyDescent="0.3">
      <c r="A558" t="s">
        <v>32</v>
      </c>
      <c r="B558">
        <v>5008.9399999999996</v>
      </c>
    </row>
    <row r="559" spans="1:2" x14ac:dyDescent="0.3">
      <c r="A559" t="s">
        <v>17</v>
      </c>
      <c r="B559">
        <v>4999.5600000000004</v>
      </c>
    </row>
    <row r="560" spans="1:2" x14ac:dyDescent="0.3">
      <c r="A560" t="s">
        <v>17</v>
      </c>
      <c r="B560">
        <v>4988.41</v>
      </c>
    </row>
    <row r="561" spans="1:2" x14ac:dyDescent="0.3">
      <c r="A561" t="s">
        <v>35</v>
      </c>
      <c r="B561">
        <v>4984.17</v>
      </c>
    </row>
    <row r="562" spans="1:2" x14ac:dyDescent="0.3">
      <c r="A562" t="s">
        <v>29</v>
      </c>
      <c r="B562">
        <v>4982.3500000000004</v>
      </c>
    </row>
    <row r="563" spans="1:2" x14ac:dyDescent="0.3">
      <c r="A563" t="s">
        <v>36</v>
      </c>
      <c r="B563">
        <v>4975.3100000000004</v>
      </c>
    </row>
    <row r="564" spans="1:2" x14ac:dyDescent="0.3">
      <c r="A564" t="s">
        <v>17</v>
      </c>
      <c r="B564">
        <v>4967.92</v>
      </c>
    </row>
    <row r="565" spans="1:2" x14ac:dyDescent="0.3">
      <c r="A565" t="s">
        <v>14</v>
      </c>
      <c r="B565">
        <v>4967.71</v>
      </c>
    </row>
    <row r="566" spans="1:2" x14ac:dyDescent="0.3">
      <c r="A566" t="s">
        <v>19</v>
      </c>
      <c r="B566">
        <v>4956.16</v>
      </c>
    </row>
    <row r="567" spans="1:2" x14ac:dyDescent="0.3">
      <c r="A567" t="s">
        <v>17</v>
      </c>
      <c r="B567">
        <v>4950.1899999999996</v>
      </c>
    </row>
    <row r="568" spans="1:2" x14ac:dyDescent="0.3">
      <c r="A568" t="s">
        <v>28</v>
      </c>
      <c r="B568">
        <v>4917.9399999999996</v>
      </c>
    </row>
    <row r="569" spans="1:2" x14ac:dyDescent="0.3">
      <c r="A569" t="s">
        <v>32</v>
      </c>
      <c r="B569">
        <v>4916.0200000000004</v>
      </c>
    </row>
    <row r="570" spans="1:2" x14ac:dyDescent="0.3">
      <c r="A570" t="s">
        <v>14</v>
      </c>
      <c r="B570">
        <v>4893.25</v>
      </c>
    </row>
    <row r="571" spans="1:2" x14ac:dyDescent="0.3">
      <c r="A571" t="s">
        <v>32</v>
      </c>
      <c r="B571">
        <v>4874.17</v>
      </c>
    </row>
    <row r="572" spans="1:2" x14ac:dyDescent="0.3">
      <c r="A572" t="s">
        <v>17</v>
      </c>
      <c r="B572">
        <v>4863.8900000000003</v>
      </c>
    </row>
    <row r="573" spans="1:2" x14ac:dyDescent="0.3">
      <c r="A573" t="s">
        <v>22</v>
      </c>
      <c r="B573">
        <v>4863.6400000000003</v>
      </c>
    </row>
    <row r="574" spans="1:2" x14ac:dyDescent="0.3">
      <c r="A574" t="s">
        <v>40</v>
      </c>
      <c r="B574">
        <v>4859.24</v>
      </c>
    </row>
    <row r="575" spans="1:2" x14ac:dyDescent="0.3">
      <c r="A575" t="s">
        <v>19</v>
      </c>
      <c r="B575">
        <v>4856.2700000000004</v>
      </c>
    </row>
    <row r="576" spans="1:2" x14ac:dyDescent="0.3">
      <c r="A576" t="s">
        <v>37</v>
      </c>
      <c r="B576">
        <v>4844.7299999999996</v>
      </c>
    </row>
    <row r="577" spans="1:2" x14ac:dyDescent="0.3">
      <c r="A577" t="s">
        <v>29</v>
      </c>
      <c r="B577">
        <v>4842.26</v>
      </c>
    </row>
    <row r="578" spans="1:2" x14ac:dyDescent="0.3">
      <c r="A578" t="s">
        <v>17</v>
      </c>
      <c r="B578">
        <v>4798.42</v>
      </c>
    </row>
    <row r="579" spans="1:2" x14ac:dyDescent="0.3">
      <c r="A579" t="s">
        <v>36</v>
      </c>
      <c r="B579">
        <v>4781.95</v>
      </c>
    </row>
    <row r="580" spans="1:2" x14ac:dyDescent="0.3">
      <c r="A580" t="s">
        <v>37</v>
      </c>
      <c r="B580">
        <v>4772.37</v>
      </c>
    </row>
    <row r="581" spans="1:2" x14ac:dyDescent="0.3">
      <c r="A581" t="s">
        <v>11</v>
      </c>
      <c r="B581">
        <v>4713.5200000000004</v>
      </c>
    </row>
    <row r="582" spans="1:2" x14ac:dyDescent="0.3">
      <c r="A582" t="s">
        <v>36</v>
      </c>
      <c r="B582">
        <v>4697.76</v>
      </c>
    </row>
    <row r="583" spans="1:2" x14ac:dyDescent="0.3">
      <c r="A583" t="s">
        <v>27</v>
      </c>
      <c r="B583">
        <v>4680.2700000000004</v>
      </c>
    </row>
    <row r="584" spans="1:2" x14ac:dyDescent="0.3">
      <c r="A584" t="s">
        <v>26</v>
      </c>
      <c r="B584">
        <v>4676.42</v>
      </c>
    </row>
    <row r="585" spans="1:2" x14ac:dyDescent="0.3">
      <c r="A585" t="s">
        <v>14</v>
      </c>
      <c r="B585">
        <v>4672.4399999999996</v>
      </c>
    </row>
    <row r="586" spans="1:2" x14ac:dyDescent="0.3">
      <c r="A586" t="s">
        <v>28</v>
      </c>
      <c r="B586">
        <v>4671.83</v>
      </c>
    </row>
    <row r="587" spans="1:2" x14ac:dyDescent="0.3">
      <c r="A587" t="s">
        <v>14</v>
      </c>
      <c r="B587">
        <v>4662.7700000000004</v>
      </c>
    </row>
    <row r="588" spans="1:2" x14ac:dyDescent="0.3">
      <c r="A588" t="s">
        <v>40</v>
      </c>
      <c r="B588">
        <v>4646.59</v>
      </c>
    </row>
    <row r="589" spans="1:2" x14ac:dyDescent="0.3">
      <c r="A589" t="s">
        <v>24</v>
      </c>
      <c r="B589">
        <v>4641.2299999999996</v>
      </c>
    </row>
    <row r="590" spans="1:2" x14ac:dyDescent="0.3">
      <c r="A590" t="s">
        <v>33</v>
      </c>
      <c r="B590">
        <v>4571.01</v>
      </c>
    </row>
    <row r="591" spans="1:2" x14ac:dyDescent="0.3">
      <c r="A591" t="s">
        <v>28</v>
      </c>
      <c r="B591">
        <v>4564.18</v>
      </c>
    </row>
    <row r="592" spans="1:2" x14ac:dyDescent="0.3">
      <c r="A592" t="s">
        <v>35</v>
      </c>
      <c r="B592">
        <v>4546.1499999999996</v>
      </c>
    </row>
    <row r="593" spans="1:2" x14ac:dyDescent="0.3">
      <c r="A593" t="s">
        <v>17</v>
      </c>
      <c r="B593">
        <v>4542.09</v>
      </c>
    </row>
    <row r="594" spans="1:2" x14ac:dyDescent="0.3">
      <c r="A594" t="s">
        <v>30</v>
      </c>
      <c r="B594">
        <v>4538.43</v>
      </c>
    </row>
    <row r="595" spans="1:2" x14ac:dyDescent="0.3">
      <c r="A595" t="s">
        <v>40</v>
      </c>
      <c r="B595">
        <v>4518.74</v>
      </c>
    </row>
    <row r="596" spans="1:2" x14ac:dyDescent="0.3">
      <c r="A596" t="s">
        <v>26</v>
      </c>
      <c r="B596">
        <v>4503.17</v>
      </c>
    </row>
    <row r="597" spans="1:2" x14ac:dyDescent="0.3">
      <c r="A597" t="s">
        <v>36</v>
      </c>
      <c r="B597">
        <v>4500.2</v>
      </c>
    </row>
    <row r="598" spans="1:2" x14ac:dyDescent="0.3">
      <c r="A598" t="s">
        <v>17</v>
      </c>
      <c r="B598">
        <v>4499.3</v>
      </c>
    </row>
    <row r="599" spans="1:2" x14ac:dyDescent="0.3">
      <c r="A599" t="s">
        <v>24</v>
      </c>
      <c r="B599">
        <v>4481.79</v>
      </c>
    </row>
    <row r="600" spans="1:2" x14ac:dyDescent="0.3">
      <c r="A600" t="s">
        <v>30</v>
      </c>
      <c r="B600">
        <v>4457.95</v>
      </c>
    </row>
    <row r="601" spans="1:2" x14ac:dyDescent="0.3">
      <c r="A601" t="s">
        <v>33</v>
      </c>
      <c r="B601">
        <v>4456.75</v>
      </c>
    </row>
    <row r="602" spans="1:2" x14ac:dyDescent="0.3">
      <c r="A602" t="s">
        <v>37</v>
      </c>
      <c r="B602">
        <v>4450.3599999999997</v>
      </c>
    </row>
    <row r="603" spans="1:2" x14ac:dyDescent="0.3">
      <c r="A603" t="s">
        <v>40</v>
      </c>
      <c r="B603">
        <v>4442.4399999999996</v>
      </c>
    </row>
    <row r="604" spans="1:2" x14ac:dyDescent="0.3">
      <c r="A604" t="s">
        <v>32</v>
      </c>
      <c r="B604">
        <v>4432.3</v>
      </c>
    </row>
    <row r="605" spans="1:2" x14ac:dyDescent="0.3">
      <c r="A605" t="s">
        <v>27</v>
      </c>
      <c r="B605">
        <v>4351.8599999999997</v>
      </c>
    </row>
    <row r="606" spans="1:2" x14ac:dyDescent="0.3">
      <c r="A606" t="s">
        <v>38</v>
      </c>
      <c r="B606">
        <v>4340.41</v>
      </c>
    </row>
    <row r="607" spans="1:2" x14ac:dyDescent="0.3">
      <c r="A607" t="s">
        <v>30</v>
      </c>
      <c r="B607">
        <v>4333.3</v>
      </c>
    </row>
    <row r="608" spans="1:2" x14ac:dyDescent="0.3">
      <c r="A608" t="s">
        <v>19</v>
      </c>
      <c r="B608">
        <v>4321.34</v>
      </c>
    </row>
    <row r="609" spans="1:2" x14ac:dyDescent="0.3">
      <c r="A609" t="s">
        <v>24</v>
      </c>
      <c r="B609">
        <v>4314.74</v>
      </c>
    </row>
    <row r="610" spans="1:2" x14ac:dyDescent="0.3">
      <c r="A610" t="s">
        <v>36</v>
      </c>
      <c r="B610">
        <v>4295.24</v>
      </c>
    </row>
    <row r="611" spans="1:2" x14ac:dyDescent="0.3">
      <c r="A611" t="s">
        <v>38</v>
      </c>
      <c r="B611">
        <v>4295.16</v>
      </c>
    </row>
    <row r="612" spans="1:2" x14ac:dyDescent="0.3">
      <c r="A612" t="s">
        <v>38</v>
      </c>
      <c r="B612">
        <v>4279.21</v>
      </c>
    </row>
    <row r="613" spans="1:2" x14ac:dyDescent="0.3">
      <c r="A613" t="s">
        <v>29</v>
      </c>
      <c r="B613">
        <v>4267.21</v>
      </c>
    </row>
    <row r="614" spans="1:2" x14ac:dyDescent="0.3">
      <c r="A614" t="s">
        <v>30</v>
      </c>
      <c r="B614">
        <v>4254.0200000000004</v>
      </c>
    </row>
    <row r="615" spans="1:2" x14ac:dyDescent="0.3">
      <c r="A615" t="s">
        <v>26</v>
      </c>
      <c r="B615">
        <v>4239.01</v>
      </c>
    </row>
    <row r="616" spans="1:2" x14ac:dyDescent="0.3">
      <c r="A616" t="s">
        <v>28</v>
      </c>
      <c r="B616">
        <v>4165.67</v>
      </c>
    </row>
    <row r="617" spans="1:2" x14ac:dyDescent="0.3">
      <c r="A617" t="s">
        <v>28</v>
      </c>
      <c r="B617">
        <v>4160.54</v>
      </c>
    </row>
    <row r="618" spans="1:2" x14ac:dyDescent="0.3">
      <c r="A618" t="s">
        <v>37</v>
      </c>
      <c r="B618">
        <v>4118.1499999999996</v>
      </c>
    </row>
    <row r="619" spans="1:2" x14ac:dyDescent="0.3">
      <c r="A619" t="s">
        <v>19</v>
      </c>
      <c r="B619">
        <v>4114.22</v>
      </c>
    </row>
    <row r="620" spans="1:2" x14ac:dyDescent="0.3">
      <c r="A620" t="s">
        <v>26</v>
      </c>
      <c r="B620">
        <v>4104.29</v>
      </c>
    </row>
    <row r="621" spans="1:2" x14ac:dyDescent="0.3">
      <c r="A621" t="s">
        <v>17</v>
      </c>
      <c r="B621">
        <v>4100.8100000000004</v>
      </c>
    </row>
    <row r="622" spans="1:2" x14ac:dyDescent="0.3">
      <c r="A622" t="s">
        <v>30</v>
      </c>
      <c r="B622">
        <v>4072.45</v>
      </c>
    </row>
    <row r="623" spans="1:2" x14ac:dyDescent="0.3">
      <c r="A623" t="s">
        <v>29</v>
      </c>
      <c r="B623">
        <v>4071.63</v>
      </c>
    </row>
    <row r="624" spans="1:2" x14ac:dyDescent="0.3">
      <c r="A624" t="s">
        <v>26</v>
      </c>
      <c r="B624">
        <v>4070.52</v>
      </c>
    </row>
    <row r="625" spans="1:2" x14ac:dyDescent="0.3">
      <c r="A625" t="s">
        <v>36</v>
      </c>
      <c r="B625">
        <v>4068.24</v>
      </c>
    </row>
    <row r="626" spans="1:2" x14ac:dyDescent="0.3">
      <c r="A626" t="s">
        <v>24</v>
      </c>
      <c r="B626">
        <v>4062.79</v>
      </c>
    </row>
    <row r="627" spans="1:2" x14ac:dyDescent="0.3">
      <c r="A627" t="s">
        <v>17</v>
      </c>
      <c r="B627">
        <v>4050.84</v>
      </c>
    </row>
    <row r="628" spans="1:2" x14ac:dyDescent="0.3">
      <c r="A628" t="s">
        <v>32</v>
      </c>
      <c r="B628">
        <v>4005.76</v>
      </c>
    </row>
    <row r="629" spans="1:2" x14ac:dyDescent="0.3">
      <c r="A629" t="s">
        <v>26</v>
      </c>
      <c r="B629">
        <v>3993.48</v>
      </c>
    </row>
    <row r="630" spans="1:2" x14ac:dyDescent="0.3">
      <c r="A630" t="s">
        <v>24</v>
      </c>
      <c r="B630">
        <v>3941.99</v>
      </c>
    </row>
    <row r="631" spans="1:2" x14ac:dyDescent="0.3">
      <c r="A631" t="s">
        <v>30</v>
      </c>
      <c r="B631">
        <v>3927.93</v>
      </c>
    </row>
    <row r="632" spans="1:2" x14ac:dyDescent="0.3">
      <c r="A632" t="s">
        <v>22</v>
      </c>
      <c r="B632">
        <v>3917.78</v>
      </c>
    </row>
    <row r="633" spans="1:2" x14ac:dyDescent="0.3">
      <c r="A633" t="s">
        <v>14</v>
      </c>
      <c r="B633">
        <v>3910.25</v>
      </c>
    </row>
    <row r="634" spans="1:2" x14ac:dyDescent="0.3">
      <c r="A634" t="s">
        <v>17</v>
      </c>
      <c r="B634">
        <v>3906.7</v>
      </c>
    </row>
    <row r="635" spans="1:2" x14ac:dyDescent="0.3">
      <c r="A635" t="s">
        <v>28</v>
      </c>
      <c r="B635">
        <v>3876.68</v>
      </c>
    </row>
    <row r="636" spans="1:2" x14ac:dyDescent="0.3">
      <c r="A636" t="s">
        <v>24</v>
      </c>
      <c r="B636">
        <v>3848.35</v>
      </c>
    </row>
    <row r="637" spans="1:2" x14ac:dyDescent="0.3">
      <c r="A637" t="s">
        <v>36</v>
      </c>
      <c r="B637">
        <v>3836.59</v>
      </c>
    </row>
    <row r="638" spans="1:2" x14ac:dyDescent="0.3">
      <c r="A638" t="s">
        <v>30</v>
      </c>
      <c r="B638">
        <v>3819.25</v>
      </c>
    </row>
    <row r="639" spans="1:2" x14ac:dyDescent="0.3">
      <c r="A639" t="s">
        <v>28</v>
      </c>
      <c r="B639">
        <v>3788.2</v>
      </c>
    </row>
    <row r="640" spans="1:2" x14ac:dyDescent="0.3">
      <c r="A640" t="s">
        <v>22</v>
      </c>
      <c r="B640">
        <v>3757.52</v>
      </c>
    </row>
    <row r="641" spans="1:2" x14ac:dyDescent="0.3">
      <c r="A641" t="s">
        <v>28</v>
      </c>
      <c r="B641">
        <v>3721.09</v>
      </c>
    </row>
    <row r="642" spans="1:2" x14ac:dyDescent="0.3">
      <c r="A642" t="s">
        <v>27</v>
      </c>
      <c r="B642">
        <v>3647.6</v>
      </c>
    </row>
    <row r="643" spans="1:2" x14ac:dyDescent="0.3">
      <c r="A643" t="s">
        <v>39</v>
      </c>
      <c r="B643">
        <v>3645.81</v>
      </c>
    </row>
    <row r="644" spans="1:2" x14ac:dyDescent="0.3">
      <c r="A644" t="s">
        <v>29</v>
      </c>
      <c r="B644">
        <v>3639.02</v>
      </c>
    </row>
    <row r="645" spans="1:2" x14ac:dyDescent="0.3">
      <c r="A645" t="s">
        <v>30</v>
      </c>
      <c r="B645">
        <v>3622.76</v>
      </c>
    </row>
    <row r="646" spans="1:2" x14ac:dyDescent="0.3">
      <c r="A646" t="s">
        <v>22</v>
      </c>
      <c r="B646">
        <v>3616.95</v>
      </c>
    </row>
    <row r="647" spans="1:2" x14ac:dyDescent="0.3">
      <c r="A647" t="s">
        <v>34</v>
      </c>
      <c r="B647">
        <v>3609.29</v>
      </c>
    </row>
    <row r="648" spans="1:2" x14ac:dyDescent="0.3">
      <c r="A648" t="s">
        <v>37</v>
      </c>
      <c r="B648">
        <v>3574.96</v>
      </c>
    </row>
    <row r="649" spans="1:2" x14ac:dyDescent="0.3">
      <c r="A649" t="s">
        <v>36</v>
      </c>
      <c r="B649">
        <v>3572.08</v>
      </c>
    </row>
    <row r="650" spans="1:2" x14ac:dyDescent="0.3">
      <c r="A650" t="s">
        <v>22</v>
      </c>
      <c r="B650">
        <v>3571.33</v>
      </c>
    </row>
    <row r="651" spans="1:2" x14ac:dyDescent="0.3">
      <c r="A651" t="s">
        <v>30</v>
      </c>
      <c r="B651">
        <v>3562.66</v>
      </c>
    </row>
    <row r="652" spans="1:2" x14ac:dyDescent="0.3">
      <c r="A652" t="s">
        <v>33</v>
      </c>
      <c r="B652">
        <v>3557.57</v>
      </c>
    </row>
    <row r="653" spans="1:2" x14ac:dyDescent="0.3">
      <c r="A653" t="s">
        <v>32</v>
      </c>
      <c r="B653">
        <v>3552.51</v>
      </c>
    </row>
    <row r="654" spans="1:2" x14ac:dyDescent="0.3">
      <c r="A654" t="s">
        <v>33</v>
      </c>
      <c r="B654">
        <v>3523.86</v>
      </c>
    </row>
    <row r="655" spans="1:2" x14ac:dyDescent="0.3">
      <c r="A655" t="s">
        <v>37</v>
      </c>
      <c r="B655">
        <v>3511.5</v>
      </c>
    </row>
    <row r="656" spans="1:2" x14ac:dyDescent="0.3">
      <c r="A656" t="s">
        <v>28</v>
      </c>
      <c r="B656">
        <v>3500.77</v>
      </c>
    </row>
    <row r="657" spans="1:2" x14ac:dyDescent="0.3">
      <c r="A657" t="s">
        <v>39</v>
      </c>
      <c r="B657">
        <v>3498.41</v>
      </c>
    </row>
    <row r="658" spans="1:2" x14ac:dyDescent="0.3">
      <c r="A658" t="s">
        <v>32</v>
      </c>
      <c r="B658">
        <v>3489.36</v>
      </c>
    </row>
    <row r="659" spans="1:2" x14ac:dyDescent="0.3">
      <c r="A659" t="s">
        <v>39</v>
      </c>
      <c r="B659">
        <v>3457.66</v>
      </c>
    </row>
    <row r="660" spans="1:2" x14ac:dyDescent="0.3">
      <c r="A660" t="s">
        <v>11</v>
      </c>
      <c r="B660">
        <v>3457.27</v>
      </c>
    </row>
    <row r="661" spans="1:2" x14ac:dyDescent="0.3">
      <c r="A661" t="s">
        <v>29</v>
      </c>
      <c r="B661">
        <v>3452.74</v>
      </c>
    </row>
    <row r="662" spans="1:2" x14ac:dyDescent="0.3">
      <c r="A662" t="s">
        <v>30</v>
      </c>
      <c r="B662">
        <v>3443.25</v>
      </c>
    </row>
    <row r="663" spans="1:2" x14ac:dyDescent="0.3">
      <c r="A663" t="s">
        <v>11</v>
      </c>
      <c r="B663">
        <v>3442.4</v>
      </c>
    </row>
    <row r="664" spans="1:2" x14ac:dyDescent="0.3">
      <c r="A664" t="s">
        <v>37</v>
      </c>
      <c r="B664">
        <v>3442.14</v>
      </c>
    </row>
    <row r="665" spans="1:2" x14ac:dyDescent="0.3">
      <c r="A665" t="s">
        <v>29</v>
      </c>
      <c r="B665">
        <v>3439.33</v>
      </c>
    </row>
    <row r="666" spans="1:2" x14ac:dyDescent="0.3">
      <c r="A666" t="s">
        <v>37</v>
      </c>
      <c r="B666">
        <v>3427.58</v>
      </c>
    </row>
    <row r="667" spans="1:2" x14ac:dyDescent="0.3">
      <c r="A667" t="s">
        <v>35</v>
      </c>
      <c r="B667">
        <v>3427.33</v>
      </c>
    </row>
    <row r="668" spans="1:2" x14ac:dyDescent="0.3">
      <c r="A668" t="s">
        <v>33</v>
      </c>
      <c r="B668">
        <v>3417.2</v>
      </c>
    </row>
    <row r="669" spans="1:2" x14ac:dyDescent="0.3">
      <c r="A669" t="s">
        <v>35</v>
      </c>
      <c r="B669">
        <v>3383.9</v>
      </c>
    </row>
    <row r="670" spans="1:2" x14ac:dyDescent="0.3">
      <c r="A670" t="s">
        <v>29</v>
      </c>
      <c r="B670">
        <v>3347.8</v>
      </c>
    </row>
    <row r="671" spans="1:2" x14ac:dyDescent="0.3">
      <c r="A671" t="s">
        <v>39</v>
      </c>
      <c r="B671">
        <v>3343.31</v>
      </c>
    </row>
    <row r="672" spans="1:2" x14ac:dyDescent="0.3">
      <c r="A672" t="s">
        <v>26</v>
      </c>
      <c r="B672">
        <v>3329.25</v>
      </c>
    </row>
    <row r="673" spans="1:2" x14ac:dyDescent="0.3">
      <c r="A673" t="s">
        <v>39</v>
      </c>
      <c r="B673">
        <v>3304.56</v>
      </c>
    </row>
    <row r="674" spans="1:2" x14ac:dyDescent="0.3">
      <c r="A674" t="s">
        <v>17</v>
      </c>
      <c r="B674">
        <v>3297.56</v>
      </c>
    </row>
    <row r="675" spans="1:2" x14ac:dyDescent="0.3">
      <c r="A675" t="s">
        <v>30</v>
      </c>
      <c r="B675">
        <v>3294.2</v>
      </c>
    </row>
    <row r="676" spans="1:2" x14ac:dyDescent="0.3">
      <c r="A676" t="s">
        <v>36</v>
      </c>
      <c r="B676">
        <v>3283.24</v>
      </c>
    </row>
    <row r="677" spans="1:2" x14ac:dyDescent="0.3">
      <c r="A677" t="s">
        <v>28</v>
      </c>
      <c r="B677">
        <v>3278.07</v>
      </c>
    </row>
    <row r="678" spans="1:2" x14ac:dyDescent="0.3">
      <c r="A678" t="s">
        <v>33</v>
      </c>
      <c r="B678">
        <v>3272.36</v>
      </c>
    </row>
    <row r="679" spans="1:2" x14ac:dyDescent="0.3">
      <c r="A679" t="s">
        <v>35</v>
      </c>
      <c r="B679">
        <v>3252.39</v>
      </c>
    </row>
    <row r="680" spans="1:2" x14ac:dyDescent="0.3">
      <c r="A680" t="s">
        <v>32</v>
      </c>
      <c r="B680">
        <v>3251.33</v>
      </c>
    </row>
    <row r="681" spans="1:2" x14ac:dyDescent="0.3">
      <c r="A681" t="s">
        <v>35</v>
      </c>
      <c r="B681">
        <v>3195.52</v>
      </c>
    </row>
    <row r="682" spans="1:2" x14ac:dyDescent="0.3">
      <c r="A682" t="s">
        <v>29</v>
      </c>
      <c r="B682">
        <v>3188.74</v>
      </c>
    </row>
    <row r="683" spans="1:2" x14ac:dyDescent="0.3">
      <c r="A683" t="s">
        <v>28</v>
      </c>
      <c r="B683">
        <v>3183.44</v>
      </c>
    </row>
    <row r="684" spans="1:2" x14ac:dyDescent="0.3">
      <c r="A684" t="s">
        <v>24</v>
      </c>
      <c r="B684">
        <v>3155.34</v>
      </c>
    </row>
    <row r="685" spans="1:2" x14ac:dyDescent="0.3">
      <c r="A685" t="s">
        <v>32</v>
      </c>
      <c r="B685">
        <v>3154</v>
      </c>
    </row>
    <row r="686" spans="1:2" x14ac:dyDescent="0.3">
      <c r="A686" t="s">
        <v>28</v>
      </c>
      <c r="B686">
        <v>3153.43</v>
      </c>
    </row>
    <row r="687" spans="1:2" x14ac:dyDescent="0.3">
      <c r="A687" t="s">
        <v>36</v>
      </c>
      <c r="B687">
        <v>3153.33</v>
      </c>
    </row>
    <row r="688" spans="1:2" x14ac:dyDescent="0.3">
      <c r="A688" t="s">
        <v>26</v>
      </c>
      <c r="B688">
        <v>3144.65</v>
      </c>
    </row>
    <row r="689" spans="1:2" x14ac:dyDescent="0.3">
      <c r="A689" t="s">
        <v>30</v>
      </c>
      <c r="B689">
        <v>3125.23</v>
      </c>
    </row>
    <row r="690" spans="1:2" x14ac:dyDescent="0.3">
      <c r="A690" t="s">
        <v>38</v>
      </c>
      <c r="B690">
        <v>3121.03</v>
      </c>
    </row>
    <row r="691" spans="1:2" x14ac:dyDescent="0.3">
      <c r="A691" t="s">
        <v>27</v>
      </c>
      <c r="B691">
        <v>3116.14</v>
      </c>
    </row>
    <row r="692" spans="1:2" x14ac:dyDescent="0.3">
      <c r="A692" t="s">
        <v>22</v>
      </c>
      <c r="B692">
        <v>3084.47</v>
      </c>
    </row>
    <row r="693" spans="1:2" x14ac:dyDescent="0.3">
      <c r="A693" t="s">
        <v>39</v>
      </c>
      <c r="B693">
        <v>3066.27</v>
      </c>
    </row>
    <row r="694" spans="1:2" x14ac:dyDescent="0.3">
      <c r="A694" t="s">
        <v>17</v>
      </c>
      <c r="B694">
        <v>3054.92</v>
      </c>
    </row>
    <row r="695" spans="1:2" x14ac:dyDescent="0.3">
      <c r="A695" t="s">
        <v>24</v>
      </c>
      <c r="B695">
        <v>3048.02</v>
      </c>
    </row>
    <row r="696" spans="1:2" x14ac:dyDescent="0.3">
      <c r="A696" t="s">
        <v>17</v>
      </c>
      <c r="B696">
        <v>3015.63</v>
      </c>
    </row>
    <row r="697" spans="1:2" x14ac:dyDescent="0.3">
      <c r="A697" t="s">
        <v>38</v>
      </c>
      <c r="B697">
        <v>3010.29</v>
      </c>
    </row>
    <row r="698" spans="1:2" x14ac:dyDescent="0.3">
      <c r="A698" t="s">
        <v>30</v>
      </c>
      <c r="B698">
        <v>3003.7</v>
      </c>
    </row>
    <row r="699" spans="1:2" x14ac:dyDescent="0.3">
      <c r="A699" t="s">
        <v>33</v>
      </c>
      <c r="B699">
        <v>2986.74</v>
      </c>
    </row>
    <row r="700" spans="1:2" x14ac:dyDescent="0.3">
      <c r="A700" t="s">
        <v>22</v>
      </c>
      <c r="B700">
        <v>2986.36</v>
      </c>
    </row>
    <row r="701" spans="1:2" x14ac:dyDescent="0.3">
      <c r="A701" t="s">
        <v>34</v>
      </c>
      <c r="B701">
        <v>2968.27</v>
      </c>
    </row>
    <row r="702" spans="1:2" x14ac:dyDescent="0.3">
      <c r="A702" t="s">
        <v>17</v>
      </c>
      <c r="B702">
        <v>2960.56</v>
      </c>
    </row>
    <row r="703" spans="1:2" x14ac:dyDescent="0.3">
      <c r="A703" t="s">
        <v>14</v>
      </c>
      <c r="B703">
        <v>2954.67</v>
      </c>
    </row>
    <row r="704" spans="1:2" x14ac:dyDescent="0.3">
      <c r="A704" t="s">
        <v>32</v>
      </c>
      <c r="B704">
        <v>2953.35</v>
      </c>
    </row>
    <row r="705" spans="1:2" x14ac:dyDescent="0.3">
      <c r="A705" t="s">
        <v>11</v>
      </c>
      <c r="B705">
        <v>2941.29</v>
      </c>
    </row>
    <row r="706" spans="1:2" x14ac:dyDescent="0.3">
      <c r="A706" t="s">
        <v>35</v>
      </c>
      <c r="B706">
        <v>2939.89</v>
      </c>
    </row>
    <row r="707" spans="1:2" x14ac:dyDescent="0.3">
      <c r="A707" t="s">
        <v>17</v>
      </c>
      <c r="B707">
        <v>2931</v>
      </c>
    </row>
    <row r="708" spans="1:2" x14ac:dyDescent="0.3">
      <c r="A708" t="s">
        <v>32</v>
      </c>
      <c r="B708">
        <v>2921.32</v>
      </c>
    </row>
    <row r="709" spans="1:2" x14ac:dyDescent="0.3">
      <c r="A709" t="s">
        <v>22</v>
      </c>
      <c r="B709">
        <v>2921</v>
      </c>
    </row>
    <row r="710" spans="1:2" x14ac:dyDescent="0.3">
      <c r="A710" t="s">
        <v>29</v>
      </c>
      <c r="B710">
        <v>2916.65</v>
      </c>
    </row>
    <row r="711" spans="1:2" x14ac:dyDescent="0.3">
      <c r="A711" t="s">
        <v>28</v>
      </c>
      <c r="B711">
        <v>2911.7</v>
      </c>
    </row>
    <row r="712" spans="1:2" x14ac:dyDescent="0.3">
      <c r="A712" t="s">
        <v>37</v>
      </c>
      <c r="B712">
        <v>2899.92</v>
      </c>
    </row>
    <row r="713" spans="1:2" x14ac:dyDescent="0.3">
      <c r="A713" t="s">
        <v>35</v>
      </c>
      <c r="B713">
        <v>2894.24</v>
      </c>
    </row>
    <row r="714" spans="1:2" x14ac:dyDescent="0.3">
      <c r="A714" t="s">
        <v>22</v>
      </c>
      <c r="B714">
        <v>2877.76</v>
      </c>
    </row>
    <row r="715" spans="1:2" x14ac:dyDescent="0.3">
      <c r="A715" t="s">
        <v>19</v>
      </c>
      <c r="B715">
        <v>2857.47</v>
      </c>
    </row>
    <row r="716" spans="1:2" x14ac:dyDescent="0.3">
      <c r="A716" t="s">
        <v>32</v>
      </c>
      <c r="B716">
        <v>2852.92</v>
      </c>
    </row>
    <row r="717" spans="1:2" x14ac:dyDescent="0.3">
      <c r="A717" t="s">
        <v>30</v>
      </c>
      <c r="B717">
        <v>2850.4</v>
      </c>
    </row>
    <row r="718" spans="1:2" x14ac:dyDescent="0.3">
      <c r="A718" t="s">
        <v>39</v>
      </c>
      <c r="B718">
        <v>2848.03</v>
      </c>
    </row>
    <row r="719" spans="1:2" x14ac:dyDescent="0.3">
      <c r="A719" t="s">
        <v>36</v>
      </c>
      <c r="B719">
        <v>2836.6</v>
      </c>
    </row>
    <row r="720" spans="1:2" x14ac:dyDescent="0.3">
      <c r="A720" t="s">
        <v>38</v>
      </c>
      <c r="B720">
        <v>2818.14</v>
      </c>
    </row>
    <row r="721" spans="1:2" x14ac:dyDescent="0.3">
      <c r="A721" t="s">
        <v>14</v>
      </c>
      <c r="B721">
        <v>2817.91</v>
      </c>
    </row>
    <row r="722" spans="1:2" x14ac:dyDescent="0.3">
      <c r="A722" t="s">
        <v>33</v>
      </c>
      <c r="B722">
        <v>2817.42</v>
      </c>
    </row>
    <row r="723" spans="1:2" x14ac:dyDescent="0.3">
      <c r="A723" t="s">
        <v>17</v>
      </c>
      <c r="B723">
        <v>2810.17</v>
      </c>
    </row>
    <row r="724" spans="1:2" x14ac:dyDescent="0.3">
      <c r="A724" t="s">
        <v>32</v>
      </c>
      <c r="B724">
        <v>2804.74</v>
      </c>
    </row>
    <row r="725" spans="1:2" x14ac:dyDescent="0.3">
      <c r="A725" t="s">
        <v>29</v>
      </c>
      <c r="B725">
        <v>2802.45</v>
      </c>
    </row>
    <row r="726" spans="1:2" x14ac:dyDescent="0.3">
      <c r="A726" t="s">
        <v>14</v>
      </c>
      <c r="B726">
        <v>2796.6</v>
      </c>
    </row>
    <row r="727" spans="1:2" x14ac:dyDescent="0.3">
      <c r="A727" t="s">
        <v>11</v>
      </c>
      <c r="B727">
        <v>2782.17</v>
      </c>
    </row>
    <row r="728" spans="1:2" x14ac:dyDescent="0.3">
      <c r="A728" t="s">
        <v>22</v>
      </c>
      <c r="B728">
        <v>2776.21</v>
      </c>
    </row>
    <row r="729" spans="1:2" x14ac:dyDescent="0.3">
      <c r="A729" t="s">
        <v>14</v>
      </c>
      <c r="B729">
        <v>2774.43</v>
      </c>
    </row>
    <row r="730" spans="1:2" x14ac:dyDescent="0.3">
      <c r="A730" t="s">
        <v>17</v>
      </c>
      <c r="B730">
        <v>2771.56</v>
      </c>
    </row>
    <row r="731" spans="1:2" x14ac:dyDescent="0.3">
      <c r="A731" t="s">
        <v>17</v>
      </c>
      <c r="B731">
        <v>2748.76</v>
      </c>
    </row>
    <row r="732" spans="1:2" x14ac:dyDescent="0.3">
      <c r="A732" t="s">
        <v>33</v>
      </c>
      <c r="B732">
        <v>2730.93</v>
      </c>
    </row>
    <row r="733" spans="1:2" x14ac:dyDescent="0.3">
      <c r="A733" t="s">
        <v>34</v>
      </c>
      <c r="B733">
        <v>2729.07</v>
      </c>
    </row>
    <row r="734" spans="1:2" x14ac:dyDescent="0.3">
      <c r="A734" t="s">
        <v>22</v>
      </c>
      <c r="B734">
        <v>2720.03</v>
      </c>
    </row>
    <row r="735" spans="1:2" x14ac:dyDescent="0.3">
      <c r="A735" t="s">
        <v>39</v>
      </c>
      <c r="B735">
        <v>2716.21</v>
      </c>
    </row>
    <row r="736" spans="1:2" x14ac:dyDescent="0.3">
      <c r="A736" t="s">
        <v>39</v>
      </c>
      <c r="B736">
        <v>2705.41</v>
      </c>
    </row>
    <row r="737" spans="1:2" x14ac:dyDescent="0.3">
      <c r="A737" t="s">
        <v>38</v>
      </c>
      <c r="B737">
        <v>2702.1</v>
      </c>
    </row>
    <row r="738" spans="1:2" x14ac:dyDescent="0.3">
      <c r="A738" t="s">
        <v>27</v>
      </c>
      <c r="B738">
        <v>2700.56</v>
      </c>
    </row>
    <row r="739" spans="1:2" x14ac:dyDescent="0.3">
      <c r="A739" t="s">
        <v>38</v>
      </c>
      <c r="B739">
        <v>2685.04</v>
      </c>
    </row>
    <row r="740" spans="1:2" x14ac:dyDescent="0.3">
      <c r="A740" t="s">
        <v>11</v>
      </c>
      <c r="B740">
        <v>2678.87</v>
      </c>
    </row>
    <row r="741" spans="1:2" x14ac:dyDescent="0.3">
      <c r="A741" t="s">
        <v>39</v>
      </c>
      <c r="B741">
        <v>2658.8</v>
      </c>
    </row>
    <row r="742" spans="1:2" x14ac:dyDescent="0.3">
      <c r="A742" t="s">
        <v>14</v>
      </c>
      <c r="B742">
        <v>2655.51</v>
      </c>
    </row>
    <row r="743" spans="1:2" x14ac:dyDescent="0.3">
      <c r="A743" t="s">
        <v>24</v>
      </c>
      <c r="B743">
        <v>2644.13</v>
      </c>
    </row>
    <row r="744" spans="1:2" x14ac:dyDescent="0.3">
      <c r="A744" t="s">
        <v>34</v>
      </c>
      <c r="B744">
        <v>2616.3000000000002</v>
      </c>
    </row>
    <row r="745" spans="1:2" x14ac:dyDescent="0.3">
      <c r="A745" t="s">
        <v>38</v>
      </c>
      <c r="B745">
        <v>2609.33</v>
      </c>
    </row>
    <row r="746" spans="1:2" x14ac:dyDescent="0.3">
      <c r="A746" t="s">
        <v>19</v>
      </c>
      <c r="B746">
        <v>2603.2399999999998</v>
      </c>
    </row>
    <row r="747" spans="1:2" x14ac:dyDescent="0.3">
      <c r="A747" t="s">
        <v>33</v>
      </c>
      <c r="B747">
        <v>2571.37</v>
      </c>
    </row>
    <row r="748" spans="1:2" x14ac:dyDescent="0.3">
      <c r="A748" t="s">
        <v>24</v>
      </c>
      <c r="B748">
        <v>2569.27</v>
      </c>
    </row>
    <row r="749" spans="1:2" x14ac:dyDescent="0.3">
      <c r="A749" t="s">
        <v>19</v>
      </c>
      <c r="B749">
        <v>2549.46</v>
      </c>
    </row>
    <row r="750" spans="1:2" x14ac:dyDescent="0.3">
      <c r="A750" t="s">
        <v>27</v>
      </c>
      <c r="B750">
        <v>2541.92</v>
      </c>
    </row>
    <row r="751" spans="1:2" x14ac:dyDescent="0.3">
      <c r="A751" t="s">
        <v>37</v>
      </c>
      <c r="B751">
        <v>2528.84</v>
      </c>
    </row>
    <row r="752" spans="1:2" x14ac:dyDescent="0.3">
      <c r="A752" t="s">
        <v>35</v>
      </c>
      <c r="B752">
        <v>2508.1799999999998</v>
      </c>
    </row>
    <row r="753" spans="1:2" x14ac:dyDescent="0.3">
      <c r="A753" t="s">
        <v>11</v>
      </c>
      <c r="B753">
        <v>2498.54</v>
      </c>
    </row>
    <row r="754" spans="1:2" x14ac:dyDescent="0.3">
      <c r="A754" t="s">
        <v>17</v>
      </c>
      <c r="B754">
        <v>2496.0700000000002</v>
      </c>
    </row>
    <row r="755" spans="1:2" x14ac:dyDescent="0.3">
      <c r="A755" t="s">
        <v>39</v>
      </c>
      <c r="B755">
        <v>2489.7199999999998</v>
      </c>
    </row>
    <row r="756" spans="1:2" x14ac:dyDescent="0.3">
      <c r="A756" t="s">
        <v>38</v>
      </c>
      <c r="B756">
        <v>2487.59</v>
      </c>
    </row>
    <row r="757" spans="1:2" x14ac:dyDescent="0.3">
      <c r="A757" t="s">
        <v>36</v>
      </c>
      <c r="B757">
        <v>2486.08</v>
      </c>
    </row>
    <row r="758" spans="1:2" x14ac:dyDescent="0.3">
      <c r="A758" t="s">
        <v>24</v>
      </c>
      <c r="B758">
        <v>2435.17</v>
      </c>
    </row>
    <row r="759" spans="1:2" x14ac:dyDescent="0.3">
      <c r="A759" t="s">
        <v>19</v>
      </c>
      <c r="B759">
        <v>2426.27</v>
      </c>
    </row>
    <row r="760" spans="1:2" x14ac:dyDescent="0.3">
      <c r="A760" t="s">
        <v>35</v>
      </c>
      <c r="B760">
        <v>2418.9499999999998</v>
      </c>
    </row>
    <row r="761" spans="1:2" x14ac:dyDescent="0.3">
      <c r="A761" t="s">
        <v>36</v>
      </c>
      <c r="B761">
        <v>2410.52</v>
      </c>
    </row>
    <row r="762" spans="1:2" x14ac:dyDescent="0.3">
      <c r="A762" t="s">
        <v>36</v>
      </c>
      <c r="B762">
        <v>2404.2399999999998</v>
      </c>
    </row>
    <row r="763" spans="1:2" x14ac:dyDescent="0.3">
      <c r="A763" t="s">
        <v>35</v>
      </c>
      <c r="B763">
        <v>2402.61</v>
      </c>
    </row>
    <row r="764" spans="1:2" x14ac:dyDescent="0.3">
      <c r="A764" t="s">
        <v>37</v>
      </c>
      <c r="B764">
        <v>2402.13</v>
      </c>
    </row>
    <row r="765" spans="1:2" x14ac:dyDescent="0.3">
      <c r="A765" t="s">
        <v>27</v>
      </c>
      <c r="B765">
        <v>2395.42</v>
      </c>
    </row>
    <row r="766" spans="1:2" x14ac:dyDescent="0.3">
      <c r="A766" t="s">
        <v>34</v>
      </c>
      <c r="B766">
        <v>2392.39</v>
      </c>
    </row>
    <row r="767" spans="1:2" x14ac:dyDescent="0.3">
      <c r="A767" t="s">
        <v>32</v>
      </c>
      <c r="B767">
        <v>2383.04</v>
      </c>
    </row>
    <row r="768" spans="1:2" x14ac:dyDescent="0.3">
      <c r="A768" t="s">
        <v>11</v>
      </c>
      <c r="B768">
        <v>2380.92</v>
      </c>
    </row>
    <row r="769" spans="1:2" x14ac:dyDescent="0.3">
      <c r="A769" t="s">
        <v>29</v>
      </c>
      <c r="B769">
        <v>2378.25</v>
      </c>
    </row>
    <row r="770" spans="1:2" x14ac:dyDescent="0.3">
      <c r="A770" t="s">
        <v>34</v>
      </c>
      <c r="B770">
        <v>2378.0700000000002</v>
      </c>
    </row>
    <row r="771" spans="1:2" x14ac:dyDescent="0.3">
      <c r="A771" t="s">
        <v>11</v>
      </c>
      <c r="B771">
        <v>2376.31</v>
      </c>
    </row>
    <row r="772" spans="1:2" x14ac:dyDescent="0.3">
      <c r="A772" t="s">
        <v>11</v>
      </c>
      <c r="B772">
        <v>2374.6799999999998</v>
      </c>
    </row>
    <row r="773" spans="1:2" x14ac:dyDescent="0.3">
      <c r="A773" t="s">
        <v>37</v>
      </c>
      <c r="B773">
        <v>2365.9499999999998</v>
      </c>
    </row>
    <row r="774" spans="1:2" x14ac:dyDescent="0.3">
      <c r="A774" t="s">
        <v>37</v>
      </c>
      <c r="B774">
        <v>2357.9899999999998</v>
      </c>
    </row>
    <row r="775" spans="1:2" x14ac:dyDescent="0.3">
      <c r="A775" t="s">
        <v>33</v>
      </c>
      <c r="B775">
        <v>2351.42</v>
      </c>
    </row>
    <row r="776" spans="1:2" x14ac:dyDescent="0.3">
      <c r="A776" t="s">
        <v>38</v>
      </c>
      <c r="B776">
        <v>2341.34</v>
      </c>
    </row>
    <row r="777" spans="1:2" x14ac:dyDescent="0.3">
      <c r="A777" t="s">
        <v>14</v>
      </c>
      <c r="B777">
        <v>2339.94</v>
      </c>
    </row>
    <row r="778" spans="1:2" x14ac:dyDescent="0.3">
      <c r="A778" t="s">
        <v>39</v>
      </c>
      <c r="B778">
        <v>2336.66</v>
      </c>
    </row>
    <row r="779" spans="1:2" x14ac:dyDescent="0.3">
      <c r="A779" t="s">
        <v>37</v>
      </c>
      <c r="B779">
        <v>2334.44</v>
      </c>
    </row>
    <row r="780" spans="1:2" x14ac:dyDescent="0.3">
      <c r="A780" t="s">
        <v>19</v>
      </c>
      <c r="B780">
        <v>2318.21</v>
      </c>
    </row>
    <row r="781" spans="1:2" x14ac:dyDescent="0.3">
      <c r="A781" t="s">
        <v>37</v>
      </c>
      <c r="B781">
        <v>2298.7399999999998</v>
      </c>
    </row>
    <row r="782" spans="1:2" x14ac:dyDescent="0.3">
      <c r="A782" t="s">
        <v>19</v>
      </c>
      <c r="B782">
        <v>2286.1999999999998</v>
      </c>
    </row>
    <row r="783" spans="1:2" x14ac:dyDescent="0.3">
      <c r="A783" t="s">
        <v>30</v>
      </c>
      <c r="B783">
        <v>2276.17</v>
      </c>
    </row>
    <row r="784" spans="1:2" x14ac:dyDescent="0.3">
      <c r="A784" t="s">
        <v>24</v>
      </c>
      <c r="B784">
        <v>2267.37</v>
      </c>
    </row>
    <row r="785" spans="1:2" x14ac:dyDescent="0.3">
      <c r="A785" t="s">
        <v>28</v>
      </c>
      <c r="B785">
        <v>2251.04</v>
      </c>
    </row>
    <row r="786" spans="1:2" x14ac:dyDescent="0.3">
      <c r="A786" t="s">
        <v>40</v>
      </c>
      <c r="B786">
        <v>2228.06</v>
      </c>
    </row>
    <row r="787" spans="1:2" x14ac:dyDescent="0.3">
      <c r="A787" t="s">
        <v>24</v>
      </c>
      <c r="B787">
        <v>2193.4299999999998</v>
      </c>
    </row>
    <row r="788" spans="1:2" x14ac:dyDescent="0.3">
      <c r="A788" t="s">
        <v>17</v>
      </c>
      <c r="B788">
        <v>2191.92</v>
      </c>
    </row>
    <row r="789" spans="1:2" x14ac:dyDescent="0.3">
      <c r="A789" t="s">
        <v>35</v>
      </c>
      <c r="B789">
        <v>2172.36</v>
      </c>
    </row>
    <row r="790" spans="1:2" x14ac:dyDescent="0.3">
      <c r="A790" t="s">
        <v>33</v>
      </c>
      <c r="B790">
        <v>2163.61</v>
      </c>
    </row>
    <row r="791" spans="1:2" x14ac:dyDescent="0.3">
      <c r="A791" t="s">
        <v>36</v>
      </c>
      <c r="B791">
        <v>2151.14</v>
      </c>
    </row>
    <row r="792" spans="1:2" x14ac:dyDescent="0.3">
      <c r="A792" t="s">
        <v>36</v>
      </c>
      <c r="B792">
        <v>2131.21</v>
      </c>
    </row>
    <row r="793" spans="1:2" x14ac:dyDescent="0.3">
      <c r="A793" t="s">
        <v>30</v>
      </c>
      <c r="B793">
        <v>2127.59</v>
      </c>
    </row>
    <row r="794" spans="1:2" x14ac:dyDescent="0.3">
      <c r="A794" t="s">
        <v>37</v>
      </c>
      <c r="B794">
        <v>2124.25</v>
      </c>
    </row>
    <row r="795" spans="1:2" x14ac:dyDescent="0.3">
      <c r="A795" t="s">
        <v>17</v>
      </c>
      <c r="B795">
        <v>2090.17</v>
      </c>
    </row>
    <row r="796" spans="1:2" x14ac:dyDescent="0.3">
      <c r="A796" t="s">
        <v>38</v>
      </c>
      <c r="B796">
        <v>2086.4</v>
      </c>
    </row>
    <row r="797" spans="1:2" x14ac:dyDescent="0.3">
      <c r="A797" t="s">
        <v>26</v>
      </c>
      <c r="B797">
        <v>2078.04</v>
      </c>
    </row>
    <row r="798" spans="1:2" x14ac:dyDescent="0.3">
      <c r="A798" t="s">
        <v>28</v>
      </c>
      <c r="B798">
        <v>2064.64</v>
      </c>
    </row>
    <row r="799" spans="1:2" x14ac:dyDescent="0.3">
      <c r="A799" t="s">
        <v>30</v>
      </c>
      <c r="B799">
        <v>2061.34</v>
      </c>
    </row>
    <row r="800" spans="1:2" x14ac:dyDescent="0.3">
      <c r="A800" t="s">
        <v>40</v>
      </c>
      <c r="B800">
        <v>2037.82</v>
      </c>
    </row>
    <row r="801" spans="1:2" x14ac:dyDescent="0.3">
      <c r="A801" t="s">
        <v>32</v>
      </c>
      <c r="B801">
        <v>2036.86</v>
      </c>
    </row>
    <row r="802" spans="1:2" x14ac:dyDescent="0.3">
      <c r="A802" t="s">
        <v>36</v>
      </c>
      <c r="B802">
        <v>2000.91</v>
      </c>
    </row>
    <row r="803" spans="1:2" x14ac:dyDescent="0.3">
      <c r="A803" t="s">
        <v>28</v>
      </c>
      <c r="B803">
        <v>1981</v>
      </c>
    </row>
    <row r="804" spans="1:2" x14ac:dyDescent="0.3">
      <c r="A804" t="s">
        <v>30</v>
      </c>
      <c r="B804">
        <v>1964.61</v>
      </c>
    </row>
    <row r="805" spans="1:2" x14ac:dyDescent="0.3">
      <c r="A805" t="s">
        <v>40</v>
      </c>
      <c r="B805">
        <v>1957.1</v>
      </c>
    </row>
    <row r="806" spans="1:2" x14ac:dyDescent="0.3">
      <c r="A806" t="s">
        <v>35</v>
      </c>
      <c r="B806">
        <v>1956.97</v>
      </c>
    </row>
    <row r="807" spans="1:2" x14ac:dyDescent="0.3">
      <c r="A807" t="s">
        <v>19</v>
      </c>
      <c r="B807">
        <v>1947.37</v>
      </c>
    </row>
    <row r="808" spans="1:2" x14ac:dyDescent="0.3">
      <c r="A808" t="s">
        <v>39</v>
      </c>
      <c r="B808">
        <v>1947</v>
      </c>
    </row>
    <row r="809" spans="1:2" x14ac:dyDescent="0.3">
      <c r="A809" t="s">
        <v>38</v>
      </c>
      <c r="B809">
        <v>1939.17</v>
      </c>
    </row>
    <row r="810" spans="1:2" x14ac:dyDescent="0.3">
      <c r="A810" t="s">
        <v>33</v>
      </c>
      <c r="B810">
        <v>1910.01</v>
      </c>
    </row>
    <row r="811" spans="1:2" x14ac:dyDescent="0.3">
      <c r="A811" t="s">
        <v>28</v>
      </c>
      <c r="B811">
        <v>1904.43</v>
      </c>
    </row>
    <row r="812" spans="1:2" x14ac:dyDescent="0.3">
      <c r="A812" t="s">
        <v>32</v>
      </c>
      <c r="B812">
        <v>1883.04</v>
      </c>
    </row>
    <row r="813" spans="1:2" x14ac:dyDescent="0.3">
      <c r="A813" t="s">
        <v>30</v>
      </c>
      <c r="B813">
        <v>1881.67</v>
      </c>
    </row>
    <row r="814" spans="1:2" x14ac:dyDescent="0.3">
      <c r="A814" t="s">
        <v>35</v>
      </c>
      <c r="B814">
        <v>1878.05</v>
      </c>
    </row>
    <row r="815" spans="1:2" x14ac:dyDescent="0.3">
      <c r="A815" t="s">
        <v>27</v>
      </c>
      <c r="B815">
        <v>1873.73</v>
      </c>
    </row>
    <row r="816" spans="1:2" x14ac:dyDescent="0.3">
      <c r="A816" t="s">
        <v>17</v>
      </c>
      <c r="B816">
        <v>1873.16</v>
      </c>
    </row>
    <row r="817" spans="1:2" x14ac:dyDescent="0.3">
      <c r="A817" t="s">
        <v>37</v>
      </c>
      <c r="B817">
        <v>1861.94</v>
      </c>
    </row>
    <row r="818" spans="1:2" x14ac:dyDescent="0.3">
      <c r="A818" t="s">
        <v>14</v>
      </c>
      <c r="B818">
        <v>1845.82</v>
      </c>
    </row>
    <row r="819" spans="1:2" x14ac:dyDescent="0.3">
      <c r="A819" t="s">
        <v>33</v>
      </c>
      <c r="B819">
        <v>1822.46</v>
      </c>
    </row>
    <row r="820" spans="1:2" x14ac:dyDescent="0.3">
      <c r="A820" t="s">
        <v>30</v>
      </c>
      <c r="B820">
        <v>1820.46</v>
      </c>
    </row>
    <row r="821" spans="1:2" x14ac:dyDescent="0.3">
      <c r="A821" t="s">
        <v>34</v>
      </c>
      <c r="B821">
        <v>1813.18</v>
      </c>
    </row>
    <row r="822" spans="1:2" x14ac:dyDescent="0.3">
      <c r="A822" t="s">
        <v>35</v>
      </c>
      <c r="B822">
        <v>1811.92</v>
      </c>
    </row>
    <row r="823" spans="1:2" x14ac:dyDescent="0.3">
      <c r="A823" t="s">
        <v>34</v>
      </c>
      <c r="B823">
        <v>1811.89</v>
      </c>
    </row>
    <row r="824" spans="1:2" x14ac:dyDescent="0.3">
      <c r="A824" t="s">
        <v>40</v>
      </c>
      <c r="B824">
        <v>1805.91</v>
      </c>
    </row>
    <row r="825" spans="1:2" x14ac:dyDescent="0.3">
      <c r="A825" t="s">
        <v>29</v>
      </c>
      <c r="B825">
        <v>1800.46</v>
      </c>
    </row>
    <row r="826" spans="1:2" x14ac:dyDescent="0.3">
      <c r="A826" t="s">
        <v>37</v>
      </c>
      <c r="B826">
        <v>1785.75</v>
      </c>
    </row>
    <row r="827" spans="1:2" x14ac:dyDescent="0.3">
      <c r="A827" t="s">
        <v>38</v>
      </c>
      <c r="B827">
        <v>1759.75</v>
      </c>
    </row>
    <row r="828" spans="1:2" x14ac:dyDescent="0.3">
      <c r="A828" t="s">
        <v>33</v>
      </c>
      <c r="B828">
        <v>1750.19</v>
      </c>
    </row>
    <row r="829" spans="1:2" x14ac:dyDescent="0.3">
      <c r="A829" t="s">
        <v>19</v>
      </c>
      <c r="B829">
        <v>1722.51</v>
      </c>
    </row>
    <row r="830" spans="1:2" x14ac:dyDescent="0.3">
      <c r="A830" t="s">
        <v>33</v>
      </c>
      <c r="B830">
        <v>1718.77</v>
      </c>
    </row>
    <row r="831" spans="1:2" x14ac:dyDescent="0.3">
      <c r="A831" t="s">
        <v>40</v>
      </c>
      <c r="B831">
        <v>1706.27</v>
      </c>
    </row>
    <row r="832" spans="1:2" x14ac:dyDescent="0.3">
      <c r="A832" t="s">
        <v>14</v>
      </c>
      <c r="B832">
        <v>1700.5</v>
      </c>
    </row>
    <row r="833" spans="1:2" x14ac:dyDescent="0.3">
      <c r="A833" t="s">
        <v>30</v>
      </c>
      <c r="B833">
        <v>1690.93</v>
      </c>
    </row>
    <row r="834" spans="1:2" x14ac:dyDescent="0.3">
      <c r="A834" t="s">
        <v>35</v>
      </c>
      <c r="B834">
        <v>1672.36</v>
      </c>
    </row>
    <row r="835" spans="1:2" x14ac:dyDescent="0.3">
      <c r="A835" t="s">
        <v>14</v>
      </c>
      <c r="B835">
        <v>1668.03</v>
      </c>
    </row>
    <row r="836" spans="1:2" x14ac:dyDescent="0.3">
      <c r="A836" t="s">
        <v>19</v>
      </c>
      <c r="B836">
        <v>1665.39</v>
      </c>
    </row>
    <row r="837" spans="1:2" x14ac:dyDescent="0.3">
      <c r="A837" t="s">
        <v>40</v>
      </c>
      <c r="B837">
        <v>1664.36</v>
      </c>
    </row>
    <row r="838" spans="1:2" x14ac:dyDescent="0.3">
      <c r="A838" t="s">
        <v>37</v>
      </c>
      <c r="B838">
        <v>1664.07</v>
      </c>
    </row>
    <row r="839" spans="1:2" x14ac:dyDescent="0.3">
      <c r="A839" t="s">
        <v>24</v>
      </c>
      <c r="B839">
        <v>1663.47</v>
      </c>
    </row>
    <row r="840" spans="1:2" x14ac:dyDescent="0.3">
      <c r="A840" t="s">
        <v>29</v>
      </c>
      <c r="B840">
        <v>1645.74</v>
      </c>
    </row>
    <row r="841" spans="1:2" x14ac:dyDescent="0.3">
      <c r="A841" t="s">
        <v>17</v>
      </c>
      <c r="B841">
        <v>1629.56</v>
      </c>
    </row>
    <row r="842" spans="1:2" x14ac:dyDescent="0.3">
      <c r="A842" t="s">
        <v>30</v>
      </c>
      <c r="B842">
        <v>1624.64</v>
      </c>
    </row>
    <row r="843" spans="1:2" x14ac:dyDescent="0.3">
      <c r="A843" t="s">
        <v>29</v>
      </c>
      <c r="B843">
        <v>1611.85</v>
      </c>
    </row>
    <row r="844" spans="1:2" x14ac:dyDescent="0.3">
      <c r="A844" t="s">
        <v>30</v>
      </c>
      <c r="B844">
        <v>1611.29</v>
      </c>
    </row>
    <row r="845" spans="1:2" x14ac:dyDescent="0.3">
      <c r="A845" t="s">
        <v>40</v>
      </c>
      <c r="B845">
        <v>1599.61</v>
      </c>
    </row>
    <row r="846" spans="1:2" x14ac:dyDescent="0.3">
      <c r="A846" t="s">
        <v>14</v>
      </c>
      <c r="B846">
        <v>1592.7</v>
      </c>
    </row>
    <row r="847" spans="1:2" x14ac:dyDescent="0.3">
      <c r="A847" t="s">
        <v>38</v>
      </c>
      <c r="B847">
        <v>1590.94</v>
      </c>
    </row>
    <row r="848" spans="1:2" x14ac:dyDescent="0.3">
      <c r="A848" t="s">
        <v>14</v>
      </c>
      <c r="B848">
        <v>1580.15</v>
      </c>
    </row>
    <row r="849" spans="1:2" x14ac:dyDescent="0.3">
      <c r="A849" t="s">
        <v>26</v>
      </c>
      <c r="B849">
        <v>1569.33</v>
      </c>
    </row>
    <row r="850" spans="1:2" x14ac:dyDescent="0.3">
      <c r="A850" t="s">
        <v>19</v>
      </c>
      <c r="B850">
        <v>1538.52</v>
      </c>
    </row>
    <row r="851" spans="1:2" x14ac:dyDescent="0.3">
      <c r="A851" t="s">
        <v>29</v>
      </c>
      <c r="B851">
        <v>1537.34</v>
      </c>
    </row>
    <row r="852" spans="1:2" x14ac:dyDescent="0.3">
      <c r="A852" t="s">
        <v>28</v>
      </c>
      <c r="B852">
        <v>1525.73</v>
      </c>
    </row>
    <row r="853" spans="1:2" x14ac:dyDescent="0.3">
      <c r="A853" t="s">
        <v>26</v>
      </c>
      <c r="B853">
        <v>1518.41</v>
      </c>
    </row>
    <row r="854" spans="1:2" x14ac:dyDescent="0.3">
      <c r="A854" t="s">
        <v>30</v>
      </c>
      <c r="B854">
        <v>1516.23</v>
      </c>
    </row>
    <row r="855" spans="1:2" x14ac:dyDescent="0.3">
      <c r="A855" t="s">
        <v>26</v>
      </c>
      <c r="B855">
        <v>1508.22</v>
      </c>
    </row>
    <row r="856" spans="1:2" x14ac:dyDescent="0.3">
      <c r="A856" t="s">
        <v>30</v>
      </c>
      <c r="B856">
        <v>1502.17</v>
      </c>
    </row>
    <row r="857" spans="1:2" x14ac:dyDescent="0.3">
      <c r="A857" t="s">
        <v>22</v>
      </c>
      <c r="B857">
        <v>1497.51</v>
      </c>
    </row>
    <row r="858" spans="1:2" x14ac:dyDescent="0.3">
      <c r="A858" t="s">
        <v>40</v>
      </c>
      <c r="B858">
        <v>1490.92</v>
      </c>
    </row>
    <row r="859" spans="1:2" x14ac:dyDescent="0.3">
      <c r="A859" t="s">
        <v>14</v>
      </c>
      <c r="B859">
        <v>1490.56</v>
      </c>
    </row>
    <row r="860" spans="1:2" x14ac:dyDescent="0.3">
      <c r="A860" t="s">
        <v>26</v>
      </c>
      <c r="B860">
        <v>1490.5</v>
      </c>
    </row>
    <row r="861" spans="1:2" x14ac:dyDescent="0.3">
      <c r="A861" t="s">
        <v>30</v>
      </c>
      <c r="B861">
        <v>1487.91</v>
      </c>
    </row>
    <row r="862" spans="1:2" x14ac:dyDescent="0.3">
      <c r="A862" t="s">
        <v>17</v>
      </c>
      <c r="B862">
        <v>1476.66</v>
      </c>
    </row>
    <row r="863" spans="1:2" x14ac:dyDescent="0.3">
      <c r="A863" t="s">
        <v>33</v>
      </c>
      <c r="B863">
        <v>1473.79</v>
      </c>
    </row>
    <row r="864" spans="1:2" x14ac:dyDescent="0.3">
      <c r="A864" t="s">
        <v>39</v>
      </c>
      <c r="B864">
        <v>1473.57</v>
      </c>
    </row>
    <row r="865" spans="1:2" x14ac:dyDescent="0.3">
      <c r="A865" t="s">
        <v>39</v>
      </c>
      <c r="B865">
        <v>1462.89</v>
      </c>
    </row>
    <row r="866" spans="1:2" x14ac:dyDescent="0.3">
      <c r="A866" t="s">
        <v>29</v>
      </c>
      <c r="B866">
        <v>1461.73</v>
      </c>
    </row>
    <row r="867" spans="1:2" x14ac:dyDescent="0.3">
      <c r="A867" t="s">
        <v>40</v>
      </c>
      <c r="B867">
        <v>1460.26</v>
      </c>
    </row>
    <row r="868" spans="1:2" x14ac:dyDescent="0.3">
      <c r="A868" t="s">
        <v>38</v>
      </c>
      <c r="B868">
        <v>1451.26</v>
      </c>
    </row>
    <row r="869" spans="1:2" x14ac:dyDescent="0.3">
      <c r="A869" t="s">
        <v>36</v>
      </c>
      <c r="B869">
        <v>1448.93</v>
      </c>
    </row>
    <row r="870" spans="1:2" x14ac:dyDescent="0.3">
      <c r="A870" t="s">
        <v>34</v>
      </c>
      <c r="B870">
        <v>1414.97</v>
      </c>
    </row>
    <row r="871" spans="1:2" x14ac:dyDescent="0.3">
      <c r="A871" t="s">
        <v>36</v>
      </c>
      <c r="B871">
        <v>1414.24</v>
      </c>
    </row>
    <row r="872" spans="1:2" x14ac:dyDescent="0.3">
      <c r="A872" t="s">
        <v>37</v>
      </c>
      <c r="B872">
        <v>1409.28</v>
      </c>
    </row>
    <row r="873" spans="1:2" x14ac:dyDescent="0.3">
      <c r="A873" t="s">
        <v>29</v>
      </c>
      <c r="B873">
        <v>1404.42</v>
      </c>
    </row>
    <row r="874" spans="1:2" x14ac:dyDescent="0.3">
      <c r="A874" t="s">
        <v>36</v>
      </c>
      <c r="B874">
        <v>1388.57</v>
      </c>
    </row>
    <row r="875" spans="1:2" x14ac:dyDescent="0.3">
      <c r="A875" t="s">
        <v>19</v>
      </c>
      <c r="B875">
        <v>1359.3</v>
      </c>
    </row>
    <row r="876" spans="1:2" x14ac:dyDescent="0.3">
      <c r="A876" t="s">
        <v>29</v>
      </c>
      <c r="B876">
        <v>1348.9</v>
      </c>
    </row>
    <row r="877" spans="1:2" x14ac:dyDescent="0.3">
      <c r="A877" t="s">
        <v>28</v>
      </c>
      <c r="B877">
        <v>1332.45</v>
      </c>
    </row>
    <row r="878" spans="1:2" x14ac:dyDescent="0.3">
      <c r="A878" t="s">
        <v>30</v>
      </c>
      <c r="B878">
        <v>1329.49</v>
      </c>
    </row>
    <row r="879" spans="1:2" x14ac:dyDescent="0.3">
      <c r="A879" t="s">
        <v>40</v>
      </c>
      <c r="B879">
        <v>1325.04</v>
      </c>
    </row>
    <row r="880" spans="1:2" x14ac:dyDescent="0.3">
      <c r="A880" t="s">
        <v>30</v>
      </c>
      <c r="B880">
        <v>1300.31</v>
      </c>
    </row>
    <row r="881" spans="1:2" x14ac:dyDescent="0.3">
      <c r="A881" t="s">
        <v>27</v>
      </c>
      <c r="B881">
        <v>1296.2</v>
      </c>
    </row>
    <row r="882" spans="1:2" x14ac:dyDescent="0.3">
      <c r="A882" t="s">
        <v>17</v>
      </c>
      <c r="B882">
        <v>1284.3499999999999</v>
      </c>
    </row>
    <row r="883" spans="1:2" x14ac:dyDescent="0.3">
      <c r="A883" t="s">
        <v>24</v>
      </c>
      <c r="B883">
        <v>1268.6500000000001</v>
      </c>
    </row>
    <row r="884" spans="1:2" x14ac:dyDescent="0.3">
      <c r="A884" t="s">
        <v>27</v>
      </c>
      <c r="B884">
        <v>1266.51</v>
      </c>
    </row>
    <row r="885" spans="1:2" x14ac:dyDescent="0.3">
      <c r="A885" t="s">
        <v>22</v>
      </c>
      <c r="B885">
        <v>1265.42</v>
      </c>
    </row>
    <row r="886" spans="1:2" x14ac:dyDescent="0.3">
      <c r="A886" t="s">
        <v>32</v>
      </c>
      <c r="B886">
        <v>1255.78</v>
      </c>
    </row>
    <row r="887" spans="1:2" x14ac:dyDescent="0.3">
      <c r="A887" t="s">
        <v>28</v>
      </c>
      <c r="B887">
        <v>1232.2</v>
      </c>
    </row>
    <row r="888" spans="1:2" x14ac:dyDescent="0.3">
      <c r="A888" t="s">
        <v>24</v>
      </c>
      <c r="B888">
        <v>1229.82</v>
      </c>
    </row>
    <row r="889" spans="1:2" x14ac:dyDescent="0.3">
      <c r="A889" t="s">
        <v>34</v>
      </c>
      <c r="B889">
        <v>1227.6600000000001</v>
      </c>
    </row>
    <row r="890" spans="1:2" x14ac:dyDescent="0.3">
      <c r="A890" t="s">
        <v>38</v>
      </c>
      <c r="B890">
        <v>1210.55</v>
      </c>
    </row>
    <row r="891" spans="1:2" x14ac:dyDescent="0.3">
      <c r="A891" t="s">
        <v>40</v>
      </c>
      <c r="B891">
        <v>1205.75</v>
      </c>
    </row>
    <row r="892" spans="1:2" x14ac:dyDescent="0.3">
      <c r="A892" t="s">
        <v>11</v>
      </c>
      <c r="B892">
        <v>1197.3499999999999</v>
      </c>
    </row>
    <row r="893" spans="1:2" x14ac:dyDescent="0.3">
      <c r="A893" t="s">
        <v>30</v>
      </c>
      <c r="B893">
        <v>1197.0899999999999</v>
      </c>
    </row>
    <row r="894" spans="1:2" x14ac:dyDescent="0.3">
      <c r="A894" t="s">
        <v>38</v>
      </c>
      <c r="B894">
        <v>1174.32</v>
      </c>
    </row>
    <row r="895" spans="1:2" x14ac:dyDescent="0.3">
      <c r="A895" t="s">
        <v>39</v>
      </c>
      <c r="B895">
        <v>1173.3399999999999</v>
      </c>
    </row>
    <row r="896" spans="1:2" x14ac:dyDescent="0.3">
      <c r="A896" t="s">
        <v>17</v>
      </c>
      <c r="B896">
        <v>1170.3</v>
      </c>
    </row>
    <row r="897" spans="1:2" x14ac:dyDescent="0.3">
      <c r="A897" t="s">
        <v>29</v>
      </c>
      <c r="B897">
        <v>1169.3699999999999</v>
      </c>
    </row>
    <row r="898" spans="1:2" x14ac:dyDescent="0.3">
      <c r="A898" t="s">
        <v>26</v>
      </c>
      <c r="B898">
        <v>1144.51</v>
      </c>
    </row>
    <row r="899" spans="1:2" x14ac:dyDescent="0.3">
      <c r="A899" t="s">
        <v>35</v>
      </c>
      <c r="B899">
        <v>1135.6400000000001</v>
      </c>
    </row>
    <row r="900" spans="1:2" x14ac:dyDescent="0.3">
      <c r="A900" t="s">
        <v>29</v>
      </c>
      <c r="B900">
        <v>1118.33</v>
      </c>
    </row>
    <row r="901" spans="1:2" x14ac:dyDescent="0.3">
      <c r="A901" t="s">
        <v>19</v>
      </c>
      <c r="B901">
        <v>1107.29</v>
      </c>
    </row>
    <row r="902" spans="1:2" x14ac:dyDescent="0.3">
      <c r="A902" t="s">
        <v>26</v>
      </c>
      <c r="B902">
        <v>1105.44</v>
      </c>
    </row>
    <row r="903" spans="1:2" x14ac:dyDescent="0.3">
      <c r="A903" t="s">
        <v>17</v>
      </c>
      <c r="B903">
        <v>1089.02</v>
      </c>
    </row>
    <row r="904" spans="1:2" x14ac:dyDescent="0.3">
      <c r="A904" t="s">
        <v>38</v>
      </c>
      <c r="B904">
        <v>1071.25</v>
      </c>
    </row>
    <row r="905" spans="1:2" x14ac:dyDescent="0.3">
      <c r="A905" t="s">
        <v>26</v>
      </c>
      <c r="B905">
        <v>1043.08</v>
      </c>
    </row>
    <row r="906" spans="1:2" x14ac:dyDescent="0.3">
      <c r="A906" t="s">
        <v>38</v>
      </c>
      <c r="B906">
        <v>1034.99</v>
      </c>
    </row>
    <row r="907" spans="1:2" x14ac:dyDescent="0.3">
      <c r="A907" t="s">
        <v>38</v>
      </c>
      <c r="B907">
        <v>1034.9000000000001</v>
      </c>
    </row>
    <row r="908" spans="1:2" x14ac:dyDescent="0.3">
      <c r="A908" t="s">
        <v>29</v>
      </c>
      <c r="B908">
        <v>1032.76</v>
      </c>
    </row>
    <row r="909" spans="1:2" x14ac:dyDescent="0.3">
      <c r="A909" t="s">
        <v>17</v>
      </c>
      <c r="B909">
        <v>1031.49</v>
      </c>
    </row>
    <row r="910" spans="1:2" x14ac:dyDescent="0.3">
      <c r="A910" t="s">
        <v>33</v>
      </c>
      <c r="B910">
        <v>1027</v>
      </c>
    </row>
    <row r="911" spans="1:2" x14ac:dyDescent="0.3">
      <c r="A911" t="s">
        <v>11</v>
      </c>
      <c r="B911">
        <v>1019.29</v>
      </c>
    </row>
    <row r="912" spans="1:2" x14ac:dyDescent="0.3">
      <c r="A912" t="s">
        <v>37</v>
      </c>
      <c r="B912">
        <v>988.2</v>
      </c>
    </row>
    <row r="913" spans="1:2" x14ac:dyDescent="0.3">
      <c r="A913" t="s">
        <v>32</v>
      </c>
      <c r="B913">
        <v>987.45</v>
      </c>
    </row>
    <row r="914" spans="1:2" x14ac:dyDescent="0.3">
      <c r="A914" t="s">
        <v>30</v>
      </c>
      <c r="B914">
        <v>986.36</v>
      </c>
    </row>
    <row r="915" spans="1:2" x14ac:dyDescent="0.3">
      <c r="A915" t="s">
        <v>38</v>
      </c>
      <c r="B915">
        <v>979.36</v>
      </c>
    </row>
    <row r="916" spans="1:2" x14ac:dyDescent="0.3">
      <c r="A916" t="s">
        <v>38</v>
      </c>
      <c r="B916">
        <v>971.88</v>
      </c>
    </row>
    <row r="917" spans="1:2" x14ac:dyDescent="0.3">
      <c r="A917" t="s">
        <v>39</v>
      </c>
      <c r="B917">
        <v>971.15</v>
      </c>
    </row>
    <row r="918" spans="1:2" x14ac:dyDescent="0.3">
      <c r="A918" t="s">
        <v>19</v>
      </c>
      <c r="B918">
        <v>963.63</v>
      </c>
    </row>
    <row r="919" spans="1:2" x14ac:dyDescent="0.3">
      <c r="A919" t="s">
        <v>29</v>
      </c>
      <c r="B919">
        <v>941.25</v>
      </c>
    </row>
    <row r="920" spans="1:2" x14ac:dyDescent="0.3">
      <c r="A920" t="s">
        <v>22</v>
      </c>
      <c r="B920">
        <v>933.79</v>
      </c>
    </row>
    <row r="921" spans="1:2" x14ac:dyDescent="0.3">
      <c r="A921" t="s">
        <v>11</v>
      </c>
      <c r="B921">
        <v>930.38</v>
      </c>
    </row>
    <row r="922" spans="1:2" x14ac:dyDescent="0.3">
      <c r="A922" t="s">
        <v>39</v>
      </c>
      <c r="B922">
        <v>920.67</v>
      </c>
    </row>
    <row r="923" spans="1:2" x14ac:dyDescent="0.3">
      <c r="A923" t="s">
        <v>36</v>
      </c>
      <c r="B923">
        <v>916.38</v>
      </c>
    </row>
    <row r="924" spans="1:2" x14ac:dyDescent="0.3">
      <c r="A924" t="s">
        <v>19</v>
      </c>
      <c r="B924">
        <v>894.18</v>
      </c>
    </row>
    <row r="925" spans="1:2" x14ac:dyDescent="0.3">
      <c r="A925" t="s">
        <v>11</v>
      </c>
      <c r="B925">
        <v>882.83</v>
      </c>
    </row>
    <row r="926" spans="1:2" x14ac:dyDescent="0.3">
      <c r="A926" t="s">
        <v>40</v>
      </c>
      <c r="B926">
        <v>881.56</v>
      </c>
    </row>
    <row r="927" spans="1:2" x14ac:dyDescent="0.3">
      <c r="A927" t="s">
        <v>32</v>
      </c>
      <c r="B927">
        <v>856.22</v>
      </c>
    </row>
    <row r="928" spans="1:2" x14ac:dyDescent="0.3">
      <c r="A928" t="s">
        <v>22</v>
      </c>
      <c r="B928">
        <v>850.26</v>
      </c>
    </row>
    <row r="929" spans="1:2" x14ac:dyDescent="0.3">
      <c r="A929" t="s">
        <v>30</v>
      </c>
      <c r="B929">
        <v>849.73</v>
      </c>
    </row>
    <row r="930" spans="1:2" x14ac:dyDescent="0.3">
      <c r="A930" t="s">
        <v>39</v>
      </c>
      <c r="B930">
        <v>838.25</v>
      </c>
    </row>
    <row r="931" spans="1:2" x14ac:dyDescent="0.3">
      <c r="A931" t="s">
        <v>28</v>
      </c>
      <c r="B931">
        <v>834.5</v>
      </c>
    </row>
    <row r="932" spans="1:2" x14ac:dyDescent="0.3">
      <c r="A932" t="s">
        <v>14</v>
      </c>
      <c r="B932">
        <v>828.68</v>
      </c>
    </row>
    <row r="933" spans="1:2" x14ac:dyDescent="0.3">
      <c r="A933" t="s">
        <v>38</v>
      </c>
      <c r="B933">
        <v>824.54</v>
      </c>
    </row>
    <row r="934" spans="1:2" x14ac:dyDescent="0.3">
      <c r="A934" t="s">
        <v>36</v>
      </c>
      <c r="B934">
        <v>823.88</v>
      </c>
    </row>
    <row r="935" spans="1:2" x14ac:dyDescent="0.3">
      <c r="A935" t="s">
        <v>11</v>
      </c>
      <c r="B935">
        <v>810.1</v>
      </c>
    </row>
    <row r="936" spans="1:2" x14ac:dyDescent="0.3">
      <c r="A936" t="s">
        <v>22</v>
      </c>
      <c r="B936">
        <v>809.16</v>
      </c>
    </row>
    <row r="937" spans="1:2" x14ac:dyDescent="0.3">
      <c r="A937" t="s">
        <v>33</v>
      </c>
      <c r="B937">
        <v>805.36</v>
      </c>
    </row>
    <row r="938" spans="1:2" x14ac:dyDescent="0.3">
      <c r="A938" t="s">
        <v>37</v>
      </c>
      <c r="B938">
        <v>803.24</v>
      </c>
    </row>
    <row r="939" spans="1:2" x14ac:dyDescent="0.3">
      <c r="A939" t="s">
        <v>35</v>
      </c>
      <c r="B939">
        <v>799.14</v>
      </c>
    </row>
    <row r="940" spans="1:2" x14ac:dyDescent="0.3">
      <c r="A940" t="s">
        <v>17</v>
      </c>
      <c r="B940">
        <v>786.95</v>
      </c>
    </row>
    <row r="941" spans="1:2" x14ac:dyDescent="0.3">
      <c r="A941" t="s">
        <v>40</v>
      </c>
      <c r="B941">
        <v>767.78</v>
      </c>
    </row>
    <row r="942" spans="1:2" x14ac:dyDescent="0.3">
      <c r="A942" t="s">
        <v>19</v>
      </c>
      <c r="B942">
        <v>767.65</v>
      </c>
    </row>
    <row r="943" spans="1:2" x14ac:dyDescent="0.3">
      <c r="A943" t="s">
        <v>28</v>
      </c>
      <c r="B943">
        <v>766.28</v>
      </c>
    </row>
    <row r="944" spans="1:2" x14ac:dyDescent="0.3">
      <c r="A944" t="s">
        <v>27</v>
      </c>
      <c r="B944">
        <v>759.23</v>
      </c>
    </row>
    <row r="945" spans="1:2" x14ac:dyDescent="0.3">
      <c r="A945" t="s">
        <v>26</v>
      </c>
      <c r="B945">
        <v>747.33</v>
      </c>
    </row>
    <row r="946" spans="1:2" x14ac:dyDescent="0.3">
      <c r="A946" t="s">
        <v>11</v>
      </c>
      <c r="B946">
        <v>743.49</v>
      </c>
    </row>
    <row r="947" spans="1:2" x14ac:dyDescent="0.3">
      <c r="A947" t="s">
        <v>35</v>
      </c>
      <c r="B947">
        <v>741.49</v>
      </c>
    </row>
    <row r="948" spans="1:2" x14ac:dyDescent="0.3">
      <c r="A948" t="s">
        <v>17</v>
      </c>
      <c r="B948">
        <v>722.63</v>
      </c>
    </row>
    <row r="949" spans="1:2" x14ac:dyDescent="0.3">
      <c r="A949" t="s">
        <v>32</v>
      </c>
      <c r="B949">
        <v>721.01</v>
      </c>
    </row>
    <row r="950" spans="1:2" x14ac:dyDescent="0.3">
      <c r="A950" t="s">
        <v>40</v>
      </c>
      <c r="B950">
        <v>714.65</v>
      </c>
    </row>
    <row r="951" spans="1:2" x14ac:dyDescent="0.3">
      <c r="A951" t="s">
        <v>34</v>
      </c>
      <c r="B951">
        <v>711.95</v>
      </c>
    </row>
    <row r="952" spans="1:2" x14ac:dyDescent="0.3">
      <c r="A952" t="s">
        <v>37</v>
      </c>
      <c r="B952">
        <v>696.24</v>
      </c>
    </row>
    <row r="953" spans="1:2" x14ac:dyDescent="0.3">
      <c r="A953" t="s">
        <v>28</v>
      </c>
      <c r="B953">
        <v>691.09</v>
      </c>
    </row>
    <row r="954" spans="1:2" x14ac:dyDescent="0.3">
      <c r="A954" t="s">
        <v>39</v>
      </c>
      <c r="B954">
        <v>664.14</v>
      </c>
    </row>
    <row r="955" spans="1:2" x14ac:dyDescent="0.3">
      <c r="A955" t="s">
        <v>39</v>
      </c>
      <c r="B955">
        <v>660.58</v>
      </c>
    </row>
    <row r="956" spans="1:2" x14ac:dyDescent="0.3">
      <c r="A956" t="s">
        <v>14</v>
      </c>
      <c r="B956">
        <v>656.47</v>
      </c>
    </row>
    <row r="957" spans="1:2" x14ac:dyDescent="0.3">
      <c r="A957" t="s">
        <v>40</v>
      </c>
      <c r="B957">
        <v>647.48</v>
      </c>
    </row>
    <row r="958" spans="1:2" x14ac:dyDescent="0.3">
      <c r="A958" t="s">
        <v>19</v>
      </c>
      <c r="B958">
        <v>641.91999999999996</v>
      </c>
    </row>
    <row r="959" spans="1:2" x14ac:dyDescent="0.3">
      <c r="A959" t="s">
        <v>34</v>
      </c>
      <c r="B959">
        <v>641.79999999999995</v>
      </c>
    </row>
    <row r="960" spans="1:2" x14ac:dyDescent="0.3">
      <c r="A960" t="s">
        <v>40</v>
      </c>
      <c r="B960">
        <v>641.33000000000004</v>
      </c>
    </row>
    <row r="961" spans="1:2" x14ac:dyDescent="0.3">
      <c r="A961" t="s">
        <v>22</v>
      </c>
      <c r="B961">
        <v>636.66</v>
      </c>
    </row>
    <row r="962" spans="1:2" x14ac:dyDescent="0.3">
      <c r="A962" t="s">
        <v>40</v>
      </c>
      <c r="B962">
        <v>630.92999999999995</v>
      </c>
    </row>
    <row r="963" spans="1:2" x14ac:dyDescent="0.3">
      <c r="A963" t="s">
        <v>34</v>
      </c>
      <c r="B963">
        <v>628.30999999999995</v>
      </c>
    </row>
    <row r="964" spans="1:2" x14ac:dyDescent="0.3">
      <c r="A964" t="s">
        <v>11</v>
      </c>
      <c r="B964">
        <v>624.41</v>
      </c>
    </row>
    <row r="965" spans="1:2" x14ac:dyDescent="0.3">
      <c r="A965" t="s">
        <v>26</v>
      </c>
      <c r="B965">
        <v>616.47</v>
      </c>
    </row>
    <row r="966" spans="1:2" x14ac:dyDescent="0.3">
      <c r="A966" t="s">
        <v>28</v>
      </c>
      <c r="B966">
        <v>609.76</v>
      </c>
    </row>
    <row r="967" spans="1:2" x14ac:dyDescent="0.3">
      <c r="A967" t="s">
        <v>17</v>
      </c>
      <c r="B967">
        <v>601.9</v>
      </c>
    </row>
    <row r="968" spans="1:2" x14ac:dyDescent="0.3">
      <c r="A968" t="s">
        <v>17</v>
      </c>
      <c r="B968">
        <v>594.35</v>
      </c>
    </row>
    <row r="969" spans="1:2" x14ac:dyDescent="0.3">
      <c r="A969" t="s">
        <v>22</v>
      </c>
      <c r="B969">
        <v>585.08000000000004</v>
      </c>
    </row>
    <row r="970" spans="1:2" x14ac:dyDescent="0.3">
      <c r="A970" t="s">
        <v>14</v>
      </c>
      <c r="B970">
        <v>579.41999999999996</v>
      </c>
    </row>
    <row r="971" spans="1:2" x14ac:dyDescent="0.3">
      <c r="A971" t="s">
        <v>39</v>
      </c>
      <c r="B971">
        <v>570.85</v>
      </c>
    </row>
    <row r="972" spans="1:2" x14ac:dyDescent="0.3">
      <c r="A972" t="s">
        <v>17</v>
      </c>
      <c r="B972">
        <v>566.14</v>
      </c>
    </row>
    <row r="973" spans="1:2" x14ac:dyDescent="0.3">
      <c r="A973" t="s">
        <v>35</v>
      </c>
      <c r="B973">
        <v>560.33000000000004</v>
      </c>
    </row>
    <row r="974" spans="1:2" x14ac:dyDescent="0.3">
      <c r="A974" t="s">
        <v>40</v>
      </c>
      <c r="B974">
        <v>554.71</v>
      </c>
    </row>
    <row r="975" spans="1:2" x14ac:dyDescent="0.3">
      <c r="A975" t="s">
        <v>19</v>
      </c>
      <c r="B975">
        <v>550.85</v>
      </c>
    </row>
    <row r="976" spans="1:2" x14ac:dyDescent="0.3">
      <c r="A976" t="s">
        <v>14</v>
      </c>
      <c r="B976">
        <v>531.97</v>
      </c>
    </row>
    <row r="977" spans="1:2" x14ac:dyDescent="0.3">
      <c r="A977" t="s">
        <v>27</v>
      </c>
      <c r="B977">
        <v>531.72</v>
      </c>
    </row>
    <row r="978" spans="1:2" x14ac:dyDescent="0.3">
      <c r="A978" t="s">
        <v>40</v>
      </c>
      <c r="B978">
        <v>531.45000000000005</v>
      </c>
    </row>
    <row r="979" spans="1:2" x14ac:dyDescent="0.3">
      <c r="A979" t="s">
        <v>38</v>
      </c>
      <c r="B979">
        <v>523.55999999999995</v>
      </c>
    </row>
    <row r="980" spans="1:2" x14ac:dyDescent="0.3">
      <c r="A980" t="s">
        <v>24</v>
      </c>
      <c r="B980">
        <v>514.03</v>
      </c>
    </row>
    <row r="981" spans="1:2" x14ac:dyDescent="0.3">
      <c r="A981" t="s">
        <v>30</v>
      </c>
      <c r="B981">
        <v>510.51</v>
      </c>
    </row>
    <row r="982" spans="1:2" x14ac:dyDescent="0.3">
      <c r="A982" t="s">
        <v>39</v>
      </c>
      <c r="B982">
        <v>509.77</v>
      </c>
    </row>
    <row r="983" spans="1:2" x14ac:dyDescent="0.3">
      <c r="A983" t="s">
        <v>34</v>
      </c>
      <c r="B983">
        <v>508.86</v>
      </c>
    </row>
    <row r="984" spans="1:2" x14ac:dyDescent="0.3">
      <c r="A984" t="s">
        <v>26</v>
      </c>
      <c r="B984">
        <v>506.52</v>
      </c>
    </row>
    <row r="985" spans="1:2" x14ac:dyDescent="0.3">
      <c r="A985" t="s">
        <v>37</v>
      </c>
      <c r="B985">
        <v>502.68</v>
      </c>
    </row>
    <row r="986" spans="1:2" x14ac:dyDescent="0.3">
      <c r="A986" t="s">
        <v>24</v>
      </c>
      <c r="B986">
        <v>492.57</v>
      </c>
    </row>
    <row r="987" spans="1:2" x14ac:dyDescent="0.3">
      <c r="A987" t="s">
        <v>30</v>
      </c>
      <c r="B987">
        <v>473.22</v>
      </c>
    </row>
    <row r="988" spans="1:2" x14ac:dyDescent="0.3">
      <c r="A988" t="s">
        <v>34</v>
      </c>
      <c r="B988">
        <v>470.39</v>
      </c>
    </row>
    <row r="989" spans="1:2" x14ac:dyDescent="0.3">
      <c r="A989" t="s">
        <v>33</v>
      </c>
      <c r="B989">
        <v>461.44</v>
      </c>
    </row>
    <row r="990" spans="1:2" x14ac:dyDescent="0.3">
      <c r="A990" t="s">
        <v>30</v>
      </c>
      <c r="B990">
        <v>454.83</v>
      </c>
    </row>
    <row r="991" spans="1:2" x14ac:dyDescent="0.3">
      <c r="A991" t="s">
        <v>14</v>
      </c>
      <c r="B991">
        <v>450.25</v>
      </c>
    </row>
    <row r="992" spans="1:2" x14ac:dyDescent="0.3">
      <c r="A992" t="s">
        <v>38</v>
      </c>
      <c r="B992">
        <v>445.83</v>
      </c>
    </row>
    <row r="993" spans="1:2" x14ac:dyDescent="0.3">
      <c r="A993" t="s">
        <v>26</v>
      </c>
      <c r="B993">
        <v>440.53</v>
      </c>
    </row>
    <row r="994" spans="1:2" x14ac:dyDescent="0.3">
      <c r="A994" t="s">
        <v>33</v>
      </c>
      <c r="B994">
        <v>437.17</v>
      </c>
    </row>
    <row r="995" spans="1:2" x14ac:dyDescent="0.3">
      <c r="A995" t="s">
        <v>19</v>
      </c>
      <c r="B995">
        <v>419.81</v>
      </c>
    </row>
    <row r="996" spans="1:2" x14ac:dyDescent="0.3">
      <c r="A996" t="s">
        <v>17</v>
      </c>
      <c r="B996">
        <v>418.45</v>
      </c>
    </row>
    <row r="997" spans="1:2" x14ac:dyDescent="0.3">
      <c r="A997" t="s">
        <v>19</v>
      </c>
      <c r="B997">
        <v>418.36</v>
      </c>
    </row>
    <row r="998" spans="1:2" x14ac:dyDescent="0.3">
      <c r="A998" t="s">
        <v>27</v>
      </c>
      <c r="B998">
        <v>412.42</v>
      </c>
    </row>
    <row r="999" spans="1:2" x14ac:dyDescent="0.3">
      <c r="A999" t="s">
        <v>29</v>
      </c>
      <c r="B999">
        <v>402.02</v>
      </c>
    </row>
    <row r="1000" spans="1:2" x14ac:dyDescent="0.3">
      <c r="A1000" t="s">
        <v>32</v>
      </c>
      <c r="B1000">
        <v>402.01</v>
      </c>
    </row>
    <row r="1001" spans="1:2" x14ac:dyDescent="0.3">
      <c r="A1001" t="s">
        <v>29</v>
      </c>
      <c r="B1001">
        <v>393.56</v>
      </c>
    </row>
    <row r="1002" spans="1:2" x14ac:dyDescent="0.3">
      <c r="A1002" t="s">
        <v>30</v>
      </c>
      <c r="B1002">
        <v>391.87</v>
      </c>
    </row>
    <row r="1003" spans="1:2" x14ac:dyDescent="0.3">
      <c r="A1003" t="s">
        <v>29</v>
      </c>
      <c r="B1003">
        <v>390.21</v>
      </c>
    </row>
    <row r="1004" spans="1:2" x14ac:dyDescent="0.3">
      <c r="A1004" t="s">
        <v>14</v>
      </c>
      <c r="B1004">
        <v>382.38</v>
      </c>
    </row>
    <row r="1005" spans="1:2" x14ac:dyDescent="0.3">
      <c r="A1005" t="s">
        <v>29</v>
      </c>
      <c r="B1005">
        <v>381.13</v>
      </c>
    </row>
    <row r="1006" spans="1:2" x14ac:dyDescent="0.3">
      <c r="A1006" t="s">
        <v>30</v>
      </c>
      <c r="B1006">
        <v>372.52</v>
      </c>
    </row>
    <row r="1007" spans="1:2" x14ac:dyDescent="0.3">
      <c r="A1007" t="s">
        <v>11</v>
      </c>
      <c r="B1007">
        <v>370.26</v>
      </c>
    </row>
    <row r="1008" spans="1:2" x14ac:dyDescent="0.3">
      <c r="A1008" t="s">
        <v>36</v>
      </c>
      <c r="B1008">
        <v>361.63</v>
      </c>
    </row>
    <row r="1009" spans="1:2" x14ac:dyDescent="0.3">
      <c r="A1009" t="s">
        <v>27</v>
      </c>
      <c r="B1009">
        <v>358.99</v>
      </c>
    </row>
    <row r="1010" spans="1:2" x14ac:dyDescent="0.3">
      <c r="A1010" t="s">
        <v>39</v>
      </c>
      <c r="B1010">
        <v>356.27</v>
      </c>
    </row>
    <row r="1011" spans="1:2" x14ac:dyDescent="0.3">
      <c r="A1011" t="s">
        <v>26</v>
      </c>
      <c r="B1011">
        <v>351.15</v>
      </c>
    </row>
    <row r="1012" spans="1:2" x14ac:dyDescent="0.3">
      <c r="A1012" t="s">
        <v>39</v>
      </c>
      <c r="B1012">
        <v>346.9</v>
      </c>
    </row>
    <row r="1013" spans="1:2" x14ac:dyDescent="0.3">
      <c r="A1013" t="s">
        <v>34</v>
      </c>
      <c r="B1013">
        <v>341.82</v>
      </c>
    </row>
    <row r="1014" spans="1:2" x14ac:dyDescent="0.3">
      <c r="A1014" t="s">
        <v>30</v>
      </c>
      <c r="B1014">
        <v>331.27</v>
      </c>
    </row>
    <row r="1015" spans="1:2" x14ac:dyDescent="0.3">
      <c r="A1015" t="s">
        <v>29</v>
      </c>
      <c r="B1015">
        <v>330.77</v>
      </c>
    </row>
    <row r="1016" spans="1:2" x14ac:dyDescent="0.3">
      <c r="A1016" t="s">
        <v>19</v>
      </c>
      <c r="B1016">
        <v>327.7</v>
      </c>
    </row>
    <row r="1017" spans="1:2" x14ac:dyDescent="0.3">
      <c r="A1017" t="s">
        <v>11</v>
      </c>
      <c r="B1017">
        <v>303.77</v>
      </c>
    </row>
    <row r="1018" spans="1:2" x14ac:dyDescent="0.3">
      <c r="A1018" t="s">
        <v>29</v>
      </c>
      <c r="B1018">
        <v>303.24</v>
      </c>
    </row>
    <row r="1019" spans="1:2" x14ac:dyDescent="0.3">
      <c r="A1019" t="s">
        <v>17</v>
      </c>
      <c r="B1019">
        <v>302.02</v>
      </c>
    </row>
    <row r="1020" spans="1:2" x14ac:dyDescent="0.3">
      <c r="A1020" t="s">
        <v>35</v>
      </c>
      <c r="B1020">
        <v>293.22000000000003</v>
      </c>
    </row>
    <row r="1021" spans="1:2" x14ac:dyDescent="0.3">
      <c r="A1021" t="s">
        <v>22</v>
      </c>
      <c r="B1021">
        <v>289.76</v>
      </c>
    </row>
    <row r="1022" spans="1:2" x14ac:dyDescent="0.3">
      <c r="A1022" t="s">
        <v>27</v>
      </c>
      <c r="B1022">
        <v>254.37</v>
      </c>
    </row>
    <row r="1023" spans="1:2" x14ac:dyDescent="0.3">
      <c r="A1023" t="s">
        <v>26</v>
      </c>
      <c r="B1023">
        <v>237.25</v>
      </c>
    </row>
    <row r="1024" spans="1:2" x14ac:dyDescent="0.3">
      <c r="A1024" t="s">
        <v>32</v>
      </c>
      <c r="B1024">
        <v>232.48</v>
      </c>
    </row>
    <row r="1025" spans="1:2" x14ac:dyDescent="0.3">
      <c r="A1025" t="s">
        <v>17</v>
      </c>
      <c r="B1025">
        <v>230.84</v>
      </c>
    </row>
    <row r="1026" spans="1:2" x14ac:dyDescent="0.3">
      <c r="A1026" t="s">
        <v>27</v>
      </c>
      <c r="B1026">
        <v>222.51</v>
      </c>
    </row>
    <row r="1027" spans="1:2" x14ac:dyDescent="0.3">
      <c r="A1027" t="s">
        <v>28</v>
      </c>
      <c r="B1027">
        <v>212.26</v>
      </c>
    </row>
    <row r="1028" spans="1:2" x14ac:dyDescent="0.3">
      <c r="A1028" t="s">
        <v>28</v>
      </c>
      <c r="B1028">
        <v>210.42</v>
      </c>
    </row>
    <row r="1029" spans="1:2" x14ac:dyDescent="0.3">
      <c r="A1029" t="s">
        <v>19</v>
      </c>
      <c r="B1029">
        <v>210.4</v>
      </c>
    </row>
    <row r="1030" spans="1:2" x14ac:dyDescent="0.3">
      <c r="A1030" t="s">
        <v>17</v>
      </c>
      <c r="B1030">
        <v>209.72</v>
      </c>
    </row>
    <row r="1031" spans="1:2" x14ac:dyDescent="0.3">
      <c r="A1031" t="s">
        <v>30</v>
      </c>
      <c r="B1031">
        <v>197.66</v>
      </c>
    </row>
    <row r="1032" spans="1:2" x14ac:dyDescent="0.3">
      <c r="A1032" t="s">
        <v>38</v>
      </c>
      <c r="B1032">
        <v>197.11</v>
      </c>
    </row>
    <row r="1033" spans="1:2" x14ac:dyDescent="0.3">
      <c r="A1033" t="s">
        <v>14</v>
      </c>
      <c r="B1033">
        <v>179.93</v>
      </c>
    </row>
    <row r="1034" spans="1:2" x14ac:dyDescent="0.3">
      <c r="A1034" t="s">
        <v>37</v>
      </c>
      <c r="B1034">
        <v>148.19999999999999</v>
      </c>
    </row>
    <row r="1035" spans="1:2" x14ac:dyDescent="0.3">
      <c r="A1035" t="s">
        <v>35</v>
      </c>
      <c r="B1035">
        <v>138.47999999999999</v>
      </c>
    </row>
    <row r="1036" spans="1:2" x14ac:dyDescent="0.3">
      <c r="A1036" t="s">
        <v>26</v>
      </c>
      <c r="B1036">
        <v>128.44</v>
      </c>
    </row>
    <row r="1037" spans="1:2" x14ac:dyDescent="0.3">
      <c r="A1037" t="s">
        <v>32</v>
      </c>
      <c r="B1037">
        <v>125</v>
      </c>
    </row>
    <row r="1038" spans="1:2" x14ac:dyDescent="0.3">
      <c r="A1038" t="s">
        <v>17</v>
      </c>
      <c r="B1038">
        <v>118.91</v>
      </c>
    </row>
    <row r="1039" spans="1:2" x14ac:dyDescent="0.3">
      <c r="A1039" t="s">
        <v>17</v>
      </c>
      <c r="B1039">
        <v>111.56</v>
      </c>
    </row>
    <row r="1040" spans="1:2" x14ac:dyDescent="0.3">
      <c r="A1040" t="s">
        <v>14</v>
      </c>
      <c r="B1040">
        <v>110.13</v>
      </c>
    </row>
    <row r="1041" spans="1:2" x14ac:dyDescent="0.3">
      <c r="A1041" t="s">
        <v>30</v>
      </c>
      <c r="B1041">
        <v>103.48</v>
      </c>
    </row>
    <row r="1042" spans="1:2" x14ac:dyDescent="0.3">
      <c r="A1042" t="s">
        <v>36</v>
      </c>
      <c r="B1042">
        <v>95.71</v>
      </c>
    </row>
    <row r="1043" spans="1:2" x14ac:dyDescent="0.3">
      <c r="A1043" t="s">
        <v>32</v>
      </c>
      <c r="B1043">
        <v>90.8</v>
      </c>
    </row>
    <row r="1044" spans="1:2" x14ac:dyDescent="0.3">
      <c r="A1044" t="s">
        <v>29</v>
      </c>
      <c r="B1044">
        <v>86.89</v>
      </c>
    </row>
    <row r="1045" spans="1:2" x14ac:dyDescent="0.3">
      <c r="A1045" t="s">
        <v>33</v>
      </c>
      <c r="B1045">
        <v>82.07</v>
      </c>
    </row>
    <row r="1046" spans="1:2" x14ac:dyDescent="0.3">
      <c r="A1046" t="s">
        <v>17</v>
      </c>
      <c r="B1046">
        <v>79.05</v>
      </c>
    </row>
    <row r="1047" spans="1:2" x14ac:dyDescent="0.3">
      <c r="A1047" t="s">
        <v>29</v>
      </c>
      <c r="B1047">
        <v>72.78</v>
      </c>
    </row>
    <row r="1048" spans="1:2" x14ac:dyDescent="0.3">
      <c r="A1048" t="s">
        <v>32</v>
      </c>
      <c r="B1048">
        <v>62.4</v>
      </c>
    </row>
    <row r="1049" spans="1:2" x14ac:dyDescent="0.3">
      <c r="A1049" t="s">
        <v>37</v>
      </c>
      <c r="B1049">
        <v>60.2</v>
      </c>
    </row>
    <row r="1050" spans="1:2" x14ac:dyDescent="0.3">
      <c r="A1050" t="s">
        <v>27</v>
      </c>
      <c r="B1050">
        <v>58</v>
      </c>
    </row>
    <row r="1051" spans="1:2" x14ac:dyDescent="0.3">
      <c r="A1051" t="s">
        <v>34</v>
      </c>
      <c r="B1051">
        <v>41.69</v>
      </c>
    </row>
  </sheetData>
  <sortState ref="A2:B1051">
    <sortCondition descending="1" ref="B10:B1051"/>
  </sortState>
  <conditionalFormatting sqref="A1:B1051">
    <cfRule type="top10" dxfId="1" priority="1" rank="10"/>
  </conditionalFormatting>
  <conditionalFormatting sqref="A1:B1048576">
    <cfRule type="top10" dxfId="0" priority="2" rank="10"/>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057572-4A83-4522-84CE-6C5C8B9FBD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Excel_Sales_Data_Analysis</vt:lpstr>
      <vt:lpstr>Sales_Data_Analysis </vt:lpstr>
      <vt:lpstr>Pivot table analysis</vt:lpstr>
      <vt:lpstr>Total Sales by Month</vt:lpstr>
      <vt:lpstr>Sum of sales by Region</vt:lpstr>
      <vt:lpstr>Profit vs Sales Scatter Chart</vt:lpstr>
      <vt:lpstr>KPIs</vt:lpstr>
      <vt:lpstr>Identifying Top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VAMSI</dc:creator>
  <cp:lastModifiedBy>hp</cp:lastModifiedBy>
  <dcterms:created xsi:type="dcterms:W3CDTF">2025-08-24T03:58:47Z</dcterms:created>
  <dcterms:modified xsi:type="dcterms:W3CDTF">2025-11-04T10:22:29Z</dcterms:modified>
</cp:coreProperties>
</file>